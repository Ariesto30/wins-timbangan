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 WINS\Quality Control\01 Inspeksi QC\00 Daily Report\2026\sharing\DAILY REPORT 2026\"/>
    </mc:Choice>
  </mc:AlternateContent>
  <xr:revisionPtr revIDLastSave="0" documentId="13_ncr:1_{18B061B1-5698-46C8-8088-4CF7FD5DFADD}" xr6:coauthVersionLast="47" xr6:coauthVersionMax="47" xr10:uidLastSave="{00000000-0000-0000-0000-000000000000}"/>
  <bookViews>
    <workbookView xWindow="-110" yWindow="-110" windowWidth="19420" windowHeight="10300" activeTab="2" xr2:uid="{6D963A96-8631-4293-8F25-AD5DA83F9FDB}"/>
  </bookViews>
  <sheets>
    <sheet name="JANUARI" sheetId="1" r:id="rId1"/>
    <sheet name="FEBRUARI" sheetId="2" r:id="rId2"/>
    <sheet name="MARET" sheetId="3" r:id="rId3"/>
    <sheet name="APRIL" sheetId="4" r:id="rId4"/>
    <sheet name="MEI" sheetId="6" r:id="rId5"/>
    <sheet name="JUNI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Print_Area" localSheetId="3">APRIL!$A$1:$EM$38</definedName>
    <definedName name="_xlnm.Print_Area" localSheetId="1">FEBRUARI!$A$1:$EM$38</definedName>
    <definedName name="_xlnm.Print_Area" localSheetId="0">JANUARI!$A$1:$EM$36</definedName>
    <definedName name="_xlnm.Print_Area" localSheetId="5">JUNI!$A$1:$EM$39</definedName>
    <definedName name="_xlnm.Print_Area" localSheetId="2">MARET!$A$1:$EM$38</definedName>
    <definedName name="_xlnm.Print_Area" localSheetId="4">MEI!$A$1:$EM$39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4" i="7" l="1"/>
  <c r="R44" i="7" s="1"/>
  <c r="B39" i="7"/>
  <c r="Z10" i="7"/>
  <c r="R10" i="7"/>
  <c r="J10" i="7"/>
  <c r="Z9" i="7"/>
  <c r="R9" i="7"/>
  <c r="J9" i="7"/>
  <c r="Z8" i="7"/>
  <c r="R8" i="7"/>
  <c r="J8" i="7"/>
  <c r="Z7" i="7"/>
  <c r="R7" i="7"/>
  <c r="J7" i="7"/>
  <c r="B7" i="7"/>
  <c r="B8" i="7" s="1"/>
  <c r="EO6" i="7"/>
  <c r="Z6" i="7"/>
  <c r="R6" i="7"/>
  <c r="J6" i="7"/>
  <c r="B6" i="7"/>
  <c r="Q44" i="6"/>
  <c r="O44" i="6"/>
  <c r="N44" i="6"/>
  <c r="M44" i="6"/>
  <c r="K44" i="6"/>
  <c r="R44" i="6" s="1"/>
  <c r="Z37" i="6"/>
  <c r="R37" i="6"/>
  <c r="J37" i="6"/>
  <c r="Z36" i="6"/>
  <c r="R36" i="6"/>
  <c r="J36" i="6"/>
  <c r="Z35" i="6"/>
  <c r="R35" i="6"/>
  <c r="J35" i="6"/>
  <c r="Z34" i="6"/>
  <c r="R34" i="6"/>
  <c r="J34" i="6"/>
  <c r="Z33" i="6"/>
  <c r="R33" i="6"/>
  <c r="J33" i="6"/>
  <c r="Z32" i="6"/>
  <c r="R32" i="6"/>
  <c r="J32" i="6"/>
  <c r="Z31" i="6"/>
  <c r="R31" i="6"/>
  <c r="J31" i="6"/>
  <c r="Z30" i="6"/>
  <c r="R30" i="6"/>
  <c r="J30" i="6"/>
  <c r="Z29" i="6"/>
  <c r="R29" i="6"/>
  <c r="J29" i="6"/>
  <c r="Z28" i="6"/>
  <c r="R28" i="6"/>
  <c r="J28" i="6"/>
  <c r="Z27" i="6"/>
  <c r="R27" i="6"/>
  <c r="J27" i="6"/>
  <c r="Z26" i="6"/>
  <c r="R26" i="6"/>
  <c r="J26" i="6"/>
  <c r="Z25" i="6"/>
  <c r="R25" i="6"/>
  <c r="J25" i="6"/>
  <c r="Z24" i="6"/>
  <c r="R24" i="6"/>
  <c r="J24" i="6"/>
  <c r="Z23" i="6"/>
  <c r="R23" i="6"/>
  <c r="J23" i="6"/>
  <c r="Z22" i="6"/>
  <c r="R22" i="6"/>
  <c r="J22" i="6"/>
  <c r="Z21" i="6"/>
  <c r="R21" i="6"/>
  <c r="J21" i="6"/>
  <c r="Z20" i="6"/>
  <c r="R20" i="6"/>
  <c r="J20" i="6"/>
  <c r="Z19" i="6"/>
  <c r="R19" i="6"/>
  <c r="J19" i="6"/>
  <c r="Z18" i="6"/>
  <c r="R18" i="6"/>
  <c r="J18" i="6"/>
  <c r="Z17" i="6"/>
  <c r="R17" i="6"/>
  <c r="J17" i="6"/>
  <c r="Z16" i="6"/>
  <c r="R16" i="6"/>
  <c r="J16" i="6"/>
  <c r="Z15" i="6"/>
  <c r="R15" i="6"/>
  <c r="J15" i="6"/>
  <c r="Z14" i="6"/>
  <c r="R14" i="6"/>
  <c r="J14" i="6"/>
  <c r="Z13" i="6"/>
  <c r="R13" i="6"/>
  <c r="J13" i="6"/>
  <c r="Z12" i="6"/>
  <c r="R12" i="6"/>
  <c r="J12" i="6"/>
  <c r="Z11" i="6"/>
  <c r="R11" i="6"/>
  <c r="J11" i="6"/>
  <c r="Z10" i="6"/>
  <c r="R10" i="6"/>
  <c r="J10" i="6"/>
  <c r="Z9" i="6"/>
  <c r="R9" i="6"/>
  <c r="J9" i="6"/>
  <c r="Z8" i="6"/>
  <c r="R8" i="6"/>
  <c r="J8" i="6"/>
  <c r="Z7" i="6"/>
  <c r="R7" i="6"/>
  <c r="J7" i="6"/>
  <c r="Z6" i="6"/>
  <c r="R6" i="6"/>
  <c r="J6" i="6"/>
  <c r="B6" i="6"/>
  <c r="B7" i="6" s="1"/>
  <c r="Z36" i="4"/>
  <c r="R36" i="4"/>
  <c r="J36" i="4"/>
  <c r="Z35" i="4"/>
  <c r="R35" i="4"/>
  <c r="J35" i="4"/>
  <c r="Z34" i="4"/>
  <c r="R34" i="4"/>
  <c r="J34" i="4"/>
  <c r="Z33" i="4"/>
  <c r="R33" i="4"/>
  <c r="J33" i="4"/>
  <c r="Z32" i="4"/>
  <c r="R32" i="4"/>
  <c r="J32" i="4"/>
  <c r="Z31" i="4"/>
  <c r="R31" i="4"/>
  <c r="J31" i="4"/>
  <c r="Z30" i="4"/>
  <c r="R30" i="4"/>
  <c r="J30" i="4"/>
  <c r="Z29" i="4"/>
  <c r="R29" i="4"/>
  <c r="J29" i="4"/>
  <c r="Z28" i="4"/>
  <c r="R28" i="4"/>
  <c r="J28" i="4"/>
  <c r="Z27" i="4"/>
  <c r="R27" i="4"/>
  <c r="J27" i="4"/>
  <c r="Z26" i="4"/>
  <c r="R26" i="4"/>
  <c r="J26" i="4"/>
  <c r="Z25" i="4"/>
  <c r="R25" i="4"/>
  <c r="J25" i="4"/>
  <c r="Z24" i="4"/>
  <c r="R24" i="4"/>
  <c r="J24" i="4"/>
  <c r="Z23" i="4"/>
  <c r="R23" i="4"/>
  <c r="J23" i="4"/>
  <c r="Z22" i="4"/>
  <c r="R22" i="4"/>
  <c r="J22" i="4"/>
  <c r="Z21" i="4"/>
  <c r="R21" i="4"/>
  <c r="J21" i="4"/>
  <c r="Z20" i="4"/>
  <c r="R20" i="4"/>
  <c r="J20" i="4"/>
  <c r="Z19" i="4"/>
  <c r="R19" i="4"/>
  <c r="J19" i="4"/>
  <c r="Z18" i="4"/>
  <c r="R18" i="4"/>
  <c r="J18" i="4"/>
  <c r="Z17" i="4"/>
  <c r="R17" i="4"/>
  <c r="J17" i="4"/>
  <c r="Z16" i="4"/>
  <c r="R16" i="4"/>
  <c r="J16" i="4"/>
  <c r="Z15" i="4"/>
  <c r="R15" i="4"/>
  <c r="J15" i="4"/>
  <c r="Z14" i="4"/>
  <c r="R14" i="4"/>
  <c r="J14" i="4"/>
  <c r="Z13" i="4"/>
  <c r="R13" i="4"/>
  <c r="J13" i="4"/>
  <c r="Z12" i="4"/>
  <c r="R12" i="4"/>
  <c r="J12" i="4"/>
  <c r="Z11" i="4"/>
  <c r="R11" i="4"/>
  <c r="J11" i="4"/>
  <c r="Z10" i="4"/>
  <c r="R10" i="4"/>
  <c r="J10" i="4"/>
  <c r="Z9" i="4"/>
  <c r="R9" i="4"/>
  <c r="J9" i="4"/>
  <c r="Z8" i="4"/>
  <c r="R8" i="4"/>
  <c r="J8" i="4"/>
  <c r="Z7" i="4"/>
  <c r="R7" i="4"/>
  <c r="J7" i="4"/>
  <c r="EO6" i="4"/>
  <c r="EO7" i="4" s="1"/>
  <c r="EO8" i="4" s="1"/>
  <c r="EO9" i="4" s="1"/>
  <c r="EO10" i="4" s="1"/>
  <c r="EO11" i="4" s="1"/>
  <c r="EO12" i="4" s="1"/>
  <c r="EO13" i="4" s="1"/>
  <c r="EO14" i="4" s="1"/>
  <c r="EO15" i="4" s="1"/>
  <c r="EO16" i="4" s="1"/>
  <c r="EO17" i="4" s="1"/>
  <c r="EO18" i="4" s="1"/>
  <c r="EO19" i="4" s="1"/>
  <c r="EO20" i="4" s="1"/>
  <c r="EO21" i="4" s="1"/>
  <c r="EO22" i="4" s="1"/>
  <c r="EO23" i="4" s="1"/>
  <c r="EO24" i="4" s="1"/>
  <c r="EO25" i="4" s="1"/>
  <c r="EO26" i="4" s="1"/>
  <c r="EO27" i="4" s="1"/>
  <c r="EO28" i="4" s="1"/>
  <c r="EO29" i="4" s="1"/>
  <c r="EO30" i="4" s="1"/>
  <c r="EO31" i="4" s="1"/>
  <c r="EO32" i="4" s="1"/>
  <c r="EO33" i="4" s="1"/>
  <c r="EO34" i="4" s="1"/>
  <c r="EO35" i="4" s="1"/>
  <c r="EO36" i="4" s="1"/>
  <c r="EO37" i="4" s="1"/>
  <c r="Z6" i="4"/>
  <c r="R6" i="4"/>
  <c r="J6" i="4"/>
  <c r="B6" i="4"/>
  <c r="B39" i="4" s="1"/>
  <c r="B9" i="7" l="1"/>
  <c r="EO8" i="7"/>
  <c r="EO7" i="7"/>
  <c r="M44" i="7"/>
  <c r="O44" i="7"/>
  <c r="P44" i="7"/>
  <c r="Q44" i="7"/>
  <c r="L44" i="7"/>
  <c r="N44" i="7"/>
  <c r="B8" i="6"/>
  <c r="EO7" i="6"/>
  <c r="EO6" i="6"/>
  <c r="B39" i="6"/>
  <c r="L44" i="6"/>
  <c r="P44" i="6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Z37" i="3"/>
  <c r="R37" i="3"/>
  <c r="J37" i="3"/>
  <c r="Z36" i="3"/>
  <c r="R36" i="3"/>
  <c r="J36" i="3"/>
  <c r="Z35" i="3"/>
  <c r="R35" i="3"/>
  <c r="J35" i="3"/>
  <c r="Z34" i="3"/>
  <c r="R34" i="3"/>
  <c r="J34" i="3"/>
  <c r="Z33" i="3"/>
  <c r="R33" i="3"/>
  <c r="J33" i="3"/>
  <c r="Z32" i="3"/>
  <c r="R32" i="3"/>
  <c r="J32" i="3"/>
  <c r="Z31" i="3"/>
  <c r="R31" i="3"/>
  <c r="J31" i="3"/>
  <c r="Z30" i="3"/>
  <c r="R30" i="3"/>
  <c r="J30" i="3"/>
  <c r="Z29" i="3"/>
  <c r="R29" i="3"/>
  <c r="J29" i="3"/>
  <c r="Z28" i="3"/>
  <c r="R28" i="3"/>
  <c r="J28" i="3"/>
  <c r="Z27" i="3"/>
  <c r="R27" i="3"/>
  <c r="J27" i="3"/>
  <c r="Z26" i="3"/>
  <c r="R26" i="3"/>
  <c r="J26" i="3"/>
  <c r="Z25" i="3"/>
  <c r="R25" i="3"/>
  <c r="J25" i="3"/>
  <c r="Z24" i="3"/>
  <c r="R24" i="3"/>
  <c r="J24" i="3"/>
  <c r="Z23" i="3"/>
  <c r="R23" i="3"/>
  <c r="J23" i="3"/>
  <c r="Z22" i="3"/>
  <c r="R22" i="3"/>
  <c r="J22" i="3"/>
  <c r="Z21" i="3"/>
  <c r="R21" i="3"/>
  <c r="J21" i="3"/>
  <c r="Z20" i="3"/>
  <c r="R20" i="3"/>
  <c r="J20" i="3"/>
  <c r="Z19" i="3"/>
  <c r="R19" i="3"/>
  <c r="J19" i="3"/>
  <c r="Z18" i="3"/>
  <c r="R18" i="3"/>
  <c r="J18" i="3"/>
  <c r="Z17" i="3"/>
  <c r="R17" i="3"/>
  <c r="J17" i="3"/>
  <c r="Z16" i="3"/>
  <c r="R16" i="3"/>
  <c r="J16" i="3"/>
  <c r="Z15" i="3"/>
  <c r="R15" i="3"/>
  <c r="J15" i="3"/>
  <c r="Z14" i="3"/>
  <c r="R14" i="3"/>
  <c r="J14" i="3"/>
  <c r="Z13" i="3"/>
  <c r="R13" i="3"/>
  <c r="J13" i="3"/>
  <c r="Z12" i="3"/>
  <c r="R12" i="3"/>
  <c r="J12" i="3"/>
  <c r="Z11" i="3"/>
  <c r="R11" i="3"/>
  <c r="J11" i="3"/>
  <c r="Z10" i="3"/>
  <c r="R10" i="3"/>
  <c r="J10" i="3"/>
  <c r="Z9" i="3"/>
  <c r="R9" i="3"/>
  <c r="J9" i="3"/>
  <c r="Z8" i="3"/>
  <c r="R8" i="3"/>
  <c r="J8" i="3"/>
  <c r="Z7" i="3"/>
  <c r="R7" i="3"/>
  <c r="J7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EO6" i="3"/>
  <c r="EO7" i="3" s="1"/>
  <c r="EO8" i="3" s="1"/>
  <c r="EO9" i="3" s="1"/>
  <c r="EO10" i="3" s="1"/>
  <c r="EO11" i="3" s="1"/>
  <c r="EO12" i="3" s="1"/>
  <c r="EO13" i="3" s="1"/>
  <c r="EO14" i="3" s="1"/>
  <c r="EO15" i="3" s="1"/>
  <c r="EO16" i="3" s="1"/>
  <c r="EO17" i="3" s="1"/>
  <c r="EO18" i="3" s="1"/>
  <c r="EO19" i="3" s="1"/>
  <c r="EO20" i="3" s="1"/>
  <c r="EO21" i="3" s="1"/>
  <c r="EO22" i="3" s="1"/>
  <c r="EO23" i="3" s="1"/>
  <c r="EO24" i="3" s="1"/>
  <c r="EO25" i="3" s="1"/>
  <c r="EO26" i="3" s="1"/>
  <c r="EO27" i="3" s="1"/>
  <c r="EO28" i="3" s="1"/>
  <c r="EO29" i="3" s="1"/>
  <c r="EO30" i="3" s="1"/>
  <c r="EO31" i="3" s="1"/>
  <c r="EO32" i="3" s="1"/>
  <c r="EO33" i="3" s="1"/>
  <c r="EO34" i="3" s="1"/>
  <c r="EO35" i="3" s="1"/>
  <c r="EO36" i="3" s="1"/>
  <c r="EO37" i="3" s="1"/>
  <c r="Z6" i="3"/>
  <c r="R6" i="3"/>
  <c r="J6" i="3"/>
  <c r="B6" i="3"/>
  <c r="B39" i="3" s="1"/>
  <c r="B10" i="7" l="1"/>
  <c r="EO9" i="7"/>
  <c r="B9" i="6"/>
  <c r="EO8" i="6"/>
  <c r="Z34" i="2"/>
  <c r="R34" i="2"/>
  <c r="J34" i="2"/>
  <c r="Z33" i="2"/>
  <c r="R33" i="2"/>
  <c r="J33" i="2"/>
  <c r="Z32" i="2"/>
  <c r="R32" i="2"/>
  <c r="J32" i="2"/>
  <c r="Z31" i="2"/>
  <c r="R31" i="2"/>
  <c r="J31" i="2"/>
  <c r="Z30" i="2"/>
  <c r="R30" i="2"/>
  <c r="J30" i="2"/>
  <c r="Z29" i="2"/>
  <c r="R29" i="2"/>
  <c r="J29" i="2"/>
  <c r="Z28" i="2"/>
  <c r="R28" i="2"/>
  <c r="J28" i="2"/>
  <c r="Z27" i="2"/>
  <c r="R27" i="2"/>
  <c r="J27" i="2"/>
  <c r="Z26" i="2"/>
  <c r="R26" i="2"/>
  <c r="J26" i="2"/>
  <c r="Z25" i="2"/>
  <c r="R25" i="2"/>
  <c r="J25" i="2"/>
  <c r="Z24" i="2"/>
  <c r="R24" i="2"/>
  <c r="J24" i="2"/>
  <c r="Z23" i="2"/>
  <c r="R23" i="2"/>
  <c r="J23" i="2"/>
  <c r="Z22" i="2"/>
  <c r="R22" i="2"/>
  <c r="J22" i="2"/>
  <c r="Z21" i="2"/>
  <c r="R21" i="2"/>
  <c r="J21" i="2"/>
  <c r="Z20" i="2"/>
  <c r="R20" i="2"/>
  <c r="J20" i="2"/>
  <c r="Z19" i="2"/>
  <c r="R19" i="2"/>
  <c r="J19" i="2"/>
  <c r="Z18" i="2"/>
  <c r="R18" i="2"/>
  <c r="J18" i="2"/>
  <c r="Z17" i="2"/>
  <c r="R17" i="2"/>
  <c r="J17" i="2"/>
  <c r="Z16" i="2"/>
  <c r="R16" i="2"/>
  <c r="J16" i="2"/>
  <c r="Z15" i="2"/>
  <c r="R15" i="2"/>
  <c r="J15" i="2"/>
  <c r="Z14" i="2"/>
  <c r="R14" i="2"/>
  <c r="J14" i="2"/>
  <c r="Z13" i="2"/>
  <c r="R13" i="2"/>
  <c r="J13" i="2"/>
  <c r="Z12" i="2"/>
  <c r="R12" i="2"/>
  <c r="J12" i="2"/>
  <c r="Z11" i="2"/>
  <c r="R11" i="2"/>
  <c r="J11" i="2"/>
  <c r="Z10" i="2"/>
  <c r="R10" i="2"/>
  <c r="J10" i="2"/>
  <c r="Z9" i="2"/>
  <c r="R9" i="2"/>
  <c r="J9" i="2"/>
  <c r="Z8" i="2"/>
  <c r="R8" i="2"/>
  <c r="J8" i="2"/>
  <c r="Z7" i="2"/>
  <c r="R7" i="2"/>
  <c r="J7" i="2"/>
  <c r="EO6" i="2"/>
  <c r="EO7" i="2" s="1"/>
  <c r="EO8" i="2" s="1"/>
  <c r="EO9" i="2" s="1"/>
  <c r="EO10" i="2" s="1"/>
  <c r="EO11" i="2" s="1"/>
  <c r="EO12" i="2" s="1"/>
  <c r="EO13" i="2" s="1"/>
  <c r="EO14" i="2" s="1"/>
  <c r="EO15" i="2" s="1"/>
  <c r="EO16" i="2" s="1"/>
  <c r="EO17" i="2" s="1"/>
  <c r="EO18" i="2" s="1"/>
  <c r="EO19" i="2" s="1"/>
  <c r="EO20" i="2" s="1"/>
  <c r="EO21" i="2" s="1"/>
  <c r="EO22" i="2" s="1"/>
  <c r="EO23" i="2" s="1"/>
  <c r="EO24" i="2" s="1"/>
  <c r="EO25" i="2" s="1"/>
  <c r="EO26" i="2" s="1"/>
  <c r="EO27" i="2" s="1"/>
  <c r="EO28" i="2" s="1"/>
  <c r="EO29" i="2" s="1"/>
  <c r="EO30" i="2" s="1"/>
  <c r="EO31" i="2" s="1"/>
  <c r="EO32" i="2" s="1"/>
  <c r="EO33" i="2" s="1"/>
  <c r="EO34" i="2" s="1"/>
  <c r="EO35" i="2" s="1"/>
  <c r="EO36" i="2" s="1"/>
  <c r="EO37" i="2" s="1"/>
  <c r="Z6" i="2"/>
  <c r="R6" i="2"/>
  <c r="J6" i="2"/>
  <c r="B6" i="2"/>
  <c r="B39" i="2" s="1"/>
  <c r="B11" i="7" l="1"/>
  <c r="EO10" i="7"/>
  <c r="B10" i="6"/>
  <c r="EO9" i="6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12" i="7" l="1"/>
  <c r="EO11" i="7"/>
  <c r="EO10" i="6"/>
  <c r="B11" i="6"/>
  <c r="Z36" i="1"/>
  <c r="R36" i="1"/>
  <c r="J36" i="1"/>
  <c r="Z35" i="1"/>
  <c r="R35" i="1"/>
  <c r="J35" i="1"/>
  <c r="Z34" i="1"/>
  <c r="R34" i="1"/>
  <c r="J34" i="1"/>
  <c r="Z33" i="1"/>
  <c r="R33" i="1"/>
  <c r="J33" i="1"/>
  <c r="Z32" i="1"/>
  <c r="R32" i="1"/>
  <c r="J32" i="1"/>
  <c r="Z31" i="1"/>
  <c r="R31" i="1"/>
  <c r="J31" i="1"/>
  <c r="Z30" i="1"/>
  <c r="R30" i="1"/>
  <c r="J30" i="1"/>
  <c r="Z29" i="1"/>
  <c r="R29" i="1"/>
  <c r="J29" i="1"/>
  <c r="Z28" i="1"/>
  <c r="R28" i="1"/>
  <c r="J28" i="1"/>
  <c r="Z27" i="1"/>
  <c r="R27" i="1"/>
  <c r="J27" i="1"/>
  <c r="Z26" i="1"/>
  <c r="R26" i="1"/>
  <c r="J26" i="1"/>
  <c r="Z25" i="1"/>
  <c r="R25" i="1"/>
  <c r="J25" i="1"/>
  <c r="Z24" i="1"/>
  <c r="R24" i="1"/>
  <c r="J24" i="1"/>
  <c r="Z23" i="1"/>
  <c r="R23" i="1"/>
  <c r="J23" i="1"/>
  <c r="Z22" i="1"/>
  <c r="R22" i="1"/>
  <c r="J22" i="1"/>
  <c r="Z21" i="1"/>
  <c r="R21" i="1"/>
  <c r="J21" i="1"/>
  <c r="Z20" i="1"/>
  <c r="R20" i="1"/>
  <c r="J20" i="1"/>
  <c r="Z19" i="1"/>
  <c r="R19" i="1"/>
  <c r="J19" i="1"/>
  <c r="Z18" i="1"/>
  <c r="R18" i="1"/>
  <c r="J18" i="1"/>
  <c r="Z17" i="1"/>
  <c r="R17" i="1"/>
  <c r="J17" i="1"/>
  <c r="Z16" i="1"/>
  <c r="R16" i="1"/>
  <c r="J16" i="1"/>
  <c r="Z15" i="1"/>
  <c r="R15" i="1"/>
  <c r="J15" i="1"/>
  <c r="Z14" i="1"/>
  <c r="R14" i="1"/>
  <c r="J14" i="1"/>
  <c r="Z13" i="1"/>
  <c r="R13" i="1"/>
  <c r="J13" i="1"/>
  <c r="Z12" i="1"/>
  <c r="R12" i="1"/>
  <c r="J12" i="1"/>
  <c r="Z11" i="1"/>
  <c r="R11" i="1"/>
  <c r="J11" i="1"/>
  <c r="Z10" i="1"/>
  <c r="R10" i="1"/>
  <c r="J10" i="1"/>
  <c r="Z9" i="1"/>
  <c r="R9" i="1"/>
  <c r="J9" i="1"/>
  <c r="Z8" i="1"/>
  <c r="R8" i="1"/>
  <c r="J8" i="1"/>
  <c r="Z7" i="1"/>
  <c r="R7" i="1"/>
  <c r="J7" i="1"/>
  <c r="EO6" i="1"/>
  <c r="EO7" i="1" s="1"/>
  <c r="EO8" i="1" s="1"/>
  <c r="EO9" i="1" s="1"/>
  <c r="EO10" i="1" s="1"/>
  <c r="EO11" i="1" s="1"/>
  <c r="EO12" i="1" s="1"/>
  <c r="EO13" i="1" s="1"/>
  <c r="EO14" i="1" s="1"/>
  <c r="EO15" i="1" s="1"/>
  <c r="EO16" i="1" s="1"/>
  <c r="EO17" i="1" s="1"/>
  <c r="EO18" i="1" s="1"/>
  <c r="EO19" i="1" s="1"/>
  <c r="EO20" i="1" s="1"/>
  <c r="EO21" i="1" s="1"/>
  <c r="EO22" i="1" s="1"/>
  <c r="EO23" i="1" s="1"/>
  <c r="EO24" i="1" s="1"/>
  <c r="EO25" i="1" s="1"/>
  <c r="EO26" i="1" s="1"/>
  <c r="EO27" i="1" s="1"/>
  <c r="EO28" i="1" s="1"/>
  <c r="EO29" i="1" s="1"/>
  <c r="EO30" i="1" s="1"/>
  <c r="EO31" i="1" s="1"/>
  <c r="EO32" i="1" s="1"/>
  <c r="EO33" i="1" s="1"/>
  <c r="EO34" i="1" s="1"/>
  <c r="EO35" i="1" s="1"/>
  <c r="EO36" i="1" s="1"/>
  <c r="EO37" i="1" s="1"/>
  <c r="Z6" i="1"/>
  <c r="R6" i="1"/>
  <c r="J6" i="1"/>
  <c r="B6" i="1"/>
  <c r="B39" i="1" s="1"/>
  <c r="B13" i="7" l="1"/>
  <c r="EO12" i="7"/>
  <c r="B12" i="6"/>
  <c r="EO11" i="6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14" i="7" l="1"/>
  <c r="EO13" i="7"/>
  <c r="B13" i="6"/>
  <c r="EO12" i="6"/>
  <c r="EO14" i="7" l="1"/>
  <c r="B15" i="7"/>
  <c r="B14" i="6"/>
  <c r="EO13" i="6"/>
  <c r="B16" i="7" l="1"/>
  <c r="EO15" i="7"/>
  <c r="B15" i="6"/>
  <c r="EO14" i="6"/>
  <c r="B17" i="7" l="1"/>
  <c r="EO16" i="7"/>
  <c r="B16" i="6"/>
  <c r="EO15" i="6"/>
  <c r="B18" i="7" l="1"/>
  <c r="EO17" i="7"/>
  <c r="EO16" i="6"/>
  <c r="B17" i="6"/>
  <c r="B19" i="7" l="1"/>
  <c r="EO18" i="7"/>
  <c r="B18" i="6"/>
  <c r="EO17" i="6"/>
  <c r="B20" i="7" l="1"/>
  <c r="EO19" i="7"/>
  <c r="B19" i="6"/>
  <c r="EO18" i="6"/>
  <c r="B21" i="7" l="1"/>
  <c r="EO20" i="7"/>
  <c r="B20" i="6"/>
  <c r="EO19" i="6"/>
  <c r="B22" i="7" l="1"/>
  <c r="EO21" i="7"/>
  <c r="B21" i="6"/>
  <c r="EO20" i="6"/>
  <c r="B23" i="7" l="1"/>
  <c r="EO22" i="7"/>
  <c r="B22" i="6"/>
  <c r="EO21" i="6"/>
  <c r="B24" i="7" l="1"/>
  <c r="EO23" i="7"/>
  <c r="EO22" i="6"/>
  <c r="B23" i="6"/>
  <c r="B25" i="7" l="1"/>
  <c r="EO24" i="7"/>
  <c r="B24" i="6"/>
  <c r="EO23" i="6"/>
  <c r="B26" i="7" l="1"/>
  <c r="EO25" i="7"/>
  <c r="B25" i="6"/>
  <c r="EO24" i="6"/>
  <c r="EO26" i="7" l="1"/>
  <c r="B27" i="7"/>
  <c r="B26" i="6"/>
  <c r="EO25" i="6"/>
  <c r="B28" i="7" l="1"/>
  <c r="EO27" i="7"/>
  <c r="B27" i="6"/>
  <c r="EO26" i="6"/>
  <c r="B29" i="7" l="1"/>
  <c r="EO28" i="7"/>
  <c r="B28" i="6"/>
  <c r="EO27" i="6"/>
  <c r="B30" i="7" l="1"/>
  <c r="EO29" i="7"/>
  <c r="EO28" i="6"/>
  <c r="B29" i="6"/>
  <c r="B31" i="7" l="1"/>
  <c r="EO30" i="7"/>
  <c r="B30" i="6"/>
  <c r="EO29" i="6"/>
  <c r="EO31" i="7" l="1"/>
  <c r="B32" i="7"/>
  <c r="B31" i="6"/>
  <c r="EO30" i="6"/>
  <c r="EO32" i="7" l="1"/>
  <c r="B33" i="7"/>
  <c r="B32" i="6"/>
  <c r="EO31" i="6"/>
  <c r="EO33" i="7" l="1"/>
  <c r="B34" i="7"/>
  <c r="B33" i="6"/>
  <c r="EO32" i="6"/>
  <c r="B35" i="7" l="1"/>
  <c r="EO34" i="7"/>
  <c r="B34" i="6"/>
  <c r="EO33" i="6"/>
  <c r="B36" i="7" l="1"/>
  <c r="EO35" i="7"/>
  <c r="EO34" i="6"/>
  <c r="B35" i="6"/>
  <c r="B37" i="7" l="1"/>
  <c r="EO37" i="7" s="1"/>
  <c r="EO36" i="7"/>
  <c r="B36" i="6"/>
  <c r="EO35" i="6"/>
  <c r="B37" i="6" l="1"/>
  <c r="EO37" i="6" s="1"/>
  <c r="EO36" i="6"/>
</calcChain>
</file>

<file path=xl/sharedStrings.xml><?xml version="1.0" encoding="utf-8"?>
<sst xmlns="http://schemas.openxmlformats.org/spreadsheetml/2006/main" count="2971" uniqueCount="133">
  <si>
    <t>QUALITY TANK</t>
  </si>
  <si>
    <t>Tanggal</t>
  </si>
  <si>
    <t>CPO</t>
  </si>
  <si>
    <t>PFAD</t>
  </si>
  <si>
    <t>STEARIN</t>
  </si>
  <si>
    <t>OLEIN</t>
  </si>
  <si>
    <t>RBDPO</t>
  </si>
  <si>
    <t>COOKING OIL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</si>
  <si>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</si>
  <si>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</si>
  <si>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</si>
  <si>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</si>
  <si>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</si>
  <si>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</si>
  <si>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</si>
  <si>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</si>
  <si>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</si>
  <si>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</si>
  <si>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</si>
  <si>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</si>
  <si>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</si>
  <si>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</si>
  <si>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Buffer 1</t>
  </si>
  <si>
    <t>Buffer 2</t>
  </si>
  <si>
    <t>Buffer 3</t>
  </si>
  <si>
    <t>Buffer 4</t>
  </si>
  <si>
    <t>Tonase</t>
  </si>
  <si>
    <t>FFA</t>
  </si>
  <si>
    <t>M+I</t>
  </si>
  <si>
    <t>DOBI</t>
  </si>
  <si>
    <t>IV</t>
  </si>
  <si>
    <t>PV</t>
  </si>
  <si>
    <t>Anv</t>
  </si>
  <si>
    <t>Totox</t>
  </si>
  <si>
    <t>Moist</t>
  </si>
  <si>
    <t>Colour</t>
  </si>
  <si>
    <t>MP</t>
  </si>
  <si>
    <t>CP</t>
  </si>
  <si>
    <t>Vit A</t>
  </si>
  <si>
    <t>TGL</t>
  </si>
  <si>
    <t>ST15</t>
  </si>
  <si>
    <t>ST16</t>
  </si>
  <si>
    <t>ST17</t>
  </si>
  <si>
    <t>ST18</t>
  </si>
  <si>
    <t>5.00 max</t>
  </si>
  <si>
    <t>0.5 max</t>
  </si>
  <si>
    <t>2.00 min</t>
  </si>
  <si>
    <t>51.00 min</t>
  </si>
  <si>
    <t>2.5 max</t>
  </si>
  <si>
    <t>10 max</t>
  </si>
  <si>
    <t>70% min</t>
  </si>
  <si>
    <t>1% max</t>
  </si>
  <si>
    <t>0.2% max</t>
  </si>
  <si>
    <t>0.15% max</t>
  </si>
  <si>
    <t>3.0 RED</t>
  </si>
  <si>
    <t>YELL</t>
  </si>
  <si>
    <t>30.0 min</t>
  </si>
  <si>
    <r>
      <t>44</t>
    </r>
    <r>
      <rPr>
        <b/>
        <vertAlign val="superscript"/>
        <sz val="10"/>
        <color theme="1"/>
        <rFont val="Calibri"/>
        <family val="2"/>
        <scheme val="minor"/>
      </rPr>
      <t>o</t>
    </r>
    <r>
      <rPr>
        <b/>
        <sz val="10"/>
        <color theme="1"/>
        <rFont val="Calibri"/>
        <family val="2"/>
        <scheme val="minor"/>
      </rPr>
      <t>C min</t>
    </r>
  </si>
  <si>
    <t>0.1% max</t>
  </si>
  <si>
    <t>56.0 min</t>
  </si>
  <si>
    <r>
      <t>10</t>
    </r>
    <r>
      <rPr>
        <b/>
        <vertAlign val="superscript"/>
        <sz val="10"/>
        <color theme="1"/>
        <rFont val="Calibri"/>
        <family val="2"/>
        <scheme val="minor"/>
      </rPr>
      <t>o</t>
    </r>
    <r>
      <rPr>
        <b/>
        <sz val="10"/>
        <color theme="1"/>
        <rFont val="Calibri"/>
        <family val="2"/>
        <scheme val="minor"/>
      </rPr>
      <t>C max</t>
    </r>
  </si>
  <si>
    <t>50.0 min</t>
  </si>
  <si>
    <t>3.0 R max</t>
  </si>
  <si>
    <t>P</t>
  </si>
  <si>
    <t>START</t>
  </si>
  <si>
    <t>STOP</t>
  </si>
  <si>
    <t>trace</t>
  </si>
  <si>
    <t/>
  </si>
  <si>
    <t>2O</t>
  </si>
  <si>
    <t>SOURCE</t>
  </si>
  <si>
    <t>TRUK PT KMP,JM,MIS</t>
  </si>
  <si>
    <t>TRUK KMP,JM,MIS,PN</t>
  </si>
  <si>
    <t>FEED FRAKSINASI</t>
  </si>
  <si>
    <t>ST 01</t>
  </si>
  <si>
    <t>ST 02</t>
  </si>
  <si>
    <t>ST 03</t>
  </si>
  <si>
    <t>REMARKS</t>
  </si>
  <si>
    <t>FEED REFINERY</t>
  </si>
  <si>
    <t>BOTTOM STOCK</t>
  </si>
  <si>
    <t>MUAT CV SCM, HSA, DA</t>
  </si>
  <si>
    <t>EMPTY</t>
  </si>
  <si>
    <t>MUAT HSA, DA, BJL</t>
  </si>
  <si>
    <t>MUAT HSA, DA, SCM, BJL</t>
  </si>
  <si>
    <t>MUAT PT BJL</t>
  </si>
  <si>
    <t>MUAT CV. DA</t>
  </si>
  <si>
    <t>MUAT HSA, DA, BJL, GMU</t>
  </si>
  <si>
    <t>MUAT CV. BJL</t>
  </si>
  <si>
    <t>MUAT SCM, DA, BJL</t>
  </si>
  <si>
    <t>MUAT SCM, DA, BJL, GMU</t>
  </si>
  <si>
    <t>MUAT BJL, DA, HSA</t>
  </si>
  <si>
    <t>MUAT PT WIN</t>
  </si>
  <si>
    <t>MUAT CV. HSA</t>
  </si>
  <si>
    <t>MUAT BJL, DA</t>
  </si>
  <si>
    <t>CHANGE TANK RBDP0 KE STEARIN</t>
  </si>
  <si>
    <t>MUAT SCM, DA, HSA, GMU</t>
  </si>
  <si>
    <t>MUAT SCM, DA, WIN</t>
  </si>
  <si>
    <t>MUAT SCM, BJL, GMU</t>
  </si>
  <si>
    <t>MUAT SCM, BJL, GMU, DA, HSA</t>
  </si>
  <si>
    <t>MUAT SCM, HSA, BJL</t>
  </si>
  <si>
    <t>TRUK KMP,JM,ST 07</t>
  </si>
  <si>
    <t>MUAT DA, BJL, WIN</t>
  </si>
  <si>
    <t>MUAT DA, BJL, SCM</t>
  </si>
  <si>
    <t>MUAT SCM, HSA, WIN</t>
  </si>
  <si>
    <t>MUAT DA, HSA, TDJ</t>
  </si>
  <si>
    <t>MUAT DA, SCM, BJL, WIN</t>
  </si>
  <si>
    <t>TRUK JM,ST 07 &amp; 16</t>
  </si>
  <si>
    <t>MUAT SCM, DA</t>
  </si>
  <si>
    <t>MUAT DA, SCM, PANDU, WIN</t>
  </si>
  <si>
    <t>MUAT BJL</t>
  </si>
  <si>
    <t>MUAT DA, SCM, WIN, PANDU, TDJ</t>
  </si>
  <si>
    <t>MUAT BJL, HSA, DA, SCM</t>
  </si>
  <si>
    <t>MUAT DA, BJL, SCM, HSA, PANDU</t>
  </si>
  <si>
    <t>MUAT DA, SCM, HSA, BJL, TDJ, WIN</t>
  </si>
  <si>
    <t>MUAT BJL, DA, TDJ, HSA, SCM</t>
  </si>
  <si>
    <t>MUAT DA, SCM, TDJ, WIN</t>
  </si>
  <si>
    <t>TRUK PT JM, ST 05</t>
  </si>
  <si>
    <t>TRUK JM,PN,ST 05</t>
  </si>
  <si>
    <t>MUAT DA, HSA, BJL, SCM</t>
  </si>
  <si>
    <t>MUAT DA,SCM,HSA</t>
  </si>
  <si>
    <t>MUAT HSA,DA,SCM,BJL,TDJ</t>
  </si>
  <si>
    <t>MUAT PT BMS</t>
  </si>
  <si>
    <t>MUAT DA,SCM,BJL,PUP</t>
  </si>
  <si>
    <t>TRUK PT JM,KMP</t>
  </si>
  <si>
    <t>MUAT DA,SCM</t>
  </si>
  <si>
    <t>MUAT DA,SCM,BJL</t>
  </si>
  <si>
    <t>MUAT SCM,DA,TDJ,PUP,WIN</t>
  </si>
  <si>
    <t>MUAT BJL,SCM,DA</t>
  </si>
  <si>
    <t>MUAT CV SCM</t>
  </si>
  <si>
    <t>MUAT SCM,DA,WIN,TDJ</t>
  </si>
  <si>
    <t>MUAT DA, SCM</t>
  </si>
  <si>
    <t>TRUK PN,ST 05,JM</t>
  </si>
  <si>
    <t>MUAT SCM,DA,TDJ</t>
  </si>
  <si>
    <t>MUAT DA,BJL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</si>
</sst>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\-??_);_(@_)"/>
    <numFmt numFmtId="165" formatCode="0.0"/>
    <numFmt numFmtId="166" formatCode="dd\-mmm\-yyyy"/>
    <numFmt numFmtId="167" formatCode="0.000"/>
    <numFmt numFmtId="168" formatCode="[$-10421]d\ mmm\ yyyy;@"/>
    <numFmt numFmtId="169" formatCode="mmmm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0"/>
      <color theme="1"/>
      <name val="Wingdings 2"/>
      <family val="1"/>
      <charset val="2"/>
    </font>
    <font>
      <sz val="11"/>
      <color theme="1"/>
      <name val="Wingdings 2"/>
      <family val="1"/>
      <charset val="2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9" borderId="5" xfId="0" applyNumberFormat="1" applyFill="1" applyBorder="1" applyAlignment="1">
      <alignment horizontal="center" vertical="center"/>
    </xf>
    <xf numFmtId="167" fontId="0" fillId="9" borderId="5" xfId="0" applyNumberFormat="1" applyFill="1" applyBorder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165" fontId="0" fillId="9" borderId="5" xfId="0" applyNumberFormat="1" applyFill="1" applyBorder="1" applyAlignment="1">
      <alignment horizontal="center" vertical="center"/>
    </xf>
    <xf numFmtId="1" fontId="0" fillId="9" borderId="5" xfId="0" applyNumberFormat="1" applyFill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6" fillId="9" borderId="5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7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2" fontId="0" fillId="9" borderId="1" xfId="0" quotePrefix="1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8" fontId="0" fillId="5" borderId="7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167" fontId="0" fillId="5" borderId="7" xfId="0" applyNumberFormat="1" applyFill="1" applyBorder="1" applyAlignment="1">
      <alignment horizontal="center" vertical="center"/>
    </xf>
    <xf numFmtId="165" fontId="0" fillId="5" borderId="7" xfId="0" applyNumberForma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2" fontId="6" fillId="5" borderId="7" xfId="0" applyNumberFormat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9" fontId="2" fillId="5" borderId="7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10" borderId="0" xfId="0" applyFill="1" applyAlignment="1">
      <alignment vertical="center"/>
    </xf>
    <xf numFmtId="166" fontId="0" fillId="4" borderId="1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7" fontId="0" fillId="4" borderId="5" xfId="0" applyNumberFormat="1" applyFill="1" applyBorder="1" applyAlignment="1">
      <alignment horizontal="center" vertical="center"/>
    </xf>
    <xf numFmtId="165" fontId="0" fillId="4" borderId="5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11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6%20JUNI%20DAILY%20REPORT.xlsx" TargetMode="External"/><Relationship Id="rId2" Type="http://schemas.openxmlformats.org/officeDocument/2006/relationships/externalLinkPath" Target="file:///D:\PT%20WINS\Quality%20Control\01%20Inspeksi%20QC\00%20Daily%20Report\2026\06%20JUNI%20DAILY%20REPORT.xlsx" TargetMode="External"/><Relationship Id="rId1" Type="http://schemas.openxmlformats.org/officeDocument/2006/relationships/externalLinkPath" Target="/PT%20WINS/Quality%20Control/01%20Inspeksi%20QC/00%20Daily%20Report/2026/06%20JUNI%20DAILY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%20JANUARI%20DAILY%20REPORT.xlsx" TargetMode="External"/><Relationship Id="rId2" Type="http://schemas.openxmlformats.org/officeDocument/2006/relationships/externalLinkPath" Target="file:///D:\PT%20WINS\Quality%20Control\01%20Inspeksi%20QC\00%20Daily%20Report\2026\01%20JANUARI%20DAILY%20REPORT.xlsx" TargetMode="External"/><Relationship Id="rId1" Type="http://schemas.openxmlformats.org/officeDocument/2006/relationships/externalLinkPath" Target="/PT%20WINS/Quality%20Control/01%20Inspeksi%20QC/00%20Daily%20Report/2026/01%20JANUARI%20DAILY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2%20FEBRUARI%20DAILY%20REPORT.xlsx" TargetMode="External"/><Relationship Id="rId2" Type="http://schemas.openxmlformats.org/officeDocument/2006/relationships/externalLinkPath" Target="file:///D:\PT%20WINS\Quality%20Control\01%20Inspeksi%20QC\00%20Daily%20Report\2026\02%20FEBRUARI%20DAILY%20REPORT.xlsx" TargetMode="External"/><Relationship Id="rId1" Type="http://schemas.openxmlformats.org/officeDocument/2006/relationships/externalLinkPath" Target="/PT%20WINS/Quality%20Control/01%20Inspeksi%20QC/00%20Daily%20Report/2026/02%20FEBRUARI%20DAILY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3%20MARET%20DAILY%20REPORT.xlsx" TargetMode="External"/><Relationship Id="rId2" Type="http://schemas.openxmlformats.org/officeDocument/2006/relationships/externalLinkPath" Target="file:///D:\PT%20WINS\Quality%20Control\01%20Inspeksi%20QC\00%20Daily%20Report\2026\03%20MARET%20DAILY%20REPORT.xlsx" TargetMode="External"/><Relationship Id="rId1" Type="http://schemas.openxmlformats.org/officeDocument/2006/relationships/externalLinkPath" Target="/PT%20WINS/Quality%20Control/01%20Inspeksi%20QC/00%20Daily%20Report/2026/03%20MARET%20DAILY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4%20APRIL%20DAILY%20REPORT.xlsx" TargetMode="External"/><Relationship Id="rId2" Type="http://schemas.openxmlformats.org/officeDocument/2006/relationships/externalLinkPath" Target="file:///D:\PT%20WINS\Quality%20Control\01%20Inspeksi%20QC\00%20Daily%20Report\2026\04%20APRIL%20DAILY%20REPORT.xlsx" TargetMode="External"/><Relationship Id="rId1" Type="http://schemas.openxmlformats.org/officeDocument/2006/relationships/externalLinkPath" Target="/PT%20WINS/Quality%20Control/01%20Inspeksi%20QC/00%20Daily%20Report/2026/04%20APRIL%20DAILY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5%20MEI%20DAILY%20REPORT.xlsx" TargetMode="External"/><Relationship Id="rId2" Type="http://schemas.openxmlformats.org/officeDocument/2006/relationships/externalLinkPath" Target="file:///D:\PT%20WINS\Quality%20Control\01%20Inspeksi%20QC\00%20Daily%20Report\2026\05%20MEI%20DAILY%20REPORT.xlsx" TargetMode="External"/><Relationship Id="rId1" Type="http://schemas.openxmlformats.org/officeDocument/2006/relationships/externalLinkPath" Target="/PT%20WINS/Quality%20Control/01%20Inspeksi%20QC/00%20Daily%20Report/2026/05%20MEI%20DAILY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inery"/>
      <sheetName val="Fractionation"/>
      <sheetName val="Packaging"/>
      <sheetName val="CPO Masuk"/>
      <sheetName val="Barang Masuk"/>
      <sheetName val="Cooling Tower"/>
      <sheetName val="Kualitas Air Boiler"/>
      <sheetName val="REJECT"/>
      <sheetName val="Shipment"/>
      <sheetName val="Monitoring pemuatan produk"/>
      <sheetName val="Monitoring Tanki"/>
      <sheetName val="Daily Report"/>
    </sheetNames>
    <sheetDataSet>
      <sheetData sheetId="0">
        <row r="6">
          <cell r="B6">
            <v>46174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inery"/>
      <sheetName val="Fractionation"/>
      <sheetName val="Packaging"/>
      <sheetName val="CPO Masuk"/>
      <sheetName val="Barang Masuk"/>
      <sheetName val="Cooling Tower"/>
      <sheetName val="Kualitas Air Boiler"/>
      <sheetName val="Monitoring Tanki"/>
      <sheetName val="Daily Report"/>
    </sheetNames>
    <sheetDataSet>
      <sheetData sheetId="0">
        <row r="6">
          <cell r="B6">
            <v>46023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inery"/>
      <sheetName val="Fractionation"/>
      <sheetName val="Packaging"/>
      <sheetName val="CPO Masuk"/>
      <sheetName val="Barang Masuk"/>
      <sheetName val="Cooling Tower"/>
      <sheetName val="Kualitas Air Boiler"/>
      <sheetName val="REJECT"/>
      <sheetName val="Shipment"/>
      <sheetName val="M. pemuatan produk"/>
      <sheetName val="Monitoring Tanki"/>
      <sheetName val="Daily Report"/>
      <sheetName val="02 FEBRUARI DAILY REPORT"/>
    </sheetNames>
    <sheetDataSet>
      <sheetData sheetId="0">
        <row r="6">
          <cell r="B6">
            <v>46054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inery"/>
      <sheetName val="Fractionation"/>
      <sheetName val="Packaging"/>
      <sheetName val="CPO Masuk"/>
      <sheetName val="Barang Masuk"/>
      <sheetName val="Cooling Tower"/>
      <sheetName val="Kualitas Air Boiler"/>
      <sheetName val="REJECT"/>
      <sheetName val="Shipment"/>
      <sheetName val="M. pemuatan produk"/>
      <sheetName val="Monitoring Tanki"/>
      <sheetName val="Daily Report"/>
      <sheetName val="03 MARET DAILY REPORT"/>
    </sheetNames>
    <sheetDataSet>
      <sheetData sheetId="0">
        <row r="6">
          <cell r="B6">
            <v>46082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inery"/>
      <sheetName val="Fractionation"/>
      <sheetName val="Packaging"/>
      <sheetName val="CPO Masuk"/>
      <sheetName val="Barang Masuk"/>
      <sheetName val="Cooling Tower"/>
      <sheetName val="Kualitas Air Boiler"/>
      <sheetName val="REJECT"/>
      <sheetName val="Shipment"/>
      <sheetName val="Monitoring pemuatan produk"/>
      <sheetName val="Monitoring Tanki"/>
      <sheetName val="Daily Report"/>
      <sheetName val="04 APRIL DAILY REPORT"/>
    </sheetNames>
    <sheetDataSet>
      <sheetData sheetId="0">
        <row r="6">
          <cell r="B6">
            <v>46113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inery"/>
      <sheetName val="Fractionation"/>
      <sheetName val="Packaging"/>
      <sheetName val="CPO Masuk"/>
      <sheetName val="Barang Masuk"/>
      <sheetName val="Cooling Tower"/>
      <sheetName val="Kualitas Air Boiler"/>
      <sheetName val="REJECT"/>
      <sheetName val="Shipment"/>
      <sheetName val="Monitoring pemuatan produk"/>
      <sheetName val="Monitoring Tanki"/>
      <sheetName val="Daily Report"/>
    </sheetNames>
    <sheetDataSet>
      <sheetData sheetId="0">
        <row r="6">
          <cell r="B6">
            <v>46143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4C32-0381-4A69-AF2F-D4A4FDBD93FD}">
  <dimension ref="A1:FY39"/>
  <sheetViews>
    <sheetView view="pageBreakPreview" zoomScale="61" zoomScaleNormal="73" zoomScaleSheetLayoutView="10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AK21" sqref="AK21"/>
    </sheetView>
  </sheetViews>
  <sheetFormatPr defaultColWidth="8.81640625" defaultRowHeight="14.5" x14ac:dyDescent="0.35"/>
  <cols>
    <col min="1" max="1" width="8.81640625" style="3"/>
    <col min="2" max="2" width="14.81640625" style="3" customWidth="1"/>
    <col min="3" max="3" width="10.7265625" style="2" customWidth="1"/>
    <col min="4" max="10" width="8.90625" style="70" customWidth="1"/>
    <col min="11" max="11" width="11.81640625" style="2" customWidth="1"/>
    <col min="12" max="18" width="8.90625" style="70" customWidth="1"/>
    <col min="19" max="19" width="10.1796875" style="2" customWidth="1"/>
    <col min="20" max="26" width="8.81640625" style="70" customWidth="1"/>
    <col min="27" max="27" width="8.81640625" style="2" customWidth="1"/>
    <col min="28" max="29" width="8.81640625" style="70" customWidth="1"/>
    <col min="30" max="30" width="8.81640625" style="2" customWidth="1"/>
    <col min="31" max="37" width="8.81640625" style="70" customWidth="1"/>
    <col min="38" max="38" width="8.81640625" style="2" customWidth="1"/>
    <col min="39" max="45" width="8.81640625" style="70" customWidth="1"/>
    <col min="46" max="46" width="8.81640625" style="2" customWidth="1"/>
    <col min="47" max="53" width="8.81640625" style="70" customWidth="1"/>
    <col min="54" max="54" width="8.81640625" style="2" customWidth="1"/>
    <col min="55" max="61" width="8.81640625" style="70" customWidth="1"/>
    <col min="62" max="62" width="8.81640625" style="2" customWidth="1"/>
    <col min="63" max="69" width="8.81640625" style="70" customWidth="1"/>
    <col min="70" max="70" width="8.81640625" style="2" customWidth="1"/>
    <col min="71" max="77" width="8.81640625" style="70" customWidth="1"/>
    <col min="78" max="78" width="8.81640625" style="2" customWidth="1"/>
    <col min="79" max="85" width="8.81640625" style="70" customWidth="1"/>
    <col min="86" max="86" width="8.81640625" style="2" customWidth="1"/>
    <col min="87" max="93" width="8.81640625" style="70" customWidth="1"/>
    <col min="94" max="94" width="10.1796875" style="2" customWidth="1"/>
    <col min="95" max="100" width="8.81640625" style="70" customWidth="1"/>
    <col min="101" max="101" width="8.81640625" style="2" customWidth="1"/>
    <col min="102" max="107" width="8.81640625" style="70" customWidth="1"/>
    <col min="108" max="108" width="8.81640625" style="2" customWidth="1"/>
    <col min="109" max="116" width="8.81640625" style="70" customWidth="1"/>
    <col min="117" max="117" width="8.81640625" style="2" customWidth="1"/>
    <col min="118" max="124" width="8.81640625" style="70" customWidth="1"/>
    <col min="125" max="125" width="8.81640625" style="3" customWidth="1"/>
    <col min="126" max="134" width="8.81640625" style="70" customWidth="1"/>
    <col min="135" max="135" width="8.81640625" style="2" customWidth="1"/>
    <col min="136" max="144" width="8.81640625" style="70" customWidth="1"/>
    <col min="145" max="145" width="10.81640625" style="3" bestFit="1" customWidth="1"/>
    <col min="146" max="146" width="11.36328125" style="3" bestFit="1" customWidth="1"/>
    <col min="147" max="147" width="11.1796875" style="3" bestFit="1" customWidth="1"/>
    <col min="148" max="148" width="11.08984375" style="3" bestFit="1" customWidth="1"/>
    <col min="149" max="149" width="10.81640625" style="3" bestFit="1" customWidth="1"/>
    <col min="150" max="151" width="11.1796875" style="3" bestFit="1" customWidth="1"/>
    <col min="152" max="155" width="8.81640625" style="3"/>
    <col min="156" max="156" width="16.90625" style="3" bestFit="1" customWidth="1"/>
    <col min="157" max="16384" width="8.81640625" style="3"/>
  </cols>
  <sheetData>
    <row r="1" spans="2:181" ht="15.5" x14ac:dyDescent="0.35">
      <c r="B1" s="1" t="s">
        <v>0</v>
      </c>
      <c r="D1" s="3"/>
      <c r="E1" s="2"/>
      <c r="F1" s="3"/>
      <c r="G1" s="2"/>
      <c r="H1" s="3"/>
      <c r="I1" s="2"/>
      <c r="J1" s="3"/>
      <c r="L1" s="3"/>
      <c r="M1" s="2"/>
      <c r="N1" s="3"/>
      <c r="O1" s="2"/>
      <c r="P1" s="4" t="s">
        <v>0</v>
      </c>
      <c r="Q1" s="2"/>
      <c r="R1" s="3"/>
      <c r="T1" s="3"/>
      <c r="U1" s="2"/>
      <c r="V1" s="3"/>
      <c r="W1" s="2"/>
      <c r="X1" s="3"/>
      <c r="Y1" s="2"/>
      <c r="Z1" s="3"/>
      <c r="AB1" s="3"/>
      <c r="AC1" s="2"/>
      <c r="AD1" s="3"/>
      <c r="AE1" s="2"/>
      <c r="AF1" s="4" t="s">
        <v>0</v>
      </c>
      <c r="AG1" s="2"/>
      <c r="AH1" s="3"/>
      <c r="AI1" s="2"/>
      <c r="AJ1" s="3"/>
      <c r="AK1" s="2"/>
      <c r="AL1" s="3"/>
      <c r="AM1" s="2"/>
      <c r="AN1" s="3"/>
      <c r="AO1" s="2"/>
      <c r="AP1" s="3"/>
      <c r="AQ1" s="2"/>
      <c r="AR1" s="3"/>
      <c r="AS1" s="2"/>
      <c r="AT1" s="3"/>
      <c r="AU1" s="2"/>
      <c r="AV1" s="4" t="s">
        <v>0</v>
      </c>
      <c r="AW1" s="2"/>
      <c r="AX1" s="3"/>
      <c r="AY1" s="2"/>
      <c r="AZ1" s="3"/>
      <c r="BA1" s="2"/>
      <c r="BB1" s="3"/>
      <c r="BC1" s="2"/>
      <c r="BD1" s="3"/>
      <c r="BE1" s="2"/>
      <c r="BF1" s="3"/>
      <c r="BG1" s="2"/>
      <c r="BH1" s="3"/>
      <c r="BI1" s="2"/>
      <c r="BJ1" s="3"/>
      <c r="BK1" s="2"/>
      <c r="BL1" s="4" t="s">
        <v>0</v>
      </c>
      <c r="BM1" s="2"/>
      <c r="BN1" s="3"/>
      <c r="BO1" s="2"/>
      <c r="BP1" s="3"/>
      <c r="BQ1" s="2"/>
      <c r="BR1" s="3"/>
      <c r="BS1" s="2"/>
      <c r="BT1" s="3"/>
      <c r="BU1" s="2"/>
      <c r="BV1" s="3"/>
      <c r="BW1" s="2"/>
      <c r="BX1" s="3"/>
      <c r="BY1" s="2"/>
      <c r="BZ1" s="3"/>
      <c r="CA1" s="2"/>
      <c r="CB1" s="4" t="s">
        <v>0</v>
      </c>
      <c r="CC1" s="2"/>
      <c r="CD1" s="3"/>
      <c r="CE1" s="2"/>
      <c r="CF1" s="3"/>
      <c r="CG1" s="2"/>
      <c r="CH1" s="3"/>
      <c r="CI1" s="2"/>
      <c r="CJ1" s="3"/>
      <c r="CK1" s="2"/>
      <c r="CL1" s="3"/>
      <c r="CM1" s="2"/>
      <c r="CN1" s="3"/>
      <c r="CO1" s="2"/>
      <c r="CP1" s="3"/>
      <c r="CQ1" s="2"/>
      <c r="CR1" s="4" t="s">
        <v>0</v>
      </c>
      <c r="CS1" s="2"/>
      <c r="CT1" s="3"/>
      <c r="CU1" s="2"/>
      <c r="CV1" s="3"/>
      <c r="CX1" s="3"/>
      <c r="CY1" s="2"/>
      <c r="CZ1" s="3"/>
      <c r="DA1" s="2"/>
      <c r="DB1" s="3"/>
      <c r="DC1" s="2"/>
      <c r="DD1" s="3"/>
      <c r="DE1" s="2"/>
      <c r="DF1" s="3"/>
      <c r="DG1" s="2"/>
      <c r="DH1" s="4" t="s">
        <v>0</v>
      </c>
      <c r="DI1" s="2"/>
      <c r="DJ1" s="3"/>
      <c r="DK1" s="2"/>
      <c r="DL1" s="3"/>
      <c r="DN1" s="3"/>
      <c r="DO1" s="2"/>
      <c r="DP1" s="3"/>
      <c r="DQ1" s="2"/>
      <c r="DR1" s="3"/>
      <c r="DS1" s="2"/>
      <c r="DT1" s="3"/>
      <c r="DU1" s="2"/>
      <c r="DV1" s="3"/>
      <c r="DW1" s="2"/>
      <c r="DX1" s="4" t="s">
        <v>0</v>
      </c>
      <c r="DY1" s="2"/>
      <c r="DZ1" s="3"/>
      <c r="EA1" s="2"/>
      <c r="EB1" s="3"/>
      <c r="EC1" s="2"/>
      <c r="ED1" s="3"/>
      <c r="EF1" s="3"/>
      <c r="EG1" s="2"/>
      <c r="EH1" s="3"/>
      <c r="EI1" s="2"/>
      <c r="EJ1" s="3"/>
      <c r="EK1" s="2"/>
      <c r="EL1" s="3"/>
      <c r="EM1" s="2"/>
      <c r="EN1" s="2"/>
    </row>
    <row r="2" spans="2:181" x14ac:dyDescent="0.35">
      <c r="B2" s="123" t="s">
        <v>1</v>
      </c>
      <c r="C2" s="121" t="s">
        <v>2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2" t="s">
        <v>3</v>
      </c>
      <c r="AB2" s="122"/>
      <c r="AC2" s="122"/>
      <c r="AD2" s="113" t="s">
        <v>4</v>
      </c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1" t="s">
        <v>5</v>
      </c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2" t="s">
        <v>6</v>
      </c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0" t="s">
        <v>7</v>
      </c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2"/>
    </row>
    <row r="3" spans="2:181" x14ac:dyDescent="0.35">
      <c r="B3" s="123"/>
      <c r="C3" s="121" t="s">
        <v>8</v>
      </c>
      <c r="D3" s="121"/>
      <c r="E3" s="121"/>
      <c r="F3" s="121"/>
      <c r="G3" s="121"/>
      <c r="H3" s="121"/>
      <c r="I3" s="121"/>
      <c r="J3" s="121"/>
      <c r="K3" s="121" t="s">
        <v>9</v>
      </c>
      <c r="L3" s="121"/>
      <c r="M3" s="121"/>
      <c r="N3" s="121"/>
      <c r="O3" s="121"/>
      <c r="P3" s="121"/>
      <c r="Q3" s="121"/>
      <c r="R3" s="121"/>
      <c r="S3" s="121" t="s">
        <v>10</v>
      </c>
      <c r="T3" s="121"/>
      <c r="U3" s="121"/>
      <c r="V3" s="121"/>
      <c r="W3" s="121"/>
      <c r="X3" s="121"/>
      <c r="Y3" s="121"/>
      <c r="Z3" s="121"/>
      <c r="AA3" s="122" t="s">
        <v>11</v>
      </c>
      <c r="AB3" s="122"/>
      <c r="AC3" s="122"/>
      <c r="AD3" s="113" t="s">
        <v>12</v>
      </c>
      <c r="AE3" s="113"/>
      <c r="AF3" s="113"/>
      <c r="AG3" s="113"/>
      <c r="AH3" s="113"/>
      <c r="AI3" s="113"/>
      <c r="AJ3" s="113"/>
      <c r="AK3" s="113"/>
      <c r="AL3" s="113" t="s">
        <v>13</v>
      </c>
      <c r="AM3" s="113"/>
      <c r="AN3" s="113"/>
      <c r="AO3" s="113"/>
      <c r="AP3" s="113"/>
      <c r="AQ3" s="113"/>
      <c r="AR3" s="113"/>
      <c r="AS3" s="113"/>
      <c r="AT3" s="111" t="s">
        <v>14</v>
      </c>
      <c r="AU3" s="111"/>
      <c r="AV3" s="111"/>
      <c r="AW3" s="111"/>
      <c r="AX3" s="111"/>
      <c r="AY3" s="111"/>
      <c r="AZ3" s="111"/>
      <c r="BA3" s="111"/>
      <c r="BB3" s="111" t="s">
        <v>15</v>
      </c>
      <c r="BC3" s="111"/>
      <c r="BD3" s="111"/>
      <c r="BE3" s="111"/>
      <c r="BF3" s="111"/>
      <c r="BG3" s="111"/>
      <c r="BH3" s="111"/>
      <c r="BI3" s="111"/>
      <c r="BJ3" s="111" t="s">
        <v>16</v>
      </c>
      <c r="BK3" s="111"/>
      <c r="BL3" s="111"/>
      <c r="BM3" s="111"/>
      <c r="BN3" s="111"/>
      <c r="BO3" s="111"/>
      <c r="BP3" s="111"/>
      <c r="BQ3" s="111"/>
      <c r="BR3" s="111" t="s">
        <v>17</v>
      </c>
      <c r="BS3" s="111"/>
      <c r="BT3" s="111"/>
      <c r="BU3" s="111"/>
      <c r="BV3" s="111"/>
      <c r="BW3" s="111"/>
      <c r="BX3" s="111"/>
      <c r="BY3" s="111"/>
      <c r="BZ3" s="111" t="s">
        <v>18</v>
      </c>
      <c r="CA3" s="111"/>
      <c r="CB3" s="111"/>
      <c r="CC3" s="111"/>
      <c r="CD3" s="111"/>
      <c r="CE3" s="111"/>
      <c r="CF3" s="111"/>
      <c r="CG3" s="111"/>
      <c r="CH3" s="111" t="s">
        <v>19</v>
      </c>
      <c r="CI3" s="111"/>
      <c r="CJ3" s="111"/>
      <c r="CK3" s="111"/>
      <c r="CL3" s="111"/>
      <c r="CM3" s="111"/>
      <c r="CN3" s="111"/>
      <c r="CO3" s="111"/>
      <c r="CP3" s="112" t="s">
        <v>20</v>
      </c>
      <c r="CQ3" s="112"/>
      <c r="CR3" s="112"/>
      <c r="CS3" s="112"/>
      <c r="CT3" s="112"/>
      <c r="CU3" s="112"/>
      <c r="CV3" s="112"/>
      <c r="CW3" s="112" t="s">
        <v>21</v>
      </c>
      <c r="CX3" s="112"/>
      <c r="CY3" s="112"/>
      <c r="CZ3" s="112"/>
      <c r="DA3" s="112"/>
      <c r="DB3" s="112"/>
      <c r="DC3" s="112"/>
      <c r="DD3" s="110" t="s">
        <v>22</v>
      </c>
      <c r="DE3" s="110"/>
      <c r="DF3" s="110"/>
      <c r="DG3" s="110"/>
      <c r="DH3" s="110"/>
      <c r="DI3" s="110"/>
      <c r="DJ3" s="110"/>
      <c r="DK3" s="110"/>
      <c r="DL3" s="110"/>
      <c r="DM3" s="110" t="s">
        <v>23</v>
      </c>
      <c r="DN3" s="110"/>
      <c r="DO3" s="110"/>
      <c r="DP3" s="110"/>
      <c r="DQ3" s="110"/>
      <c r="DR3" s="110"/>
      <c r="DS3" s="110"/>
      <c r="DT3" s="110"/>
      <c r="DU3" s="110"/>
      <c r="DV3" s="114" t="s">
        <v>24</v>
      </c>
      <c r="DW3" s="114"/>
      <c r="DX3" s="114"/>
      <c r="DY3" s="114"/>
      <c r="DZ3" s="114"/>
      <c r="EA3" s="114"/>
      <c r="EB3" s="114"/>
      <c r="EC3" s="114"/>
      <c r="ED3" s="114"/>
      <c r="EE3" s="110" t="s">
        <v>25</v>
      </c>
      <c r="EF3" s="110"/>
      <c r="EG3" s="110"/>
      <c r="EH3" s="110"/>
      <c r="EI3" s="110"/>
      <c r="EJ3" s="110"/>
      <c r="EK3" s="110"/>
      <c r="EL3" s="110"/>
      <c r="EM3" s="110"/>
      <c r="EN3" s="2"/>
    </row>
    <row r="4" spans="2:181" x14ac:dyDescent="0.35">
      <c r="B4" s="123"/>
      <c r="C4" s="10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10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105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105" t="s">
        <v>26</v>
      </c>
      <c r="AB4" s="6" t="s">
        <v>27</v>
      </c>
      <c r="AC4" s="6" t="s">
        <v>34</v>
      </c>
      <c r="AD4" s="105" t="s">
        <v>26</v>
      </c>
      <c r="AE4" s="6" t="s">
        <v>27</v>
      </c>
      <c r="AF4" s="6" t="s">
        <v>34</v>
      </c>
      <c r="AG4" s="108" t="s">
        <v>35</v>
      </c>
      <c r="AH4" s="109"/>
      <c r="AI4" s="6" t="s">
        <v>30</v>
      </c>
      <c r="AJ4" s="6" t="s">
        <v>31</v>
      </c>
      <c r="AK4" s="6" t="s">
        <v>36</v>
      </c>
      <c r="AL4" s="105" t="s">
        <v>26</v>
      </c>
      <c r="AM4" s="6" t="s">
        <v>27</v>
      </c>
      <c r="AN4" s="6" t="s">
        <v>34</v>
      </c>
      <c r="AO4" s="108" t="s">
        <v>35</v>
      </c>
      <c r="AP4" s="109"/>
      <c r="AQ4" s="6" t="s">
        <v>30</v>
      </c>
      <c r="AR4" s="6" t="s">
        <v>31</v>
      </c>
      <c r="AS4" s="6" t="s">
        <v>36</v>
      </c>
      <c r="AT4" s="105" t="s">
        <v>26</v>
      </c>
      <c r="AU4" s="6" t="s">
        <v>27</v>
      </c>
      <c r="AV4" s="6" t="s">
        <v>34</v>
      </c>
      <c r="AW4" s="108" t="s">
        <v>35</v>
      </c>
      <c r="AX4" s="109"/>
      <c r="AY4" s="6" t="s">
        <v>30</v>
      </c>
      <c r="AZ4" s="6" t="s">
        <v>31</v>
      </c>
      <c r="BA4" s="6" t="s">
        <v>37</v>
      </c>
      <c r="BB4" s="105" t="s">
        <v>26</v>
      </c>
      <c r="BC4" s="6" t="s">
        <v>27</v>
      </c>
      <c r="BD4" s="6" t="s">
        <v>34</v>
      </c>
      <c r="BE4" s="108" t="s">
        <v>35</v>
      </c>
      <c r="BF4" s="109"/>
      <c r="BG4" s="6" t="s">
        <v>30</v>
      </c>
      <c r="BH4" s="6" t="s">
        <v>31</v>
      </c>
      <c r="BI4" s="6" t="s">
        <v>37</v>
      </c>
      <c r="BJ4" s="105" t="s">
        <v>26</v>
      </c>
      <c r="BK4" s="6" t="s">
        <v>27</v>
      </c>
      <c r="BL4" s="6" t="s">
        <v>34</v>
      </c>
      <c r="BM4" s="108" t="s">
        <v>35</v>
      </c>
      <c r="BN4" s="109"/>
      <c r="BO4" s="6" t="s">
        <v>30</v>
      </c>
      <c r="BP4" s="6" t="s">
        <v>31</v>
      </c>
      <c r="BQ4" s="6" t="s">
        <v>37</v>
      </c>
      <c r="BR4" s="7" t="s">
        <v>26</v>
      </c>
      <c r="BS4" s="6" t="s">
        <v>27</v>
      </c>
      <c r="BT4" s="6" t="s">
        <v>34</v>
      </c>
      <c r="BU4" s="108" t="s">
        <v>35</v>
      </c>
      <c r="BV4" s="109"/>
      <c r="BW4" s="6" t="s">
        <v>30</v>
      </c>
      <c r="BX4" s="6" t="s">
        <v>31</v>
      </c>
      <c r="BY4" s="6" t="s">
        <v>37</v>
      </c>
      <c r="BZ4" s="7" t="s">
        <v>26</v>
      </c>
      <c r="CA4" s="6" t="s">
        <v>27</v>
      </c>
      <c r="CB4" s="6" t="s">
        <v>34</v>
      </c>
      <c r="CC4" s="108" t="s">
        <v>35</v>
      </c>
      <c r="CD4" s="109"/>
      <c r="CE4" s="6" t="s">
        <v>30</v>
      </c>
      <c r="CF4" s="6" t="s">
        <v>31</v>
      </c>
      <c r="CG4" s="6" t="s">
        <v>37</v>
      </c>
      <c r="CH4" s="7" t="s">
        <v>26</v>
      </c>
      <c r="CI4" s="6" t="s">
        <v>27</v>
      </c>
      <c r="CJ4" s="6" t="s">
        <v>34</v>
      </c>
      <c r="CK4" s="108" t="s">
        <v>35</v>
      </c>
      <c r="CL4" s="109"/>
      <c r="CM4" s="6" t="s">
        <v>30</v>
      </c>
      <c r="CN4" s="6" t="s">
        <v>31</v>
      </c>
      <c r="CO4" s="6" t="s">
        <v>37</v>
      </c>
      <c r="CP4" s="105" t="s">
        <v>26</v>
      </c>
      <c r="CQ4" s="6" t="s">
        <v>27</v>
      </c>
      <c r="CR4" s="6" t="s">
        <v>34</v>
      </c>
      <c r="CS4" s="108" t="s">
        <v>35</v>
      </c>
      <c r="CT4" s="109"/>
      <c r="CU4" s="6" t="s">
        <v>30</v>
      </c>
      <c r="CV4" s="6" t="s">
        <v>31</v>
      </c>
      <c r="CW4" s="105" t="s">
        <v>26</v>
      </c>
      <c r="CX4" s="6" t="s">
        <v>27</v>
      </c>
      <c r="CY4" s="6" t="s">
        <v>34</v>
      </c>
      <c r="CZ4" s="108" t="s">
        <v>35</v>
      </c>
      <c r="DA4" s="109"/>
      <c r="DB4" s="6" t="s">
        <v>30</v>
      </c>
      <c r="DC4" s="6" t="s">
        <v>31</v>
      </c>
      <c r="DD4" s="105" t="s">
        <v>26</v>
      </c>
      <c r="DE4" s="6" t="s">
        <v>27</v>
      </c>
      <c r="DF4" s="6" t="s">
        <v>34</v>
      </c>
      <c r="DG4" s="101" t="s">
        <v>35</v>
      </c>
      <c r="DH4" s="101"/>
      <c r="DI4" s="6" t="s">
        <v>30</v>
      </c>
      <c r="DJ4" s="6" t="s">
        <v>31</v>
      </c>
      <c r="DK4" s="6" t="s">
        <v>37</v>
      </c>
      <c r="DL4" s="6" t="s">
        <v>38</v>
      </c>
      <c r="DM4" s="105" t="s">
        <v>26</v>
      </c>
      <c r="DN4" s="6" t="s">
        <v>27</v>
      </c>
      <c r="DO4" s="6" t="s">
        <v>34</v>
      </c>
      <c r="DP4" s="101" t="s">
        <v>35</v>
      </c>
      <c r="DQ4" s="101"/>
      <c r="DR4" s="6" t="s">
        <v>30</v>
      </c>
      <c r="DS4" s="6" t="s">
        <v>31</v>
      </c>
      <c r="DT4" s="6" t="s">
        <v>37</v>
      </c>
      <c r="DU4" s="8" t="s">
        <v>38</v>
      </c>
      <c r="DV4" s="6" t="s">
        <v>26</v>
      </c>
      <c r="DW4" s="6" t="s">
        <v>27</v>
      </c>
      <c r="DX4" s="6" t="s">
        <v>34</v>
      </c>
      <c r="DY4" s="101" t="s">
        <v>35</v>
      </c>
      <c r="DZ4" s="101"/>
      <c r="EA4" s="6" t="s">
        <v>30</v>
      </c>
      <c r="EB4" s="6" t="s">
        <v>31</v>
      </c>
      <c r="EC4" s="6" t="s">
        <v>37</v>
      </c>
      <c r="ED4" s="6" t="s">
        <v>38</v>
      </c>
      <c r="EE4" s="107" t="s">
        <v>26</v>
      </c>
      <c r="EF4" s="6" t="s">
        <v>27</v>
      </c>
      <c r="EG4" s="6" t="s">
        <v>34</v>
      </c>
      <c r="EH4" s="101" t="s">
        <v>35</v>
      </c>
      <c r="EI4" s="101"/>
      <c r="EJ4" s="6" t="s">
        <v>30</v>
      </c>
      <c r="EK4" s="6" t="s">
        <v>31</v>
      </c>
      <c r="EL4" s="6" t="s">
        <v>37</v>
      </c>
      <c r="EM4" s="6" t="s">
        <v>38</v>
      </c>
      <c r="EN4" s="9"/>
      <c r="EO4" s="102" t="s">
        <v>39</v>
      </c>
      <c r="EP4" s="104" t="s">
        <v>8</v>
      </c>
      <c r="EQ4" s="104"/>
      <c r="ER4" s="104" t="s">
        <v>9</v>
      </c>
      <c r="ES4" s="104"/>
      <c r="ET4" s="104" t="s">
        <v>10</v>
      </c>
      <c r="EU4" s="104"/>
      <c r="EV4" s="100" t="s">
        <v>11</v>
      </c>
      <c r="EW4" s="100"/>
      <c r="EX4" s="99" t="s">
        <v>12</v>
      </c>
      <c r="EY4" s="99"/>
      <c r="EZ4" s="99" t="s">
        <v>13</v>
      </c>
      <c r="FA4" s="99"/>
      <c r="FB4" s="97" t="s">
        <v>14</v>
      </c>
      <c r="FC4" s="97"/>
      <c r="FD4" s="97" t="s">
        <v>15</v>
      </c>
      <c r="FE4" s="97"/>
      <c r="FF4" s="97" t="s">
        <v>16</v>
      </c>
      <c r="FG4" s="97"/>
      <c r="FH4" s="97" t="s">
        <v>17</v>
      </c>
      <c r="FI4" s="97"/>
      <c r="FJ4" s="97" t="s">
        <v>18</v>
      </c>
      <c r="FK4" s="97"/>
      <c r="FL4" s="97" t="s">
        <v>19</v>
      </c>
      <c r="FM4" s="97"/>
      <c r="FN4" s="97" t="s">
        <v>20</v>
      </c>
      <c r="FO4" s="97"/>
      <c r="FP4" s="97" t="s">
        <v>21</v>
      </c>
      <c r="FQ4" s="97"/>
      <c r="FR4" s="96" t="s">
        <v>40</v>
      </c>
      <c r="FS4" s="96"/>
      <c r="FT4" s="96" t="s">
        <v>41</v>
      </c>
      <c r="FU4" s="96"/>
      <c r="FV4" s="96" t="s">
        <v>42</v>
      </c>
      <c r="FW4" s="96"/>
      <c r="FX4" s="96" t="s">
        <v>43</v>
      </c>
      <c r="FY4" s="96"/>
    </row>
    <row r="5" spans="2:181" s="22" customFormat="1" x14ac:dyDescent="0.35">
      <c r="B5" s="123"/>
      <c r="C5" s="106"/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44</v>
      </c>
      <c r="J5" s="13" t="s">
        <v>49</v>
      </c>
      <c r="K5" s="106"/>
      <c r="L5" s="13" t="s">
        <v>44</v>
      </c>
      <c r="M5" s="13" t="s">
        <v>45</v>
      </c>
      <c r="N5" s="13" t="s">
        <v>46</v>
      </c>
      <c r="O5" s="13" t="s">
        <v>47</v>
      </c>
      <c r="P5" s="13" t="s">
        <v>48</v>
      </c>
      <c r="Q5" s="13" t="s">
        <v>44</v>
      </c>
      <c r="R5" s="13" t="s">
        <v>49</v>
      </c>
      <c r="S5" s="106"/>
      <c r="T5" s="13" t="s">
        <v>44</v>
      </c>
      <c r="U5" s="13" t="s">
        <v>45</v>
      </c>
      <c r="V5" s="13" t="s">
        <v>46</v>
      </c>
      <c r="W5" s="13" t="s">
        <v>47</v>
      </c>
      <c r="X5" s="13" t="s">
        <v>48</v>
      </c>
      <c r="Y5" s="13" t="s">
        <v>44</v>
      </c>
      <c r="Z5" s="13" t="s">
        <v>49</v>
      </c>
      <c r="AA5" s="106"/>
      <c r="AB5" s="6" t="s">
        <v>50</v>
      </c>
      <c r="AC5" s="6" t="s">
        <v>51</v>
      </c>
      <c r="AD5" s="106"/>
      <c r="AE5" s="6" t="s">
        <v>52</v>
      </c>
      <c r="AF5" s="6" t="s">
        <v>53</v>
      </c>
      <c r="AG5" s="6" t="s">
        <v>54</v>
      </c>
      <c r="AH5" s="6" t="s">
        <v>55</v>
      </c>
      <c r="AI5" s="6" t="s">
        <v>56</v>
      </c>
      <c r="AJ5" s="6"/>
      <c r="AK5" s="6" t="s">
        <v>57</v>
      </c>
      <c r="AL5" s="106"/>
      <c r="AM5" s="6" t="s">
        <v>52</v>
      </c>
      <c r="AN5" s="6" t="s">
        <v>53</v>
      </c>
      <c r="AO5" s="6" t="s">
        <v>54</v>
      </c>
      <c r="AP5" s="6" t="s">
        <v>55</v>
      </c>
      <c r="AQ5" s="6" t="s">
        <v>56</v>
      </c>
      <c r="AR5" s="6"/>
      <c r="AS5" s="6" t="s">
        <v>57</v>
      </c>
      <c r="AT5" s="106"/>
      <c r="AU5" s="6" t="s">
        <v>58</v>
      </c>
      <c r="AV5" s="6" t="s">
        <v>58</v>
      </c>
      <c r="AW5" s="6" t="s">
        <v>54</v>
      </c>
      <c r="AX5" s="6" t="s">
        <v>55</v>
      </c>
      <c r="AY5" s="6" t="s">
        <v>59</v>
      </c>
      <c r="AZ5" s="6"/>
      <c r="BA5" s="14" t="s">
        <v>60</v>
      </c>
      <c r="BB5" s="106"/>
      <c r="BC5" s="6" t="s">
        <v>58</v>
      </c>
      <c r="BD5" s="6" t="s">
        <v>58</v>
      </c>
      <c r="BE5" s="6" t="s">
        <v>54</v>
      </c>
      <c r="BF5" s="6" t="s">
        <v>55</v>
      </c>
      <c r="BG5" s="6" t="s">
        <v>59</v>
      </c>
      <c r="BH5" s="6"/>
      <c r="BI5" s="14" t="s">
        <v>60</v>
      </c>
      <c r="BJ5" s="106"/>
      <c r="BK5" s="6" t="s">
        <v>58</v>
      </c>
      <c r="BL5" s="6" t="s">
        <v>58</v>
      </c>
      <c r="BM5" s="6" t="s">
        <v>54</v>
      </c>
      <c r="BN5" s="6" t="s">
        <v>55</v>
      </c>
      <c r="BO5" s="6" t="s">
        <v>59</v>
      </c>
      <c r="BP5" s="6"/>
      <c r="BQ5" s="14" t="s">
        <v>60</v>
      </c>
      <c r="BR5" s="7"/>
      <c r="BS5" s="6" t="s">
        <v>58</v>
      </c>
      <c r="BT5" s="6" t="s">
        <v>58</v>
      </c>
      <c r="BU5" s="6" t="s">
        <v>54</v>
      </c>
      <c r="BV5" s="6" t="s">
        <v>55</v>
      </c>
      <c r="BW5" s="6" t="s">
        <v>59</v>
      </c>
      <c r="BX5" s="6"/>
      <c r="BY5" s="14" t="s">
        <v>60</v>
      </c>
      <c r="BZ5" s="7"/>
      <c r="CA5" s="6" t="s">
        <v>58</v>
      </c>
      <c r="CB5" s="6" t="s">
        <v>58</v>
      </c>
      <c r="CC5" s="6" t="s">
        <v>54</v>
      </c>
      <c r="CD5" s="6" t="s">
        <v>55</v>
      </c>
      <c r="CE5" s="6" t="s">
        <v>59</v>
      </c>
      <c r="CF5" s="6"/>
      <c r="CG5" s="14" t="s">
        <v>60</v>
      </c>
      <c r="CH5" s="7"/>
      <c r="CI5" s="6" t="s">
        <v>58</v>
      </c>
      <c r="CJ5" s="6" t="s">
        <v>58</v>
      </c>
      <c r="CK5" s="6" t="s">
        <v>54</v>
      </c>
      <c r="CL5" s="6" t="s">
        <v>55</v>
      </c>
      <c r="CM5" s="6" t="s">
        <v>59</v>
      </c>
      <c r="CN5" s="6"/>
      <c r="CO5" s="14" t="s">
        <v>60</v>
      </c>
      <c r="CP5" s="106"/>
      <c r="CQ5" s="6" t="s">
        <v>58</v>
      </c>
      <c r="CR5" s="6" t="s">
        <v>58</v>
      </c>
      <c r="CS5" s="6" t="s">
        <v>54</v>
      </c>
      <c r="CT5" s="6" t="s">
        <v>55</v>
      </c>
      <c r="CU5" s="6" t="s">
        <v>61</v>
      </c>
      <c r="CV5" s="6" t="s">
        <v>51</v>
      </c>
      <c r="CW5" s="106"/>
      <c r="CX5" s="6" t="s">
        <v>58</v>
      </c>
      <c r="CY5" s="6" t="s">
        <v>58</v>
      </c>
      <c r="CZ5" s="6" t="s">
        <v>54</v>
      </c>
      <c r="DA5" s="6" t="s">
        <v>55</v>
      </c>
      <c r="DB5" s="6" t="s">
        <v>61</v>
      </c>
      <c r="DC5" s="6" t="s">
        <v>51</v>
      </c>
      <c r="DD5" s="106"/>
      <c r="DE5" s="6" t="s">
        <v>58</v>
      </c>
      <c r="DF5" s="6" t="s">
        <v>58</v>
      </c>
      <c r="DG5" s="6" t="s">
        <v>62</v>
      </c>
      <c r="DH5" s="6" t="s">
        <v>55</v>
      </c>
      <c r="DI5" s="6" t="s">
        <v>59</v>
      </c>
      <c r="DJ5" s="6"/>
      <c r="DK5" s="6" t="s">
        <v>60</v>
      </c>
      <c r="DL5" s="15" t="s">
        <v>63</v>
      </c>
      <c r="DM5" s="106"/>
      <c r="DN5" s="6" t="s">
        <v>58</v>
      </c>
      <c r="DO5" s="6" t="s">
        <v>58</v>
      </c>
      <c r="DP5" s="6" t="s">
        <v>62</v>
      </c>
      <c r="DQ5" s="6" t="s">
        <v>55</v>
      </c>
      <c r="DR5" s="6" t="s">
        <v>59</v>
      </c>
      <c r="DS5" s="6"/>
      <c r="DT5" s="6" t="s">
        <v>60</v>
      </c>
      <c r="DU5" s="15" t="s">
        <v>63</v>
      </c>
      <c r="DV5" s="6"/>
      <c r="DW5" s="6" t="s">
        <v>58</v>
      </c>
      <c r="DX5" s="6" t="s">
        <v>58</v>
      </c>
      <c r="DY5" s="6" t="s">
        <v>62</v>
      </c>
      <c r="DZ5" s="6" t="s">
        <v>55</v>
      </c>
      <c r="EA5" s="6" t="s">
        <v>59</v>
      </c>
      <c r="EB5" s="6"/>
      <c r="EC5" s="6" t="s">
        <v>60</v>
      </c>
      <c r="ED5" s="15" t="s">
        <v>63</v>
      </c>
      <c r="EE5" s="107"/>
      <c r="EF5" s="6" t="s">
        <v>58</v>
      </c>
      <c r="EG5" s="6" t="s">
        <v>58</v>
      </c>
      <c r="EH5" s="6" t="s">
        <v>62</v>
      </c>
      <c r="EI5" s="6" t="s">
        <v>55</v>
      </c>
      <c r="EJ5" s="6" t="s">
        <v>59</v>
      </c>
      <c r="EK5" s="6"/>
      <c r="EL5" s="6" t="s">
        <v>60</v>
      </c>
      <c r="EM5" s="15" t="s">
        <v>63</v>
      </c>
      <c r="EN5" s="16"/>
      <c r="EO5" s="103"/>
      <c r="EP5" s="17" t="s">
        <v>64</v>
      </c>
      <c r="EQ5" s="17" t="s">
        <v>65</v>
      </c>
      <c r="ER5" s="17" t="s">
        <v>64</v>
      </c>
      <c r="ES5" s="17" t="s">
        <v>65</v>
      </c>
      <c r="ET5" s="17" t="s">
        <v>64</v>
      </c>
      <c r="EU5" s="17" t="s">
        <v>65</v>
      </c>
      <c r="EV5" s="18" t="s">
        <v>64</v>
      </c>
      <c r="EW5" s="18" t="s">
        <v>65</v>
      </c>
      <c r="EX5" s="19" t="s">
        <v>64</v>
      </c>
      <c r="EY5" s="19" t="s">
        <v>65</v>
      </c>
      <c r="EZ5" s="19" t="s">
        <v>64</v>
      </c>
      <c r="FA5" s="19" t="s">
        <v>65</v>
      </c>
      <c r="FB5" s="20" t="s">
        <v>64</v>
      </c>
      <c r="FC5" s="20" t="s">
        <v>65</v>
      </c>
      <c r="FD5" s="20" t="s">
        <v>64</v>
      </c>
      <c r="FE5" s="20" t="s">
        <v>65</v>
      </c>
      <c r="FF5" s="20" t="s">
        <v>64</v>
      </c>
      <c r="FG5" s="20" t="s">
        <v>65</v>
      </c>
      <c r="FH5" s="20" t="s">
        <v>64</v>
      </c>
      <c r="FI5" s="20" t="s">
        <v>65</v>
      </c>
      <c r="FJ5" s="20" t="s">
        <v>64</v>
      </c>
      <c r="FK5" s="20" t="s">
        <v>65</v>
      </c>
      <c r="FL5" s="20" t="s">
        <v>64</v>
      </c>
      <c r="FM5" s="20" t="s">
        <v>65</v>
      </c>
      <c r="FN5" s="20" t="s">
        <v>64</v>
      </c>
      <c r="FO5" s="20" t="s">
        <v>65</v>
      </c>
      <c r="FP5" s="20" t="s">
        <v>64</v>
      </c>
      <c r="FQ5" s="20" t="s">
        <v>65</v>
      </c>
      <c r="FR5" s="21" t="s">
        <v>64</v>
      </c>
      <c r="FS5" s="21" t="s">
        <v>65</v>
      </c>
      <c r="FT5" s="21" t="s">
        <v>64</v>
      </c>
      <c r="FU5" s="21" t="s">
        <v>65</v>
      </c>
      <c r="FV5" s="21" t="s">
        <v>64</v>
      </c>
      <c r="FW5" s="21" t="s">
        <v>65</v>
      </c>
      <c r="FX5" s="21" t="s">
        <v>64</v>
      </c>
      <c r="FY5" s="21" t="s">
        <v>65</v>
      </c>
    </row>
    <row r="6" spans="2:181" x14ac:dyDescent="0.35">
      <c r="B6" s="23">
        <f>[2]Refinery!B6</f>
        <v>46023</v>
      </c>
      <c r="C6" s="24">
        <v>2454880</v>
      </c>
      <c r="D6" s="25">
        <v>4.8</v>
      </c>
      <c r="E6" s="25">
        <v>0.26</v>
      </c>
      <c r="F6" s="25">
        <v>2</v>
      </c>
      <c r="G6" s="25">
        <v>52.01</v>
      </c>
      <c r="H6" s="25">
        <v>2.23</v>
      </c>
      <c r="I6" s="25">
        <v>2.12</v>
      </c>
      <c r="J6" s="25">
        <f>(2*H6)+I6</f>
        <v>6.58</v>
      </c>
      <c r="K6" s="24">
        <v>2265210</v>
      </c>
      <c r="L6" s="25">
        <v>4.9000000000000004</v>
      </c>
      <c r="M6" s="25">
        <v>0.28999999999999998</v>
      </c>
      <c r="N6" s="25">
        <v>2.0099999999999998</v>
      </c>
      <c r="O6" s="25">
        <v>51.97</v>
      </c>
      <c r="P6" s="25">
        <v>2.2000000000000002</v>
      </c>
      <c r="Q6" s="25">
        <v>2.13</v>
      </c>
      <c r="R6" s="25">
        <f>(2*P6)+Q6</f>
        <v>6.53</v>
      </c>
      <c r="S6" s="26">
        <v>2533906</v>
      </c>
      <c r="T6" s="27">
        <v>4.8499999999999996</v>
      </c>
      <c r="U6" s="25">
        <v>0.3</v>
      </c>
      <c r="V6" s="27">
        <v>1.96</v>
      </c>
      <c r="W6" s="27">
        <v>52.03</v>
      </c>
      <c r="X6" s="27">
        <v>2.0299999999999998</v>
      </c>
      <c r="Y6" s="27">
        <v>1.94</v>
      </c>
      <c r="Z6" s="25">
        <f>(2*X6)+Y6</f>
        <v>6</v>
      </c>
      <c r="AA6" s="24">
        <v>15000</v>
      </c>
      <c r="AB6" s="25">
        <v>89.54</v>
      </c>
      <c r="AC6" s="25">
        <v>0.15</v>
      </c>
      <c r="AD6" s="28"/>
      <c r="AE6" s="29"/>
      <c r="AF6" s="30"/>
      <c r="AG6" s="31"/>
      <c r="AH6" s="32"/>
      <c r="AI6" s="30"/>
      <c r="AJ6" s="30"/>
      <c r="AK6" s="30"/>
      <c r="AL6" s="28"/>
      <c r="AM6" s="30"/>
      <c r="AN6" s="30"/>
      <c r="AO6" s="30"/>
      <c r="AP6" s="30"/>
      <c r="AQ6" s="30"/>
      <c r="AR6" s="30"/>
      <c r="AS6" s="30"/>
      <c r="AT6" s="28"/>
      <c r="AU6" s="29"/>
      <c r="AV6" s="30"/>
      <c r="AW6" s="31"/>
      <c r="AX6" s="32"/>
      <c r="AY6" s="30"/>
      <c r="AZ6" s="30"/>
      <c r="BA6" s="31"/>
      <c r="BB6" s="28"/>
      <c r="BC6" s="30"/>
      <c r="BD6" s="30"/>
      <c r="BE6" s="30"/>
      <c r="BF6" s="30"/>
      <c r="BG6" s="30"/>
      <c r="BH6" s="30"/>
      <c r="BI6" s="30"/>
      <c r="BJ6" s="28"/>
      <c r="BK6" s="30"/>
      <c r="BL6" s="30"/>
      <c r="BM6" s="30"/>
      <c r="BN6" s="30"/>
      <c r="BO6" s="30"/>
      <c r="BP6" s="30"/>
      <c r="BQ6" s="30"/>
      <c r="BR6" s="28"/>
      <c r="BS6" s="30"/>
      <c r="BT6" s="30"/>
      <c r="BU6" s="30"/>
      <c r="BV6" s="30"/>
      <c r="BW6" s="30"/>
      <c r="BX6" s="30"/>
      <c r="BY6" s="30"/>
      <c r="BZ6" s="28"/>
      <c r="CA6" s="30"/>
      <c r="CB6" s="30"/>
      <c r="CC6" s="30"/>
      <c r="CD6" s="30"/>
      <c r="CE6" s="30"/>
      <c r="CF6" s="30"/>
      <c r="CG6" s="30"/>
      <c r="CH6" s="28"/>
      <c r="CI6" s="30"/>
      <c r="CJ6" s="30"/>
      <c r="CK6" s="30"/>
      <c r="CL6" s="30"/>
      <c r="CM6" s="30"/>
      <c r="CN6" s="30"/>
      <c r="CO6" s="30"/>
      <c r="CP6" s="24"/>
      <c r="CQ6" s="25"/>
      <c r="CR6" s="25"/>
      <c r="CS6" s="25"/>
      <c r="CT6" s="25"/>
      <c r="CU6" s="25"/>
      <c r="CV6" s="25"/>
      <c r="CW6" s="24">
        <v>207000</v>
      </c>
      <c r="CX6" s="33">
        <v>0.114</v>
      </c>
      <c r="CY6" s="25">
        <v>0.04</v>
      </c>
      <c r="CZ6" s="34">
        <v>2.2000000000000002</v>
      </c>
      <c r="DA6" s="35">
        <v>22</v>
      </c>
      <c r="DB6" s="25">
        <v>52.18</v>
      </c>
      <c r="DC6" s="25" t="s">
        <v>66</v>
      </c>
      <c r="DD6" s="28"/>
      <c r="DE6" s="30"/>
      <c r="DF6" s="30"/>
      <c r="DG6" s="30"/>
      <c r="DH6" s="30"/>
      <c r="DI6" s="30"/>
      <c r="DJ6" s="30"/>
      <c r="DK6" s="30"/>
      <c r="DL6" s="36"/>
      <c r="DM6" s="28"/>
      <c r="DN6" s="30"/>
      <c r="DO6" s="30"/>
      <c r="DP6" s="30"/>
      <c r="DQ6" s="30"/>
      <c r="DR6" s="30"/>
      <c r="DS6" s="30"/>
      <c r="DT6" s="30"/>
      <c r="DU6" s="37"/>
      <c r="DV6" s="30"/>
      <c r="DW6" s="30"/>
      <c r="DX6" s="30"/>
      <c r="DY6" s="30"/>
      <c r="DZ6" s="30"/>
      <c r="EA6" s="30"/>
      <c r="EB6" s="30"/>
      <c r="EC6" s="30"/>
      <c r="ED6" s="38"/>
      <c r="EE6" s="28"/>
      <c r="EF6" s="30"/>
      <c r="EG6" s="30"/>
      <c r="EH6" s="30"/>
      <c r="EI6" s="30"/>
      <c r="EJ6" s="30"/>
      <c r="EK6" s="30"/>
      <c r="EL6" s="30"/>
      <c r="EM6" s="36"/>
      <c r="EN6" s="39"/>
      <c r="EO6" s="40">
        <f>[2]!Table1[[#This Row],[1]]</f>
        <v>46023</v>
      </c>
      <c r="EP6" s="40">
        <v>45978</v>
      </c>
      <c r="EQ6" s="40">
        <v>46001</v>
      </c>
      <c r="ER6" s="40">
        <v>45930</v>
      </c>
      <c r="ES6" s="40"/>
      <c r="ET6" s="40">
        <v>45992</v>
      </c>
      <c r="EU6" s="40">
        <v>46002</v>
      </c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</row>
    <row r="7" spans="2:181" x14ac:dyDescent="0.35">
      <c r="B7" s="41">
        <f>B6+1</f>
        <v>46024</v>
      </c>
      <c r="C7" s="24">
        <v>2454880</v>
      </c>
      <c r="D7" s="25">
        <v>4.8</v>
      </c>
      <c r="E7" s="25">
        <v>0.26</v>
      </c>
      <c r="F7" s="25">
        <v>2</v>
      </c>
      <c r="G7" s="25">
        <v>52.01</v>
      </c>
      <c r="H7" s="25">
        <v>2.23</v>
      </c>
      <c r="I7" s="25">
        <v>2.12</v>
      </c>
      <c r="J7" s="25">
        <f t="shared" ref="J7:J36" si="0">(2*H7)+I7</f>
        <v>6.58</v>
      </c>
      <c r="K7" s="24">
        <v>2074910</v>
      </c>
      <c r="L7" s="25">
        <v>4.92</v>
      </c>
      <c r="M7" s="25">
        <v>0.28999999999999998</v>
      </c>
      <c r="N7" s="25">
        <v>2.0099999999999998</v>
      </c>
      <c r="O7" s="25">
        <v>51.97</v>
      </c>
      <c r="P7" s="25">
        <v>2.2000000000000002</v>
      </c>
      <c r="Q7" s="25">
        <v>2.13</v>
      </c>
      <c r="R7" s="25">
        <f t="shared" ref="R7:R36" si="1">(2*P7)+Q7</f>
        <v>6.53</v>
      </c>
      <c r="S7" s="26">
        <v>2533906</v>
      </c>
      <c r="T7" s="27">
        <v>4.8499999999999996</v>
      </c>
      <c r="U7" s="25">
        <v>0.3</v>
      </c>
      <c r="V7" s="27">
        <v>1.96</v>
      </c>
      <c r="W7" s="27">
        <v>52.03</v>
      </c>
      <c r="X7" s="27">
        <v>2.0299999999999998</v>
      </c>
      <c r="Y7" s="27">
        <v>1.94</v>
      </c>
      <c r="Z7" s="25">
        <f t="shared" ref="Z7:Z36" si="2">(2*X7)+Y7</f>
        <v>6</v>
      </c>
      <c r="AA7" s="42">
        <v>25520</v>
      </c>
      <c r="AB7" s="25">
        <v>90</v>
      </c>
      <c r="AC7" s="25">
        <v>0.14000000000000001</v>
      </c>
      <c r="AD7" s="43"/>
      <c r="AE7" s="44"/>
      <c r="AF7" s="45"/>
      <c r="AG7" s="46"/>
      <c r="AH7" s="47"/>
      <c r="AI7" s="45"/>
      <c r="AJ7" s="45"/>
      <c r="AK7" s="45"/>
      <c r="AL7" s="43"/>
      <c r="AM7" s="45"/>
      <c r="AN7" s="45"/>
      <c r="AO7" s="45"/>
      <c r="AP7" s="45"/>
      <c r="AQ7" s="45"/>
      <c r="AR7" s="45"/>
      <c r="AS7" s="45"/>
      <c r="AT7" s="43"/>
      <c r="AU7" s="44"/>
      <c r="AV7" s="45"/>
      <c r="AW7" s="46"/>
      <c r="AX7" s="47"/>
      <c r="AY7" s="45"/>
      <c r="AZ7" s="45"/>
      <c r="BA7" s="46"/>
      <c r="BB7" s="43"/>
      <c r="BC7" s="45"/>
      <c r="BD7" s="45"/>
      <c r="BE7" s="45"/>
      <c r="BF7" s="45"/>
      <c r="BG7" s="45"/>
      <c r="BH7" s="45"/>
      <c r="BI7" s="45"/>
      <c r="BJ7" s="43"/>
      <c r="BK7" s="45"/>
      <c r="BL7" s="45"/>
      <c r="BM7" s="45"/>
      <c r="BN7" s="45"/>
      <c r="BO7" s="45"/>
      <c r="BP7" s="45"/>
      <c r="BQ7" s="45"/>
      <c r="BR7" s="43"/>
      <c r="BS7" s="45"/>
      <c r="BT7" s="45"/>
      <c r="BU7" s="45"/>
      <c r="BV7" s="45"/>
      <c r="BW7" s="45"/>
      <c r="BX7" s="45"/>
      <c r="BY7" s="45"/>
      <c r="BZ7" s="43"/>
      <c r="CA7" s="45"/>
      <c r="CB7" s="45"/>
      <c r="CC7" s="45"/>
      <c r="CD7" s="45"/>
      <c r="CE7" s="45"/>
      <c r="CF7" s="45"/>
      <c r="CG7" s="45"/>
      <c r="CH7" s="43"/>
      <c r="CI7" s="45"/>
      <c r="CJ7" s="45"/>
      <c r="CK7" s="45"/>
      <c r="CL7" s="45"/>
      <c r="CM7" s="45"/>
      <c r="CN7" s="45"/>
      <c r="CO7" s="45"/>
      <c r="CP7" s="42">
        <v>177600</v>
      </c>
      <c r="CQ7" s="48">
        <v>0.04</v>
      </c>
      <c r="CR7" s="49">
        <v>0.04</v>
      </c>
      <c r="CS7" s="50">
        <v>1.6</v>
      </c>
      <c r="CT7" s="51">
        <v>16</v>
      </c>
      <c r="CU7" s="49">
        <v>52.03</v>
      </c>
      <c r="CV7" s="49" t="s">
        <v>66</v>
      </c>
      <c r="CW7" s="42">
        <v>207000</v>
      </c>
      <c r="CX7" s="33">
        <v>0.114</v>
      </c>
      <c r="CY7" s="25">
        <v>0.04</v>
      </c>
      <c r="CZ7" s="34">
        <v>2.2000000000000002</v>
      </c>
      <c r="DA7" s="35">
        <v>22</v>
      </c>
      <c r="DB7" s="25">
        <v>52.18</v>
      </c>
      <c r="DC7" s="25" t="s">
        <v>66</v>
      </c>
      <c r="DD7" s="43"/>
      <c r="DE7" s="45"/>
      <c r="DF7" s="45"/>
      <c r="DG7" s="45"/>
      <c r="DH7" s="45"/>
      <c r="DI7" s="45"/>
      <c r="DJ7" s="45"/>
      <c r="DK7" s="45"/>
      <c r="DL7" s="38"/>
      <c r="DM7" s="43"/>
      <c r="DN7" s="45"/>
      <c r="DO7" s="45"/>
      <c r="DP7" s="45"/>
      <c r="DQ7" s="45"/>
      <c r="DR7" s="45"/>
      <c r="DS7" s="45"/>
      <c r="DT7" s="45"/>
      <c r="DU7" s="52"/>
      <c r="DV7" s="45"/>
      <c r="DW7" s="45"/>
      <c r="DX7" s="45"/>
      <c r="DY7" s="45"/>
      <c r="DZ7" s="45"/>
      <c r="EA7" s="45"/>
      <c r="EB7" s="45"/>
      <c r="EC7" s="45"/>
      <c r="ED7" s="38"/>
      <c r="EE7" s="43"/>
      <c r="EF7" s="45"/>
      <c r="EG7" s="45"/>
      <c r="EH7" s="45"/>
      <c r="EI7" s="45"/>
      <c r="EJ7" s="45"/>
      <c r="EK7" s="45"/>
      <c r="EL7" s="45"/>
      <c r="EM7" s="36"/>
      <c r="EN7" s="39"/>
      <c r="EO7" s="40">
        <f>EO6+1</f>
        <v>46024</v>
      </c>
      <c r="EP7" s="40">
        <v>45978</v>
      </c>
      <c r="EQ7" s="40">
        <v>46001</v>
      </c>
      <c r="ER7" s="40">
        <v>45930</v>
      </c>
      <c r="ES7" s="40"/>
      <c r="ET7" s="40">
        <v>45992</v>
      </c>
      <c r="EU7" s="40">
        <v>46002</v>
      </c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</row>
    <row r="8" spans="2:181" x14ac:dyDescent="0.35">
      <c r="B8" s="41">
        <f t="shared" ref="B8:B37" si="3">B7+1</f>
        <v>46025</v>
      </c>
      <c r="C8" s="24">
        <v>2454880</v>
      </c>
      <c r="D8" s="49">
        <v>4.8499999999999996</v>
      </c>
      <c r="E8" s="49">
        <v>0.26</v>
      </c>
      <c r="F8" s="49">
        <v>1.99</v>
      </c>
      <c r="G8" s="49">
        <v>52</v>
      </c>
      <c r="H8" s="49">
        <v>2.2400000000000002</v>
      </c>
      <c r="I8" s="49">
        <v>2.12</v>
      </c>
      <c r="J8" s="25">
        <f t="shared" si="0"/>
        <v>6.6000000000000005</v>
      </c>
      <c r="K8" s="42">
        <v>1911710</v>
      </c>
      <c r="L8" s="25">
        <v>4.92</v>
      </c>
      <c r="M8" s="25">
        <v>0.28999999999999998</v>
      </c>
      <c r="N8" s="25">
        <v>2.0099999999999998</v>
      </c>
      <c r="O8" s="25">
        <v>51.97</v>
      </c>
      <c r="P8" s="25">
        <v>2.2000000000000002</v>
      </c>
      <c r="Q8" s="25">
        <v>2.13</v>
      </c>
      <c r="R8" s="25">
        <f t="shared" si="1"/>
        <v>6.53</v>
      </c>
      <c r="S8" s="26">
        <v>2533906</v>
      </c>
      <c r="T8" s="49">
        <v>4.87</v>
      </c>
      <c r="U8" s="25">
        <v>0.3</v>
      </c>
      <c r="V8" s="27">
        <v>1.96</v>
      </c>
      <c r="W8" s="27">
        <v>52.03</v>
      </c>
      <c r="X8" s="27">
        <v>2.0299999999999998</v>
      </c>
      <c r="Y8" s="27">
        <v>1.94</v>
      </c>
      <c r="Z8" s="25">
        <f t="shared" si="2"/>
        <v>6</v>
      </c>
      <c r="AA8" s="42">
        <v>34120</v>
      </c>
      <c r="AB8" s="49">
        <v>91.44</v>
      </c>
      <c r="AC8" s="49">
        <v>0.15</v>
      </c>
      <c r="AD8" s="43"/>
      <c r="AE8" s="44"/>
      <c r="AF8" s="45"/>
      <c r="AG8" s="46"/>
      <c r="AH8" s="47"/>
      <c r="AI8" s="45"/>
      <c r="AJ8" s="45"/>
      <c r="AK8" s="45"/>
      <c r="AL8" s="43"/>
      <c r="AM8" s="45"/>
      <c r="AN8" s="45"/>
      <c r="AO8" s="45"/>
      <c r="AP8" s="45"/>
      <c r="AQ8" s="45"/>
      <c r="AR8" s="45"/>
      <c r="AS8" s="45"/>
      <c r="AT8" s="43"/>
      <c r="AU8" s="44"/>
      <c r="AV8" s="45"/>
      <c r="AW8" s="46"/>
      <c r="AX8" s="47"/>
      <c r="AY8" s="45"/>
      <c r="AZ8" s="45"/>
      <c r="BA8" s="46"/>
      <c r="BB8" s="43"/>
      <c r="BC8" s="45"/>
      <c r="BD8" s="45"/>
      <c r="BE8" s="45"/>
      <c r="BF8" s="45"/>
      <c r="BG8" s="45"/>
      <c r="BH8" s="45"/>
      <c r="BI8" s="45"/>
      <c r="BJ8" s="43"/>
      <c r="BK8" s="45"/>
      <c r="BL8" s="45"/>
      <c r="BM8" s="45"/>
      <c r="BN8" s="45"/>
      <c r="BO8" s="45"/>
      <c r="BP8" s="45"/>
      <c r="BQ8" s="45"/>
      <c r="BR8" s="43"/>
      <c r="BS8" s="45"/>
      <c r="BT8" s="45"/>
      <c r="BU8" s="45"/>
      <c r="BV8" s="45"/>
      <c r="BW8" s="45"/>
      <c r="BX8" s="45"/>
      <c r="BY8" s="45"/>
      <c r="BZ8" s="43"/>
      <c r="CA8" s="45"/>
      <c r="CB8" s="45"/>
      <c r="CC8" s="45"/>
      <c r="CD8" s="45"/>
      <c r="CE8" s="45"/>
      <c r="CF8" s="45"/>
      <c r="CG8" s="45"/>
      <c r="CH8" s="43"/>
      <c r="CI8" s="45"/>
      <c r="CJ8" s="45"/>
      <c r="CK8" s="45"/>
      <c r="CL8" s="45"/>
      <c r="CM8" s="45"/>
      <c r="CN8" s="45"/>
      <c r="CO8" s="45"/>
      <c r="CP8" s="42">
        <v>355200</v>
      </c>
      <c r="CQ8" s="48">
        <v>8.5000000000000006E-2</v>
      </c>
      <c r="CR8" s="49">
        <v>0.04</v>
      </c>
      <c r="CS8" s="50">
        <v>1.8</v>
      </c>
      <c r="CT8" s="51">
        <v>18</v>
      </c>
      <c r="CU8" s="49">
        <v>52.1</v>
      </c>
      <c r="CV8" s="49" t="s">
        <v>66</v>
      </c>
      <c r="CW8" s="42">
        <v>207000</v>
      </c>
      <c r="CX8" s="33">
        <v>0.114</v>
      </c>
      <c r="CY8" s="25">
        <v>0.04</v>
      </c>
      <c r="CZ8" s="34">
        <v>2.2000000000000002</v>
      </c>
      <c r="DA8" s="35">
        <v>22</v>
      </c>
      <c r="DB8" s="25">
        <v>52.18</v>
      </c>
      <c r="DC8" s="25" t="s">
        <v>66</v>
      </c>
      <c r="DD8" s="43"/>
      <c r="DE8" s="45"/>
      <c r="DF8" s="45"/>
      <c r="DG8" s="45"/>
      <c r="DH8" s="45"/>
      <c r="DI8" s="45"/>
      <c r="DJ8" s="45"/>
      <c r="DK8" s="45"/>
      <c r="DL8" s="38"/>
      <c r="DM8" s="43"/>
      <c r="DN8" s="45"/>
      <c r="DO8" s="45"/>
      <c r="DP8" s="45"/>
      <c r="DQ8" s="45"/>
      <c r="DR8" s="45"/>
      <c r="DS8" s="45"/>
      <c r="DT8" s="45"/>
      <c r="DU8" s="52"/>
      <c r="DV8" s="45"/>
      <c r="DW8" s="45"/>
      <c r="DX8" s="45"/>
      <c r="DY8" s="45"/>
      <c r="DZ8" s="45"/>
      <c r="EA8" s="45"/>
      <c r="EB8" s="45"/>
      <c r="EC8" s="45"/>
      <c r="ED8" s="38"/>
      <c r="EE8" s="43"/>
      <c r="EF8" s="45"/>
      <c r="EG8" s="45"/>
      <c r="EH8" s="45"/>
      <c r="EI8" s="45"/>
      <c r="EJ8" s="45"/>
      <c r="EK8" s="45"/>
      <c r="EL8" s="45"/>
      <c r="EM8" s="36"/>
      <c r="EN8" s="39"/>
      <c r="EO8" s="40">
        <f t="shared" ref="EO8:EO36" si="4">EO7+1</f>
        <v>46025</v>
      </c>
      <c r="EP8" s="40">
        <v>45978</v>
      </c>
      <c r="EQ8" s="40">
        <v>46001</v>
      </c>
      <c r="ER8" s="40">
        <v>45930</v>
      </c>
      <c r="ES8" s="40"/>
      <c r="ET8" s="40">
        <v>45992</v>
      </c>
      <c r="EU8" s="40">
        <v>46002</v>
      </c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</row>
    <row r="9" spans="2:181" x14ac:dyDescent="0.35">
      <c r="B9" s="41">
        <f t="shared" si="3"/>
        <v>46026</v>
      </c>
      <c r="C9" s="24">
        <v>2454880</v>
      </c>
      <c r="D9" s="49">
        <v>4.8499999999999996</v>
      </c>
      <c r="E9" s="49">
        <v>0.26</v>
      </c>
      <c r="F9" s="49">
        <v>1.99</v>
      </c>
      <c r="G9" s="49">
        <v>52</v>
      </c>
      <c r="H9" s="49">
        <v>2.2400000000000002</v>
      </c>
      <c r="I9" s="49">
        <v>2.12</v>
      </c>
      <c r="J9" s="25">
        <f t="shared" si="0"/>
        <v>6.6000000000000005</v>
      </c>
      <c r="K9" s="42">
        <v>1703210</v>
      </c>
      <c r="L9" s="25">
        <v>4.93</v>
      </c>
      <c r="M9" s="25">
        <v>0.28999999999999998</v>
      </c>
      <c r="N9" s="25">
        <v>2</v>
      </c>
      <c r="O9" s="25">
        <v>51.95</v>
      </c>
      <c r="P9" s="25">
        <v>2.21</v>
      </c>
      <c r="Q9" s="25">
        <v>2.13</v>
      </c>
      <c r="R9" s="25">
        <f t="shared" si="1"/>
        <v>6.55</v>
      </c>
      <c r="S9" s="26">
        <v>2533906</v>
      </c>
      <c r="T9" s="49">
        <v>4.87</v>
      </c>
      <c r="U9" s="25">
        <v>0.3</v>
      </c>
      <c r="V9" s="27">
        <v>1.96</v>
      </c>
      <c r="W9" s="27">
        <v>52.03</v>
      </c>
      <c r="X9" s="27">
        <v>2.0299999999999998</v>
      </c>
      <c r="Y9" s="27">
        <v>1.94</v>
      </c>
      <c r="Z9" s="25">
        <f t="shared" si="2"/>
        <v>6</v>
      </c>
      <c r="AA9" s="42">
        <v>47120</v>
      </c>
      <c r="AB9" s="49">
        <v>91.62</v>
      </c>
      <c r="AC9" s="49">
        <v>0.15</v>
      </c>
      <c r="AD9" s="43"/>
      <c r="AE9" s="44"/>
      <c r="AF9" s="45"/>
      <c r="AG9" s="46"/>
      <c r="AH9" s="47"/>
      <c r="AI9" s="45"/>
      <c r="AJ9" s="45"/>
      <c r="AK9" s="45"/>
      <c r="AL9" s="43"/>
      <c r="AM9" s="45"/>
      <c r="AN9" s="45"/>
      <c r="AO9" s="45"/>
      <c r="AP9" s="45"/>
      <c r="AQ9" s="45"/>
      <c r="AR9" s="45"/>
      <c r="AS9" s="45"/>
      <c r="AT9" s="43"/>
      <c r="AU9" s="44"/>
      <c r="AV9" s="45"/>
      <c r="AW9" s="46"/>
      <c r="AX9" s="47"/>
      <c r="AY9" s="45"/>
      <c r="AZ9" s="45"/>
      <c r="BA9" s="46"/>
      <c r="BB9" s="43"/>
      <c r="BC9" s="45"/>
      <c r="BD9" s="45"/>
      <c r="BE9" s="45"/>
      <c r="BF9" s="45"/>
      <c r="BG9" s="45"/>
      <c r="BH9" s="45"/>
      <c r="BI9" s="45"/>
      <c r="BJ9" s="43"/>
      <c r="BK9" s="45"/>
      <c r="BL9" s="45"/>
      <c r="BM9" s="45"/>
      <c r="BN9" s="45"/>
      <c r="BO9" s="45"/>
      <c r="BP9" s="45"/>
      <c r="BQ9" s="45"/>
      <c r="BR9" s="43"/>
      <c r="BS9" s="45"/>
      <c r="BT9" s="45"/>
      <c r="BU9" s="45"/>
      <c r="BV9" s="45"/>
      <c r="BW9" s="45"/>
      <c r="BX9" s="45"/>
      <c r="BY9" s="45"/>
      <c r="BZ9" s="43"/>
      <c r="CA9" s="45"/>
      <c r="CB9" s="45"/>
      <c r="CC9" s="45"/>
      <c r="CD9" s="45"/>
      <c r="CE9" s="45"/>
      <c r="CF9" s="45"/>
      <c r="CG9" s="45"/>
      <c r="CH9" s="43"/>
      <c r="CI9" s="45"/>
      <c r="CJ9" s="45"/>
      <c r="CK9" s="45"/>
      <c r="CL9" s="45"/>
      <c r="CM9" s="45"/>
      <c r="CN9" s="45"/>
      <c r="CO9" s="45"/>
      <c r="CP9" s="42">
        <v>554210</v>
      </c>
      <c r="CQ9" s="48">
        <v>7.0000000000000007E-2</v>
      </c>
      <c r="CR9" s="49">
        <v>0.03</v>
      </c>
      <c r="CS9" s="50">
        <v>2</v>
      </c>
      <c r="CT9" s="51">
        <v>20</v>
      </c>
      <c r="CU9" s="49">
        <v>52.12</v>
      </c>
      <c r="CV9" s="49" t="s">
        <v>66</v>
      </c>
      <c r="CW9" s="42">
        <v>207000</v>
      </c>
      <c r="CX9" s="33">
        <v>0.114</v>
      </c>
      <c r="CY9" s="25">
        <v>0.04</v>
      </c>
      <c r="CZ9" s="34">
        <v>2.2000000000000002</v>
      </c>
      <c r="DA9" s="35">
        <v>22</v>
      </c>
      <c r="DB9" s="25">
        <v>52.18</v>
      </c>
      <c r="DC9" s="25" t="s">
        <v>66</v>
      </c>
      <c r="DD9" s="43"/>
      <c r="DE9" s="45"/>
      <c r="DF9" s="45"/>
      <c r="DG9" s="45"/>
      <c r="DH9" s="45"/>
      <c r="DI9" s="45"/>
      <c r="DJ9" s="45"/>
      <c r="DK9" s="45"/>
      <c r="DL9" s="38"/>
      <c r="DM9" s="43"/>
      <c r="DN9" s="45"/>
      <c r="DO9" s="45"/>
      <c r="DP9" s="45"/>
      <c r="DQ9" s="45"/>
      <c r="DR9" s="45"/>
      <c r="DS9" s="45"/>
      <c r="DT9" s="45"/>
      <c r="DU9" s="52"/>
      <c r="DV9" s="45"/>
      <c r="DW9" s="45"/>
      <c r="DX9" s="45"/>
      <c r="DY9" s="45"/>
      <c r="DZ9" s="45"/>
      <c r="EA9" s="45"/>
      <c r="EB9" s="45"/>
      <c r="EC9" s="45"/>
      <c r="ED9" s="38"/>
      <c r="EE9" s="43"/>
      <c r="EF9" s="45"/>
      <c r="EG9" s="45"/>
      <c r="EH9" s="45"/>
      <c r="EI9" s="45"/>
      <c r="EJ9" s="45"/>
      <c r="EK9" s="45"/>
      <c r="EL9" s="45"/>
      <c r="EM9" s="36"/>
      <c r="EN9" s="39"/>
      <c r="EO9" s="40">
        <f t="shared" si="4"/>
        <v>46026</v>
      </c>
      <c r="EP9" s="40">
        <v>45978</v>
      </c>
      <c r="EQ9" s="40">
        <v>46001</v>
      </c>
      <c r="ER9" s="40">
        <v>45930</v>
      </c>
      <c r="ES9" s="40"/>
      <c r="ET9" s="40">
        <v>45992</v>
      </c>
      <c r="EU9" s="40">
        <v>46002</v>
      </c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</row>
    <row r="10" spans="2:181" x14ac:dyDescent="0.35">
      <c r="B10" s="41">
        <f t="shared" si="3"/>
        <v>46027</v>
      </c>
      <c r="C10" s="24">
        <v>2454880</v>
      </c>
      <c r="D10" s="49">
        <v>4.8899999999999997</v>
      </c>
      <c r="E10" s="49">
        <v>0.26</v>
      </c>
      <c r="F10" s="49">
        <v>1.97</v>
      </c>
      <c r="G10" s="49">
        <v>51.99</v>
      </c>
      <c r="H10" s="49">
        <v>2.2400000000000002</v>
      </c>
      <c r="I10" s="49">
        <v>2.12</v>
      </c>
      <c r="J10" s="49">
        <f t="shared" si="0"/>
        <v>6.6000000000000005</v>
      </c>
      <c r="K10" s="42">
        <v>1399410</v>
      </c>
      <c r="L10" s="49">
        <v>4.95</v>
      </c>
      <c r="M10" s="49">
        <v>0.28999999999999998</v>
      </c>
      <c r="N10" s="49">
        <v>2</v>
      </c>
      <c r="O10" s="49">
        <v>51.95</v>
      </c>
      <c r="P10" s="49">
        <v>2.2200000000000002</v>
      </c>
      <c r="Q10" s="49">
        <v>2.13</v>
      </c>
      <c r="R10" s="49">
        <f t="shared" si="1"/>
        <v>6.57</v>
      </c>
      <c r="S10" s="26">
        <v>2533906</v>
      </c>
      <c r="T10" s="49">
        <v>4.8899999999999997</v>
      </c>
      <c r="U10" s="49">
        <v>0.3</v>
      </c>
      <c r="V10" s="49">
        <v>1.96</v>
      </c>
      <c r="W10" s="49">
        <v>52.02</v>
      </c>
      <c r="X10" s="49">
        <v>2.04</v>
      </c>
      <c r="Y10" s="49">
        <v>1.95</v>
      </c>
      <c r="Z10" s="49">
        <f t="shared" si="2"/>
        <v>6.03</v>
      </c>
      <c r="AA10" s="42">
        <v>64960</v>
      </c>
      <c r="AB10" s="49">
        <v>91.62</v>
      </c>
      <c r="AC10" s="49">
        <v>0.15</v>
      </c>
      <c r="AD10" s="43"/>
      <c r="AE10" s="44"/>
      <c r="AF10" s="45"/>
      <c r="AG10" s="46"/>
      <c r="AH10" s="47"/>
      <c r="AI10" s="45"/>
      <c r="AJ10" s="45"/>
      <c r="AK10" s="45"/>
      <c r="AL10" s="43"/>
      <c r="AM10" s="45"/>
      <c r="AN10" s="45"/>
      <c r="AO10" s="45"/>
      <c r="AP10" s="45"/>
      <c r="AQ10" s="45"/>
      <c r="AR10" s="45"/>
      <c r="AS10" s="45"/>
      <c r="AT10" s="43"/>
      <c r="AU10" s="44"/>
      <c r="AV10" s="45"/>
      <c r="AW10" s="46"/>
      <c r="AX10" s="47"/>
      <c r="AY10" s="45"/>
      <c r="AZ10" s="45"/>
      <c r="BA10" s="46"/>
      <c r="BB10" s="43"/>
      <c r="BC10" s="45"/>
      <c r="BD10" s="45"/>
      <c r="BE10" s="45"/>
      <c r="BF10" s="45"/>
      <c r="BG10" s="45"/>
      <c r="BH10" s="45"/>
      <c r="BI10" s="45"/>
      <c r="BJ10" s="43"/>
      <c r="BK10" s="45"/>
      <c r="BL10" s="45"/>
      <c r="BM10" s="45"/>
      <c r="BN10" s="45"/>
      <c r="BO10" s="45"/>
      <c r="BP10" s="45"/>
      <c r="BQ10" s="45"/>
      <c r="BR10" s="43"/>
      <c r="BS10" s="45"/>
      <c r="BT10" s="45"/>
      <c r="BU10" s="45"/>
      <c r="BV10" s="45"/>
      <c r="BW10" s="45"/>
      <c r="BX10" s="45"/>
      <c r="BY10" s="45"/>
      <c r="BZ10" s="43"/>
      <c r="CA10" s="45"/>
      <c r="CB10" s="45"/>
      <c r="CC10" s="45"/>
      <c r="CD10" s="45"/>
      <c r="CE10" s="45"/>
      <c r="CF10" s="45"/>
      <c r="CG10" s="45"/>
      <c r="CH10" s="43"/>
      <c r="CI10" s="45"/>
      <c r="CJ10" s="45"/>
      <c r="CK10" s="45"/>
      <c r="CL10" s="45"/>
      <c r="CM10" s="45"/>
      <c r="CN10" s="45"/>
      <c r="CO10" s="45"/>
      <c r="CP10" s="42">
        <v>837000</v>
      </c>
      <c r="CQ10" s="48">
        <v>5.8999999999999997E-2</v>
      </c>
      <c r="CR10" s="49">
        <v>0.03</v>
      </c>
      <c r="CS10" s="50">
        <v>1.8</v>
      </c>
      <c r="CT10" s="51">
        <v>18</v>
      </c>
      <c r="CU10" s="49">
        <v>52.18</v>
      </c>
      <c r="CV10" s="49" t="s">
        <v>66</v>
      </c>
      <c r="CW10" s="42">
        <v>207000</v>
      </c>
      <c r="CX10" s="48">
        <v>0.11600000000000001</v>
      </c>
      <c r="CY10" s="49">
        <v>0.04</v>
      </c>
      <c r="CZ10" s="50">
        <v>2.2000000000000002</v>
      </c>
      <c r="DA10" s="51">
        <v>22</v>
      </c>
      <c r="DB10" s="49">
        <v>52.13</v>
      </c>
      <c r="DC10" s="49" t="s">
        <v>66</v>
      </c>
      <c r="DD10" s="43"/>
      <c r="DE10" s="45"/>
      <c r="DF10" s="45"/>
      <c r="DG10" s="45"/>
      <c r="DH10" s="45"/>
      <c r="DI10" s="45"/>
      <c r="DJ10" s="45"/>
      <c r="DK10" s="45"/>
      <c r="DL10" s="38"/>
      <c r="DM10" s="43"/>
      <c r="DN10" s="45"/>
      <c r="DO10" s="45"/>
      <c r="DP10" s="45"/>
      <c r="DQ10" s="45"/>
      <c r="DR10" s="45"/>
      <c r="DS10" s="45"/>
      <c r="DT10" s="45"/>
      <c r="DU10" s="52"/>
      <c r="DV10" s="45"/>
      <c r="DW10" s="45"/>
      <c r="DX10" s="45"/>
      <c r="DY10" s="45"/>
      <c r="DZ10" s="45"/>
      <c r="EA10" s="45"/>
      <c r="EB10" s="45"/>
      <c r="EC10" s="45"/>
      <c r="ED10" s="38"/>
      <c r="EE10" s="43"/>
      <c r="EF10" s="45"/>
      <c r="EG10" s="45"/>
      <c r="EH10" s="45"/>
      <c r="EI10" s="45"/>
      <c r="EJ10" s="45"/>
      <c r="EK10" s="45"/>
      <c r="EL10" s="45"/>
      <c r="EM10" s="36"/>
      <c r="EN10" s="39"/>
      <c r="EO10" s="40">
        <f t="shared" si="4"/>
        <v>46027</v>
      </c>
      <c r="EP10" s="40">
        <v>45978</v>
      </c>
      <c r="EQ10" s="40">
        <v>46001</v>
      </c>
      <c r="ER10" s="40">
        <v>45930</v>
      </c>
      <c r="ES10" s="40"/>
      <c r="ET10" s="40">
        <v>45992</v>
      </c>
      <c r="EU10" s="40">
        <v>46002</v>
      </c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</row>
    <row r="11" spans="2:181" x14ac:dyDescent="0.35">
      <c r="B11" s="41">
        <f t="shared" si="3"/>
        <v>46028</v>
      </c>
      <c r="C11" s="24">
        <v>2454880</v>
      </c>
      <c r="D11" s="49">
        <v>4.8899999999999997</v>
      </c>
      <c r="E11" s="49">
        <v>0.26</v>
      </c>
      <c r="F11" s="49">
        <v>1.97</v>
      </c>
      <c r="G11" s="49">
        <v>51.99</v>
      </c>
      <c r="H11" s="49">
        <v>2.2400000000000002</v>
      </c>
      <c r="I11" s="49">
        <v>2.12</v>
      </c>
      <c r="J11" s="49">
        <f t="shared" si="0"/>
        <v>6.6000000000000005</v>
      </c>
      <c r="K11" s="42">
        <v>1193290</v>
      </c>
      <c r="L11" s="49">
        <v>4.97</v>
      </c>
      <c r="M11" s="49">
        <v>0.28000000000000003</v>
      </c>
      <c r="N11" s="49">
        <v>2</v>
      </c>
      <c r="O11" s="49">
        <v>51.94</v>
      </c>
      <c r="P11" s="49">
        <v>2.2200000000000002</v>
      </c>
      <c r="Q11" s="49">
        <v>2.14</v>
      </c>
      <c r="R11" s="49">
        <f t="shared" si="1"/>
        <v>6.58</v>
      </c>
      <c r="S11" s="26">
        <v>2533906</v>
      </c>
      <c r="T11" s="49">
        <v>4.8899999999999997</v>
      </c>
      <c r="U11" s="49">
        <v>0.3</v>
      </c>
      <c r="V11" s="49">
        <v>1.96</v>
      </c>
      <c r="W11" s="49">
        <v>52.02</v>
      </c>
      <c r="X11" s="49">
        <v>2.04</v>
      </c>
      <c r="Y11" s="49">
        <v>1.95</v>
      </c>
      <c r="Z11" s="49">
        <f t="shared" si="2"/>
        <v>6.03</v>
      </c>
      <c r="AA11" s="42">
        <v>83070</v>
      </c>
      <c r="AB11" s="49">
        <v>91.62</v>
      </c>
      <c r="AC11" s="49">
        <v>0.15</v>
      </c>
      <c r="AD11" s="43"/>
      <c r="AE11" s="44"/>
      <c r="AF11" s="45"/>
      <c r="AG11" s="46"/>
      <c r="AH11" s="47"/>
      <c r="AI11" s="45"/>
      <c r="AJ11" s="45"/>
      <c r="AK11" s="45"/>
      <c r="AL11" s="43"/>
      <c r="AM11" s="45"/>
      <c r="AN11" s="45"/>
      <c r="AO11" s="45"/>
      <c r="AP11" s="45"/>
      <c r="AQ11" s="45"/>
      <c r="AR11" s="45"/>
      <c r="AS11" s="45"/>
      <c r="AT11" s="43"/>
      <c r="AU11" s="44"/>
      <c r="AV11" s="45"/>
      <c r="AW11" s="46"/>
      <c r="AX11" s="47"/>
      <c r="AY11" s="45"/>
      <c r="AZ11" s="45"/>
      <c r="BA11" s="46"/>
      <c r="BB11" s="43"/>
      <c r="BC11" s="45"/>
      <c r="BD11" s="45"/>
      <c r="BE11" s="45"/>
      <c r="BF11" s="45"/>
      <c r="BG11" s="45"/>
      <c r="BH11" s="45"/>
      <c r="BI11" s="45"/>
      <c r="BJ11" s="43"/>
      <c r="BK11" s="45"/>
      <c r="BL11" s="45"/>
      <c r="BM11" s="45"/>
      <c r="BN11" s="45"/>
      <c r="BO11" s="45"/>
      <c r="BP11" s="45"/>
      <c r="BQ11" s="45"/>
      <c r="BR11" s="43"/>
      <c r="BS11" s="45"/>
      <c r="BT11" s="45"/>
      <c r="BU11" s="45"/>
      <c r="BV11" s="45"/>
      <c r="BW11" s="45"/>
      <c r="BX11" s="45"/>
      <c r="BY11" s="45"/>
      <c r="BZ11" s="43"/>
      <c r="CA11" s="45"/>
      <c r="CB11" s="45"/>
      <c r="CC11" s="45"/>
      <c r="CD11" s="45"/>
      <c r="CE11" s="45"/>
      <c r="CF11" s="45"/>
      <c r="CG11" s="45"/>
      <c r="CH11" s="43"/>
      <c r="CI11" s="45"/>
      <c r="CJ11" s="45"/>
      <c r="CK11" s="45"/>
      <c r="CL11" s="45"/>
      <c r="CM11" s="45"/>
      <c r="CN11" s="45"/>
      <c r="CO11" s="45"/>
      <c r="CP11" s="42">
        <v>1120000</v>
      </c>
      <c r="CQ11" s="48">
        <v>4.3999999999999997E-2</v>
      </c>
      <c r="CR11" s="49">
        <v>0.03</v>
      </c>
      <c r="CS11" s="50">
        <v>1.8</v>
      </c>
      <c r="CT11" s="51">
        <v>18</v>
      </c>
      <c r="CU11" s="49">
        <v>52.15</v>
      </c>
      <c r="CV11" s="49" t="s">
        <v>66</v>
      </c>
      <c r="CW11" s="42">
        <v>67000</v>
      </c>
      <c r="CX11" s="48">
        <v>0.11600000000000001</v>
      </c>
      <c r="CY11" s="49">
        <v>0.04</v>
      </c>
      <c r="CZ11" s="50">
        <v>2.2000000000000002</v>
      </c>
      <c r="DA11" s="51">
        <v>22</v>
      </c>
      <c r="DB11" s="49">
        <v>52.13</v>
      </c>
      <c r="DC11" s="49" t="s">
        <v>66</v>
      </c>
      <c r="DD11" s="43"/>
      <c r="DE11" s="45"/>
      <c r="DF11" s="45"/>
      <c r="DG11" s="45"/>
      <c r="DH11" s="45"/>
      <c r="DI11" s="45"/>
      <c r="DJ11" s="45"/>
      <c r="DK11" s="45"/>
      <c r="DL11" s="38"/>
      <c r="DM11" s="43"/>
      <c r="DN11" s="45"/>
      <c r="DO11" s="45"/>
      <c r="DP11" s="45"/>
      <c r="DQ11" s="45"/>
      <c r="DR11" s="45"/>
      <c r="DS11" s="45"/>
      <c r="DT11" s="45"/>
      <c r="DU11" s="52"/>
      <c r="DV11" s="45"/>
      <c r="DW11" s="45"/>
      <c r="DX11" s="45"/>
      <c r="DY11" s="45"/>
      <c r="DZ11" s="45"/>
      <c r="EA11" s="45"/>
      <c r="EB11" s="45"/>
      <c r="EC11" s="45"/>
      <c r="ED11" s="38"/>
      <c r="EE11" s="43"/>
      <c r="EF11" s="45"/>
      <c r="EG11" s="45"/>
      <c r="EH11" s="45"/>
      <c r="EI11" s="45"/>
      <c r="EJ11" s="45"/>
      <c r="EK11" s="45"/>
      <c r="EL11" s="45"/>
      <c r="EM11" s="36"/>
      <c r="EN11" s="39"/>
      <c r="EO11" s="40">
        <f t="shared" si="4"/>
        <v>46028</v>
      </c>
      <c r="EP11" s="40">
        <v>45978</v>
      </c>
      <c r="EQ11" s="40">
        <v>46001</v>
      </c>
      <c r="ER11" s="40">
        <v>45930</v>
      </c>
      <c r="ES11" s="40"/>
      <c r="ET11" s="40">
        <v>45992</v>
      </c>
      <c r="EU11" s="40">
        <v>46002</v>
      </c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</row>
    <row r="12" spans="2:181" x14ac:dyDescent="0.35">
      <c r="B12" s="41">
        <f t="shared" si="3"/>
        <v>46029</v>
      </c>
      <c r="C12" s="24">
        <v>2454880</v>
      </c>
      <c r="D12" s="49">
        <v>4.91</v>
      </c>
      <c r="E12" s="49">
        <v>0.26</v>
      </c>
      <c r="F12" s="49">
        <v>1.97</v>
      </c>
      <c r="G12" s="49">
        <v>51.99</v>
      </c>
      <c r="H12" s="49">
        <v>2.2400000000000002</v>
      </c>
      <c r="I12" s="49">
        <v>2.12</v>
      </c>
      <c r="J12" s="49">
        <f t="shared" si="0"/>
        <v>6.6000000000000005</v>
      </c>
      <c r="K12" s="42">
        <v>1115960</v>
      </c>
      <c r="L12" s="49">
        <v>4.92</v>
      </c>
      <c r="M12" s="49">
        <v>0.28000000000000003</v>
      </c>
      <c r="N12" s="49">
        <v>1.85</v>
      </c>
      <c r="O12" s="49">
        <v>51.97</v>
      </c>
      <c r="P12" s="49">
        <v>2.2400000000000002</v>
      </c>
      <c r="Q12" s="49">
        <v>2.1</v>
      </c>
      <c r="R12" s="49">
        <f t="shared" si="1"/>
        <v>6.58</v>
      </c>
      <c r="S12" s="42">
        <v>2573906</v>
      </c>
      <c r="T12" s="49">
        <v>4.9000000000000004</v>
      </c>
      <c r="U12" s="49">
        <v>0.3</v>
      </c>
      <c r="V12" s="49">
        <v>1.96</v>
      </c>
      <c r="W12" s="49">
        <v>52.02</v>
      </c>
      <c r="X12" s="49">
        <v>2.04</v>
      </c>
      <c r="Y12" s="49">
        <v>1.95</v>
      </c>
      <c r="Z12" s="49">
        <f t="shared" si="2"/>
        <v>6.03</v>
      </c>
      <c r="AA12" s="42">
        <v>96080</v>
      </c>
      <c r="AB12" s="49">
        <v>91.62</v>
      </c>
      <c r="AC12" s="49">
        <v>0.15</v>
      </c>
      <c r="AD12" s="43"/>
      <c r="AE12" s="44"/>
      <c r="AF12" s="45"/>
      <c r="AG12" s="46"/>
      <c r="AH12" s="47"/>
      <c r="AI12" s="45"/>
      <c r="AJ12" s="45"/>
      <c r="AK12" s="45"/>
      <c r="AL12" s="43"/>
      <c r="AM12" s="45"/>
      <c r="AN12" s="45"/>
      <c r="AO12" s="45"/>
      <c r="AP12" s="45"/>
      <c r="AQ12" s="45"/>
      <c r="AR12" s="45"/>
      <c r="AS12" s="45"/>
      <c r="AT12" s="43"/>
      <c r="AU12" s="44"/>
      <c r="AV12" s="45"/>
      <c r="AW12" s="46"/>
      <c r="AX12" s="47"/>
      <c r="AY12" s="45"/>
      <c r="AZ12" s="45"/>
      <c r="BA12" s="46"/>
      <c r="BB12" s="43"/>
      <c r="BC12" s="45"/>
      <c r="BD12" s="45"/>
      <c r="BE12" s="45"/>
      <c r="BF12" s="45"/>
      <c r="BG12" s="45"/>
      <c r="BH12" s="45"/>
      <c r="BI12" s="45"/>
      <c r="BJ12" s="43"/>
      <c r="BK12" s="45"/>
      <c r="BL12" s="45"/>
      <c r="BM12" s="45"/>
      <c r="BN12" s="45"/>
      <c r="BO12" s="45"/>
      <c r="BP12" s="45"/>
      <c r="BQ12" s="45"/>
      <c r="BR12" s="43"/>
      <c r="BS12" s="45"/>
      <c r="BT12" s="45"/>
      <c r="BU12" s="45"/>
      <c r="BV12" s="45"/>
      <c r="BW12" s="45"/>
      <c r="BX12" s="45"/>
      <c r="BY12" s="45"/>
      <c r="BZ12" s="43"/>
      <c r="CA12" s="45"/>
      <c r="CB12" s="45"/>
      <c r="CC12" s="45"/>
      <c r="CD12" s="45"/>
      <c r="CE12" s="45"/>
      <c r="CF12" s="45"/>
      <c r="CG12" s="45"/>
      <c r="CH12" s="43"/>
      <c r="CI12" s="45"/>
      <c r="CJ12" s="45"/>
      <c r="CK12" s="45"/>
      <c r="CL12" s="45"/>
      <c r="CM12" s="45"/>
      <c r="CN12" s="45"/>
      <c r="CO12" s="45"/>
      <c r="CP12" s="42">
        <v>1120000</v>
      </c>
      <c r="CQ12" s="48">
        <v>4.5999999999999999E-2</v>
      </c>
      <c r="CR12" s="49">
        <v>0.03</v>
      </c>
      <c r="CS12" s="50">
        <v>1.9</v>
      </c>
      <c r="CT12" s="51">
        <v>19</v>
      </c>
      <c r="CU12" s="49">
        <v>52.13</v>
      </c>
      <c r="CV12" s="49" t="s">
        <v>66</v>
      </c>
      <c r="CW12" s="42">
        <v>281100</v>
      </c>
      <c r="CX12" s="48">
        <v>0.09</v>
      </c>
      <c r="CY12" s="49">
        <v>0.04</v>
      </c>
      <c r="CZ12" s="50">
        <v>2.1</v>
      </c>
      <c r="DA12" s="51">
        <v>21</v>
      </c>
      <c r="DB12" s="49">
        <v>52.1</v>
      </c>
      <c r="DC12" s="49" t="s">
        <v>66</v>
      </c>
      <c r="DD12" s="43"/>
      <c r="DE12" s="45"/>
      <c r="DF12" s="45"/>
      <c r="DG12" s="45"/>
      <c r="DH12" s="45"/>
      <c r="DI12" s="45"/>
      <c r="DJ12" s="45"/>
      <c r="DK12" s="45"/>
      <c r="DL12" s="38"/>
      <c r="DM12" s="43"/>
      <c r="DN12" s="45"/>
      <c r="DO12" s="45"/>
      <c r="DP12" s="45"/>
      <c r="DQ12" s="45"/>
      <c r="DR12" s="45"/>
      <c r="DS12" s="45"/>
      <c r="DT12" s="45"/>
      <c r="DU12" s="52"/>
      <c r="DV12" s="45"/>
      <c r="DW12" s="45"/>
      <c r="DX12" s="45"/>
      <c r="DY12" s="45"/>
      <c r="DZ12" s="45"/>
      <c r="EA12" s="45"/>
      <c r="EB12" s="45"/>
      <c r="EC12" s="45"/>
      <c r="ED12" s="38"/>
      <c r="EE12" s="43"/>
      <c r="EF12" s="45"/>
      <c r="EG12" s="45"/>
      <c r="EH12" s="45"/>
      <c r="EI12" s="45"/>
      <c r="EJ12" s="45"/>
      <c r="EK12" s="45"/>
      <c r="EL12" s="45"/>
      <c r="EM12" s="36"/>
      <c r="EN12" s="39"/>
      <c r="EO12" s="40">
        <f t="shared" si="4"/>
        <v>46029</v>
      </c>
      <c r="EP12" s="40">
        <v>45978</v>
      </c>
      <c r="EQ12" s="40">
        <v>46001</v>
      </c>
      <c r="ER12" s="40">
        <v>45930</v>
      </c>
      <c r="ES12" s="40"/>
      <c r="ET12" s="40">
        <v>45992</v>
      </c>
      <c r="EU12" s="40">
        <v>46029</v>
      </c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</row>
    <row r="13" spans="2:181" x14ac:dyDescent="0.35">
      <c r="B13" s="41">
        <f t="shared" si="3"/>
        <v>46030</v>
      </c>
      <c r="C13" s="24">
        <v>2454880</v>
      </c>
      <c r="D13" s="49">
        <v>4.91</v>
      </c>
      <c r="E13" s="49">
        <v>0.26</v>
      </c>
      <c r="F13" s="49">
        <v>1.97</v>
      </c>
      <c r="G13" s="49">
        <v>51.99</v>
      </c>
      <c r="H13" s="49">
        <v>2.2400000000000002</v>
      </c>
      <c r="I13" s="49">
        <v>2.12</v>
      </c>
      <c r="J13" s="49">
        <f t="shared" si="0"/>
        <v>6.6000000000000005</v>
      </c>
      <c r="K13" s="42">
        <v>892260</v>
      </c>
      <c r="L13" s="49">
        <v>4.9400000000000004</v>
      </c>
      <c r="M13" s="49">
        <v>0.28000000000000003</v>
      </c>
      <c r="N13" s="49">
        <v>1.85</v>
      </c>
      <c r="O13" s="49">
        <v>51.97</v>
      </c>
      <c r="P13" s="49">
        <v>2.2400000000000002</v>
      </c>
      <c r="Q13" s="49">
        <v>2.1</v>
      </c>
      <c r="R13" s="49">
        <f t="shared" si="1"/>
        <v>6.58</v>
      </c>
      <c r="S13" s="42">
        <v>2573906</v>
      </c>
      <c r="T13" s="49">
        <v>4.9000000000000004</v>
      </c>
      <c r="U13" s="49">
        <v>0.3</v>
      </c>
      <c r="V13" s="49">
        <v>1.96</v>
      </c>
      <c r="W13" s="49">
        <v>52.02</v>
      </c>
      <c r="X13" s="49">
        <v>2.04</v>
      </c>
      <c r="Y13" s="49">
        <v>1.95</v>
      </c>
      <c r="Z13" s="49">
        <f t="shared" si="2"/>
        <v>6.03</v>
      </c>
      <c r="AA13" s="42">
        <v>108900</v>
      </c>
      <c r="AB13" s="49">
        <v>91.62</v>
      </c>
      <c r="AC13" s="49">
        <v>0.15</v>
      </c>
      <c r="AD13" s="43"/>
      <c r="AE13" s="44"/>
      <c r="AF13" s="45"/>
      <c r="AG13" s="46"/>
      <c r="AH13" s="47"/>
      <c r="AI13" s="45"/>
      <c r="AJ13" s="45"/>
      <c r="AK13" s="45"/>
      <c r="AL13" s="43"/>
      <c r="AM13" s="45"/>
      <c r="AN13" s="45"/>
      <c r="AO13" s="45"/>
      <c r="AP13" s="45"/>
      <c r="AQ13" s="45"/>
      <c r="AR13" s="45"/>
      <c r="AS13" s="45"/>
      <c r="AT13" s="43"/>
      <c r="AU13" s="44"/>
      <c r="AV13" s="45"/>
      <c r="AW13" s="46"/>
      <c r="AX13" s="47"/>
      <c r="AY13" s="45"/>
      <c r="AZ13" s="45"/>
      <c r="BA13" s="46"/>
      <c r="BB13" s="43"/>
      <c r="BC13" s="45"/>
      <c r="BD13" s="45"/>
      <c r="BE13" s="45"/>
      <c r="BF13" s="45"/>
      <c r="BG13" s="45"/>
      <c r="BH13" s="45"/>
      <c r="BI13" s="45"/>
      <c r="BJ13" s="43"/>
      <c r="BK13" s="45"/>
      <c r="BL13" s="45"/>
      <c r="BM13" s="45"/>
      <c r="BN13" s="45"/>
      <c r="BO13" s="45"/>
      <c r="BP13" s="45"/>
      <c r="BQ13" s="45"/>
      <c r="BR13" s="43"/>
      <c r="BS13" s="45"/>
      <c r="BT13" s="45"/>
      <c r="BU13" s="45"/>
      <c r="BV13" s="45"/>
      <c r="BW13" s="45"/>
      <c r="BX13" s="45"/>
      <c r="BY13" s="45"/>
      <c r="BZ13" s="43"/>
      <c r="CA13" s="45"/>
      <c r="CB13" s="45"/>
      <c r="CC13" s="45"/>
      <c r="CD13" s="45"/>
      <c r="CE13" s="45"/>
      <c r="CF13" s="45"/>
      <c r="CG13" s="45"/>
      <c r="CH13" s="43"/>
      <c r="CI13" s="45"/>
      <c r="CJ13" s="45"/>
      <c r="CK13" s="45"/>
      <c r="CL13" s="45"/>
      <c r="CM13" s="45"/>
      <c r="CN13" s="45"/>
      <c r="CO13" s="45"/>
      <c r="CP13" s="42">
        <v>1120000</v>
      </c>
      <c r="CQ13" s="48">
        <v>4.8000000000000001E-2</v>
      </c>
      <c r="CR13" s="49">
        <v>0.03</v>
      </c>
      <c r="CS13" s="50">
        <v>1.9</v>
      </c>
      <c r="CT13" s="51">
        <v>19</v>
      </c>
      <c r="CU13" s="49">
        <v>52.13</v>
      </c>
      <c r="CV13" s="49" t="s">
        <v>66</v>
      </c>
      <c r="CW13" s="42">
        <v>490700</v>
      </c>
      <c r="CX13" s="48">
        <v>6.5000000000000002E-2</v>
      </c>
      <c r="CY13" s="49">
        <v>0.04</v>
      </c>
      <c r="CZ13" s="50">
        <v>2</v>
      </c>
      <c r="DA13" s="51">
        <v>20</v>
      </c>
      <c r="DB13" s="49">
        <v>52.1</v>
      </c>
      <c r="DC13" s="49" t="s">
        <v>66</v>
      </c>
      <c r="DD13" s="43"/>
      <c r="DE13" s="45"/>
      <c r="DF13" s="45"/>
      <c r="DG13" s="45"/>
      <c r="DH13" s="45"/>
      <c r="DI13" s="45"/>
      <c r="DJ13" s="45"/>
      <c r="DK13" s="45"/>
      <c r="DL13" s="38"/>
      <c r="DM13" s="43"/>
      <c r="DN13" s="45"/>
      <c r="DO13" s="45"/>
      <c r="DP13" s="45"/>
      <c r="DQ13" s="45"/>
      <c r="DR13" s="45"/>
      <c r="DS13" s="45"/>
      <c r="DT13" s="45"/>
      <c r="DU13" s="52"/>
      <c r="DV13" s="45"/>
      <c r="DW13" s="45"/>
      <c r="DX13" s="45"/>
      <c r="DY13" s="45"/>
      <c r="DZ13" s="45"/>
      <c r="EA13" s="45"/>
      <c r="EB13" s="45"/>
      <c r="EC13" s="45"/>
      <c r="ED13" s="38"/>
      <c r="EE13" s="43"/>
      <c r="EF13" s="45"/>
      <c r="EG13" s="45"/>
      <c r="EH13" s="45"/>
      <c r="EI13" s="45"/>
      <c r="EJ13" s="45"/>
      <c r="EK13" s="45"/>
      <c r="EL13" s="45"/>
      <c r="EM13" s="36"/>
      <c r="EN13" s="39"/>
      <c r="EO13" s="40">
        <f t="shared" si="4"/>
        <v>46030</v>
      </c>
      <c r="EP13" s="40">
        <v>45978</v>
      </c>
      <c r="EQ13" s="40">
        <v>46001</v>
      </c>
      <c r="ER13" s="40">
        <v>45930</v>
      </c>
      <c r="ES13" s="40"/>
      <c r="ET13" s="40">
        <v>45992</v>
      </c>
      <c r="EU13" s="40">
        <v>46029</v>
      </c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</row>
    <row r="14" spans="2:181" x14ac:dyDescent="0.35">
      <c r="B14" s="41">
        <f t="shared" si="3"/>
        <v>46031</v>
      </c>
      <c r="C14" s="24">
        <v>2454880</v>
      </c>
      <c r="D14" s="49">
        <v>4.92</v>
      </c>
      <c r="E14" s="49">
        <v>0.26</v>
      </c>
      <c r="F14" s="49">
        <v>1.97</v>
      </c>
      <c r="G14" s="49">
        <v>51.99</v>
      </c>
      <c r="H14" s="49">
        <v>2.2400000000000002</v>
      </c>
      <c r="I14" s="49">
        <v>2.12</v>
      </c>
      <c r="J14" s="49">
        <f t="shared" si="0"/>
        <v>6.6000000000000005</v>
      </c>
      <c r="K14" s="42">
        <v>703460</v>
      </c>
      <c r="L14" s="49">
        <v>4.96</v>
      </c>
      <c r="M14" s="49">
        <v>0.28000000000000003</v>
      </c>
      <c r="N14" s="49">
        <v>1.84</v>
      </c>
      <c r="O14" s="49">
        <v>51.96</v>
      </c>
      <c r="P14" s="49">
        <v>2.25</v>
      </c>
      <c r="Q14" s="49">
        <v>2.1</v>
      </c>
      <c r="R14" s="49">
        <f t="shared" si="1"/>
        <v>6.6</v>
      </c>
      <c r="S14" s="42">
        <v>2573906</v>
      </c>
      <c r="T14" s="49">
        <v>4.9000000000000004</v>
      </c>
      <c r="U14" s="49">
        <v>0.3</v>
      </c>
      <c r="V14" s="49">
        <v>1.96</v>
      </c>
      <c r="W14" s="49">
        <v>52.02</v>
      </c>
      <c r="X14" s="49">
        <v>2.04</v>
      </c>
      <c r="Y14" s="49">
        <v>1.95</v>
      </c>
      <c r="Z14" s="49">
        <f t="shared" si="2"/>
        <v>6.03</v>
      </c>
      <c r="AA14" s="42">
        <v>119400</v>
      </c>
      <c r="AB14" s="49">
        <v>91.62</v>
      </c>
      <c r="AC14" s="49">
        <v>0.15</v>
      </c>
      <c r="AD14" s="43"/>
      <c r="AE14" s="44"/>
      <c r="AF14" s="45"/>
      <c r="AG14" s="46"/>
      <c r="AH14" s="47"/>
      <c r="AI14" s="45"/>
      <c r="AJ14" s="45"/>
      <c r="AK14" s="45"/>
      <c r="AL14" s="43"/>
      <c r="AM14" s="45"/>
      <c r="AN14" s="45"/>
      <c r="AO14" s="45"/>
      <c r="AP14" s="45"/>
      <c r="AQ14" s="45"/>
      <c r="AR14" s="45"/>
      <c r="AS14" s="45"/>
      <c r="AT14" s="43"/>
      <c r="AU14" s="44"/>
      <c r="AV14" s="45"/>
      <c r="AW14" s="46"/>
      <c r="AX14" s="47"/>
      <c r="AY14" s="45"/>
      <c r="AZ14" s="45"/>
      <c r="BA14" s="46"/>
      <c r="BB14" s="43"/>
      <c r="BC14" s="45"/>
      <c r="BD14" s="45"/>
      <c r="BE14" s="45"/>
      <c r="BF14" s="45"/>
      <c r="BG14" s="45"/>
      <c r="BH14" s="45"/>
      <c r="BI14" s="45"/>
      <c r="BJ14" s="43"/>
      <c r="BK14" s="45"/>
      <c r="BL14" s="45"/>
      <c r="BM14" s="45"/>
      <c r="BN14" s="45"/>
      <c r="BO14" s="45"/>
      <c r="BP14" s="45"/>
      <c r="BQ14" s="45"/>
      <c r="BR14" s="43"/>
      <c r="BS14" s="45"/>
      <c r="BT14" s="45"/>
      <c r="BU14" s="45"/>
      <c r="BV14" s="45"/>
      <c r="BW14" s="45"/>
      <c r="BX14" s="45"/>
      <c r="BY14" s="45"/>
      <c r="BZ14" s="43"/>
      <c r="CA14" s="45"/>
      <c r="CB14" s="45"/>
      <c r="CC14" s="45"/>
      <c r="CD14" s="45"/>
      <c r="CE14" s="45"/>
      <c r="CF14" s="45"/>
      <c r="CG14" s="45"/>
      <c r="CH14" s="43"/>
      <c r="CI14" s="45"/>
      <c r="CJ14" s="45"/>
      <c r="CK14" s="45"/>
      <c r="CL14" s="45"/>
      <c r="CM14" s="45"/>
      <c r="CN14" s="45"/>
      <c r="CO14" s="45"/>
      <c r="CP14" s="42">
        <v>1120000</v>
      </c>
      <c r="CQ14" s="48">
        <v>0.05</v>
      </c>
      <c r="CR14" s="49">
        <v>0.03</v>
      </c>
      <c r="CS14" s="50">
        <v>1.9</v>
      </c>
      <c r="CT14" s="51">
        <v>19</v>
      </c>
      <c r="CU14" s="49">
        <v>52.13</v>
      </c>
      <c r="CV14" s="49" t="s">
        <v>66</v>
      </c>
      <c r="CW14" s="42">
        <v>662700</v>
      </c>
      <c r="CX14" s="48">
        <v>5.5E-2</v>
      </c>
      <c r="CY14" s="49">
        <v>0.04</v>
      </c>
      <c r="CZ14" s="50">
        <v>2</v>
      </c>
      <c r="DA14" s="51">
        <v>20</v>
      </c>
      <c r="DB14" s="49">
        <v>52.09</v>
      </c>
      <c r="DC14" s="49" t="s">
        <v>66</v>
      </c>
      <c r="DD14" s="43"/>
      <c r="DE14" s="45"/>
      <c r="DF14" s="45"/>
      <c r="DG14" s="45"/>
      <c r="DH14" s="45"/>
      <c r="DI14" s="45"/>
      <c r="DJ14" s="45"/>
      <c r="DK14" s="45"/>
      <c r="DL14" s="38"/>
      <c r="DM14" s="43"/>
      <c r="DN14" s="45"/>
      <c r="DO14" s="45"/>
      <c r="DP14" s="45"/>
      <c r="DQ14" s="45"/>
      <c r="DR14" s="45"/>
      <c r="DS14" s="45"/>
      <c r="DT14" s="45"/>
      <c r="DU14" s="52"/>
      <c r="DV14" s="45"/>
      <c r="DW14" s="45"/>
      <c r="DX14" s="45"/>
      <c r="DY14" s="45"/>
      <c r="DZ14" s="45"/>
      <c r="EA14" s="45"/>
      <c r="EB14" s="45"/>
      <c r="EC14" s="45"/>
      <c r="ED14" s="38"/>
      <c r="EE14" s="43"/>
      <c r="EF14" s="45"/>
      <c r="EG14" s="45"/>
      <c r="EH14" s="45"/>
      <c r="EI14" s="45"/>
      <c r="EJ14" s="45"/>
      <c r="EK14" s="45"/>
      <c r="EL14" s="45"/>
      <c r="EM14" s="36"/>
      <c r="EN14" s="39"/>
      <c r="EO14" s="40">
        <f t="shared" si="4"/>
        <v>46031</v>
      </c>
      <c r="EP14" s="40">
        <v>45978</v>
      </c>
      <c r="EQ14" s="40">
        <v>46001</v>
      </c>
      <c r="ER14" s="40">
        <v>45930</v>
      </c>
      <c r="ES14" s="40"/>
      <c r="ET14" s="40">
        <v>45992</v>
      </c>
      <c r="EU14" s="40">
        <v>46029</v>
      </c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</row>
    <row r="15" spans="2:181" x14ac:dyDescent="0.35">
      <c r="B15" s="41">
        <f t="shared" si="3"/>
        <v>46032</v>
      </c>
      <c r="C15" s="42">
        <v>2454880</v>
      </c>
      <c r="D15" s="49">
        <v>4.92</v>
      </c>
      <c r="E15" s="49">
        <v>0.26</v>
      </c>
      <c r="F15" s="49">
        <v>1.97</v>
      </c>
      <c r="G15" s="49">
        <v>51.99</v>
      </c>
      <c r="H15" s="49">
        <v>2.2400000000000002</v>
      </c>
      <c r="I15" s="49">
        <v>2.12</v>
      </c>
      <c r="J15" s="49">
        <f t="shared" si="0"/>
        <v>6.6000000000000005</v>
      </c>
      <c r="K15" s="42">
        <v>618760</v>
      </c>
      <c r="L15" s="49">
        <v>4.97</v>
      </c>
      <c r="M15" s="49">
        <v>0.28000000000000003</v>
      </c>
      <c r="N15" s="49">
        <v>1.84</v>
      </c>
      <c r="O15" s="49">
        <v>51.95</v>
      </c>
      <c r="P15" s="49">
        <v>2.25</v>
      </c>
      <c r="Q15" s="49">
        <v>2.1</v>
      </c>
      <c r="R15" s="49">
        <f t="shared" si="1"/>
        <v>6.6</v>
      </c>
      <c r="S15" s="42">
        <v>2573906</v>
      </c>
      <c r="T15" s="49">
        <v>4.91</v>
      </c>
      <c r="U15" s="49">
        <v>0.3</v>
      </c>
      <c r="V15" s="49">
        <v>1.95</v>
      </c>
      <c r="W15" s="49">
        <v>52.01</v>
      </c>
      <c r="X15" s="49">
        <v>2.0499999999999998</v>
      </c>
      <c r="Y15" s="49">
        <v>1.96</v>
      </c>
      <c r="Z15" s="49">
        <f t="shared" si="2"/>
        <v>6.06</v>
      </c>
      <c r="AA15" s="42">
        <v>124020</v>
      </c>
      <c r="AB15" s="49">
        <v>91.62</v>
      </c>
      <c r="AC15" s="49">
        <v>0.15</v>
      </c>
      <c r="AD15" s="43"/>
      <c r="AE15" s="44"/>
      <c r="AF15" s="45"/>
      <c r="AG15" s="46"/>
      <c r="AH15" s="47"/>
      <c r="AI15" s="45"/>
      <c r="AJ15" s="45"/>
      <c r="AK15" s="45"/>
      <c r="AL15" s="43"/>
      <c r="AM15" s="45"/>
      <c r="AN15" s="45"/>
      <c r="AO15" s="45"/>
      <c r="AP15" s="45"/>
      <c r="AQ15" s="45"/>
      <c r="AR15" s="45"/>
      <c r="AS15" s="45"/>
      <c r="AT15" s="43"/>
      <c r="AU15" s="44"/>
      <c r="AV15" s="45"/>
      <c r="AW15" s="46"/>
      <c r="AX15" s="47"/>
      <c r="AY15" s="45"/>
      <c r="AZ15" s="45"/>
      <c r="BA15" s="46"/>
      <c r="BB15" s="43"/>
      <c r="BC15" s="45"/>
      <c r="BD15" s="45"/>
      <c r="BE15" s="45"/>
      <c r="BF15" s="45"/>
      <c r="BG15" s="45"/>
      <c r="BH15" s="45"/>
      <c r="BI15" s="45"/>
      <c r="BJ15" s="43"/>
      <c r="BK15" s="45"/>
      <c r="BL15" s="45"/>
      <c r="BM15" s="45"/>
      <c r="BN15" s="45"/>
      <c r="BO15" s="45"/>
      <c r="BP15" s="45"/>
      <c r="BQ15" s="45"/>
      <c r="BR15" s="43"/>
      <c r="BS15" s="45"/>
      <c r="BT15" s="45"/>
      <c r="BU15" s="45"/>
      <c r="BV15" s="45"/>
      <c r="BW15" s="45"/>
      <c r="BX15" s="45"/>
      <c r="BY15" s="45"/>
      <c r="BZ15" s="43"/>
      <c r="CA15" s="45"/>
      <c r="CB15" s="45"/>
      <c r="CC15" s="45"/>
      <c r="CD15" s="45"/>
      <c r="CE15" s="45"/>
      <c r="CF15" s="45"/>
      <c r="CG15" s="45"/>
      <c r="CH15" s="43"/>
      <c r="CI15" s="45"/>
      <c r="CJ15" s="45"/>
      <c r="CK15" s="53" t="s">
        <v>67</v>
      </c>
      <c r="CL15" s="45"/>
      <c r="CM15" s="45"/>
      <c r="CN15" s="45"/>
      <c r="CO15" s="45"/>
      <c r="CP15" s="42">
        <v>1120000</v>
      </c>
      <c r="CQ15" s="48">
        <v>5.0999999999999997E-2</v>
      </c>
      <c r="CR15" s="49">
        <v>0.04</v>
      </c>
      <c r="CS15" s="50">
        <v>2</v>
      </c>
      <c r="CT15" s="51">
        <v>20</v>
      </c>
      <c r="CU15" s="49">
        <v>52.13</v>
      </c>
      <c r="CV15" s="49" t="s">
        <v>66</v>
      </c>
      <c r="CW15" s="42">
        <v>741200</v>
      </c>
      <c r="CX15" s="48">
        <v>0.05</v>
      </c>
      <c r="CY15" s="49">
        <v>0.04</v>
      </c>
      <c r="CZ15" s="50">
        <v>2</v>
      </c>
      <c r="DA15" s="51">
        <v>20</v>
      </c>
      <c r="DB15" s="49">
        <v>52.09</v>
      </c>
      <c r="DC15" s="49" t="s">
        <v>66</v>
      </c>
      <c r="DD15" s="43"/>
      <c r="DE15" s="45"/>
      <c r="DF15" s="45"/>
      <c r="DG15" s="45"/>
      <c r="DH15" s="45"/>
      <c r="DI15" s="45"/>
      <c r="DJ15" s="45"/>
      <c r="DK15" s="45"/>
      <c r="DL15" s="38"/>
      <c r="DM15" s="43"/>
      <c r="DN15" s="45"/>
      <c r="DO15" s="45"/>
      <c r="DP15" s="45"/>
      <c r="DQ15" s="45"/>
      <c r="DR15" s="45"/>
      <c r="DS15" s="45"/>
      <c r="DT15" s="45"/>
      <c r="DU15" s="52"/>
      <c r="DV15" s="45"/>
      <c r="DW15" s="45"/>
      <c r="DX15" s="45"/>
      <c r="DY15" s="45"/>
      <c r="DZ15" s="45"/>
      <c r="EA15" s="45"/>
      <c r="EB15" s="45"/>
      <c r="EC15" s="45"/>
      <c r="ED15" s="38"/>
      <c r="EE15" s="43"/>
      <c r="EF15" s="45"/>
      <c r="EG15" s="45"/>
      <c r="EH15" s="45"/>
      <c r="EI15" s="45"/>
      <c r="EJ15" s="45"/>
      <c r="EK15" s="45"/>
      <c r="EL15" s="45"/>
      <c r="EM15" s="36"/>
      <c r="EN15" s="39"/>
      <c r="EO15" s="40">
        <f t="shared" si="4"/>
        <v>46032</v>
      </c>
      <c r="EP15" s="40">
        <v>45978</v>
      </c>
      <c r="EQ15" s="40">
        <v>46001</v>
      </c>
      <c r="ER15" s="40">
        <v>45930</v>
      </c>
      <c r="ES15" s="40"/>
      <c r="ET15" s="40">
        <v>45992</v>
      </c>
      <c r="EU15" s="40">
        <v>46029</v>
      </c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</row>
    <row r="16" spans="2:181" x14ac:dyDescent="0.35">
      <c r="B16" s="41">
        <f t="shared" si="3"/>
        <v>46033</v>
      </c>
      <c r="C16" s="42">
        <v>2454880</v>
      </c>
      <c r="D16" s="49">
        <v>4.93</v>
      </c>
      <c r="E16" s="49">
        <v>0.26</v>
      </c>
      <c r="F16" s="49">
        <v>1.95</v>
      </c>
      <c r="G16" s="49">
        <v>51.99</v>
      </c>
      <c r="H16" s="49">
        <v>2.25</v>
      </c>
      <c r="I16" s="49">
        <v>2.12</v>
      </c>
      <c r="J16" s="49">
        <f t="shared" si="0"/>
        <v>6.62</v>
      </c>
      <c r="K16" s="42">
        <v>583860</v>
      </c>
      <c r="L16" s="49">
        <v>4.9800000000000004</v>
      </c>
      <c r="M16" s="49">
        <v>0.28000000000000003</v>
      </c>
      <c r="N16" s="49">
        <v>1.84</v>
      </c>
      <c r="O16" s="49">
        <v>51.95</v>
      </c>
      <c r="P16" s="49">
        <v>2.25</v>
      </c>
      <c r="Q16" s="49">
        <v>2.1</v>
      </c>
      <c r="R16" s="49">
        <f t="shared" si="1"/>
        <v>6.6</v>
      </c>
      <c r="S16" s="42">
        <v>2573906</v>
      </c>
      <c r="T16" s="49">
        <v>4.91</v>
      </c>
      <c r="U16" s="49">
        <v>0.3</v>
      </c>
      <c r="V16" s="49">
        <v>1.95</v>
      </c>
      <c r="W16" s="49">
        <v>52.01</v>
      </c>
      <c r="X16" s="49">
        <v>2.0499999999999998</v>
      </c>
      <c r="Y16" s="49">
        <v>1.96</v>
      </c>
      <c r="Z16" s="49">
        <f t="shared" si="2"/>
        <v>6.06</v>
      </c>
      <c r="AA16" s="42">
        <v>124020</v>
      </c>
      <c r="AB16" s="49">
        <v>91.62</v>
      </c>
      <c r="AC16" s="49">
        <v>0.15</v>
      </c>
      <c r="AD16" s="43"/>
      <c r="AE16" s="44"/>
      <c r="AF16" s="45"/>
      <c r="AG16" s="46"/>
      <c r="AH16" s="47"/>
      <c r="AI16" s="45"/>
      <c r="AJ16" s="45"/>
      <c r="AK16" s="45"/>
      <c r="AL16" s="43"/>
      <c r="AM16" s="45"/>
      <c r="AN16" s="45"/>
      <c r="AO16" s="45"/>
      <c r="AP16" s="45"/>
      <c r="AQ16" s="45"/>
      <c r="AR16" s="45"/>
      <c r="AS16" s="45"/>
      <c r="AT16" s="43"/>
      <c r="AU16" s="44"/>
      <c r="AV16" s="45"/>
      <c r="AW16" s="46"/>
      <c r="AX16" s="47"/>
      <c r="AY16" s="45"/>
      <c r="AZ16" s="45"/>
      <c r="BA16" s="46"/>
      <c r="BB16" s="43"/>
      <c r="BC16" s="45"/>
      <c r="BD16" s="45"/>
      <c r="BE16" s="45"/>
      <c r="BF16" s="45"/>
      <c r="BG16" s="45"/>
      <c r="BH16" s="45"/>
      <c r="BI16" s="45"/>
      <c r="BJ16" s="43"/>
      <c r="BK16" s="45"/>
      <c r="BL16" s="45"/>
      <c r="BM16" s="45"/>
      <c r="BN16" s="45"/>
      <c r="BO16" s="45"/>
      <c r="BP16" s="45"/>
      <c r="BQ16" s="45"/>
      <c r="BR16" s="43"/>
      <c r="BS16" s="45"/>
      <c r="BT16" s="45"/>
      <c r="BU16" s="45"/>
      <c r="BV16" s="45"/>
      <c r="BW16" s="45"/>
      <c r="BX16" s="45"/>
      <c r="BY16" s="45"/>
      <c r="BZ16" s="43"/>
      <c r="CA16" s="45"/>
      <c r="CB16" s="45"/>
      <c r="CC16" s="45"/>
      <c r="CD16" s="45"/>
      <c r="CE16" s="45"/>
      <c r="CF16" s="45"/>
      <c r="CG16" s="45"/>
      <c r="CH16" s="43"/>
      <c r="CI16" s="45"/>
      <c r="CJ16" s="45"/>
      <c r="CK16" s="45"/>
      <c r="CL16" s="45"/>
      <c r="CM16" s="45"/>
      <c r="CN16" s="45"/>
      <c r="CO16" s="45"/>
      <c r="CP16" s="42">
        <v>1120000</v>
      </c>
      <c r="CQ16" s="48">
        <v>5.0999999999999997E-2</v>
      </c>
      <c r="CR16" s="49">
        <v>0.04</v>
      </c>
      <c r="CS16" s="50">
        <v>2</v>
      </c>
      <c r="CT16" s="51">
        <v>20</v>
      </c>
      <c r="CU16" s="49">
        <v>52.13</v>
      </c>
      <c r="CV16" s="49" t="s">
        <v>66</v>
      </c>
      <c r="CW16" s="42">
        <v>741200</v>
      </c>
      <c r="CX16" s="48">
        <v>0.05</v>
      </c>
      <c r="CY16" s="49">
        <v>0.04</v>
      </c>
      <c r="CZ16" s="50">
        <v>2</v>
      </c>
      <c r="DA16" s="51">
        <v>20</v>
      </c>
      <c r="DB16" s="49">
        <v>52.05</v>
      </c>
      <c r="DC16" s="49" t="s">
        <v>66</v>
      </c>
      <c r="DD16" s="43"/>
      <c r="DE16" s="45"/>
      <c r="DF16" s="45"/>
      <c r="DG16" s="45"/>
      <c r="DH16" s="45"/>
      <c r="DI16" s="45"/>
      <c r="DJ16" s="45"/>
      <c r="DK16" s="45"/>
      <c r="DL16" s="38"/>
      <c r="DM16" s="43"/>
      <c r="DN16" s="45"/>
      <c r="DO16" s="45"/>
      <c r="DP16" s="45"/>
      <c r="DQ16" s="45"/>
      <c r="DR16" s="45"/>
      <c r="DS16" s="45"/>
      <c r="DT16" s="45"/>
      <c r="DU16" s="52"/>
      <c r="DV16" s="45"/>
      <c r="DW16" s="45"/>
      <c r="DX16" s="45"/>
      <c r="DY16" s="45"/>
      <c r="DZ16" s="45"/>
      <c r="EA16" s="45"/>
      <c r="EB16" s="45"/>
      <c r="EC16" s="45"/>
      <c r="ED16" s="38"/>
      <c r="EE16" s="43"/>
      <c r="EF16" s="45"/>
      <c r="EG16" s="45"/>
      <c r="EH16" s="45"/>
      <c r="EI16" s="45"/>
      <c r="EJ16" s="45"/>
      <c r="EK16" s="45"/>
      <c r="EL16" s="45"/>
      <c r="EM16" s="36"/>
      <c r="EN16" s="39"/>
      <c r="EO16" s="40">
        <f t="shared" si="4"/>
        <v>46033</v>
      </c>
      <c r="EP16" s="40">
        <v>45978</v>
      </c>
      <c r="EQ16" s="40">
        <v>46001</v>
      </c>
      <c r="ER16" s="40">
        <v>45930</v>
      </c>
      <c r="ES16" s="40">
        <v>46033</v>
      </c>
      <c r="ET16" s="40">
        <v>45992</v>
      </c>
      <c r="EU16" s="40">
        <v>46029</v>
      </c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</row>
    <row r="17" spans="2:181" x14ac:dyDescent="0.35">
      <c r="B17" s="41">
        <f t="shared" si="3"/>
        <v>46034</v>
      </c>
      <c r="C17" s="42">
        <v>2454880</v>
      </c>
      <c r="D17" s="49">
        <v>4.93</v>
      </c>
      <c r="E17" s="49">
        <v>0.26</v>
      </c>
      <c r="F17" s="49">
        <v>1.95</v>
      </c>
      <c r="G17" s="49">
        <v>51.99</v>
      </c>
      <c r="H17" s="49">
        <v>2.25</v>
      </c>
      <c r="I17" s="49">
        <v>2.12</v>
      </c>
      <c r="J17" s="49">
        <f t="shared" si="0"/>
        <v>6.62</v>
      </c>
      <c r="K17" s="42">
        <v>583860</v>
      </c>
      <c r="L17" s="49">
        <v>4.9800000000000004</v>
      </c>
      <c r="M17" s="49">
        <v>0.28000000000000003</v>
      </c>
      <c r="N17" s="49">
        <v>1.84</v>
      </c>
      <c r="O17" s="49">
        <v>51.95</v>
      </c>
      <c r="P17" s="49">
        <v>2.25</v>
      </c>
      <c r="Q17" s="49">
        <v>2.1</v>
      </c>
      <c r="R17" s="49">
        <f t="shared" si="1"/>
        <v>6.6</v>
      </c>
      <c r="S17" s="42">
        <v>2573906</v>
      </c>
      <c r="T17" s="49">
        <v>4.91</v>
      </c>
      <c r="U17" s="49">
        <v>0.3</v>
      </c>
      <c r="V17" s="49">
        <v>1.95</v>
      </c>
      <c r="W17" s="49">
        <v>52.01</v>
      </c>
      <c r="X17" s="49">
        <v>2.0499999999999998</v>
      </c>
      <c r="Y17" s="49">
        <v>1.96</v>
      </c>
      <c r="Z17" s="49">
        <f t="shared" si="2"/>
        <v>6.06</v>
      </c>
      <c r="AA17" s="42">
        <v>124020</v>
      </c>
      <c r="AB17" s="49">
        <v>91.62</v>
      </c>
      <c r="AC17" s="49">
        <v>0.15</v>
      </c>
      <c r="AD17" s="43"/>
      <c r="AE17" s="44"/>
      <c r="AF17" s="45"/>
      <c r="AG17" s="46"/>
      <c r="AH17" s="47"/>
      <c r="AI17" s="45"/>
      <c r="AJ17" s="45"/>
      <c r="AK17" s="45"/>
      <c r="AL17" s="43"/>
      <c r="AM17" s="45"/>
      <c r="AN17" s="45"/>
      <c r="AO17" s="45"/>
      <c r="AP17" s="45"/>
      <c r="AQ17" s="45"/>
      <c r="AR17" s="45"/>
      <c r="AS17" s="45"/>
      <c r="AT17" s="43"/>
      <c r="AU17" s="44"/>
      <c r="AV17" s="45"/>
      <c r="AW17" s="46"/>
      <c r="AX17" s="47"/>
      <c r="AY17" s="45"/>
      <c r="AZ17" s="45"/>
      <c r="BA17" s="46"/>
      <c r="BB17" s="43"/>
      <c r="BC17" s="45"/>
      <c r="BD17" s="45"/>
      <c r="BE17" s="45"/>
      <c r="BF17" s="45"/>
      <c r="BG17" s="45"/>
      <c r="BH17" s="45"/>
      <c r="BI17" s="45"/>
      <c r="BJ17" s="43"/>
      <c r="BK17" s="45"/>
      <c r="BL17" s="45"/>
      <c r="BM17" s="45"/>
      <c r="BN17" s="45"/>
      <c r="BO17" s="45"/>
      <c r="BP17" s="45"/>
      <c r="BQ17" s="45"/>
      <c r="BR17" s="43"/>
      <c r="BS17" s="45"/>
      <c r="BT17" s="45"/>
      <c r="BU17" s="45"/>
      <c r="BV17" s="45"/>
      <c r="BW17" s="45"/>
      <c r="BX17" s="45"/>
      <c r="BY17" s="45"/>
      <c r="BZ17" s="43"/>
      <c r="CA17" s="45"/>
      <c r="CB17" s="45"/>
      <c r="CC17" s="45"/>
      <c r="CD17" s="45"/>
      <c r="CE17" s="45"/>
      <c r="CF17" s="45"/>
      <c r="CG17" s="45"/>
      <c r="CH17" s="43"/>
      <c r="CI17" s="45"/>
      <c r="CJ17" s="45"/>
      <c r="CK17" s="45"/>
      <c r="CL17" s="45"/>
      <c r="CM17" s="45"/>
      <c r="CN17" s="45"/>
      <c r="CO17" s="45"/>
      <c r="CP17" s="42">
        <v>1120000</v>
      </c>
      <c r="CQ17" s="48">
        <v>5.2999999999999999E-2</v>
      </c>
      <c r="CR17" s="49">
        <v>0.04</v>
      </c>
      <c r="CS17" s="50">
        <v>2</v>
      </c>
      <c r="CT17" s="51">
        <v>20</v>
      </c>
      <c r="CU17" s="49">
        <v>52.13</v>
      </c>
      <c r="CV17" s="49" t="s">
        <v>66</v>
      </c>
      <c r="CW17" s="42">
        <v>741200</v>
      </c>
      <c r="CX17" s="48">
        <v>5.0999999999999997E-2</v>
      </c>
      <c r="CY17" s="49">
        <v>0.04</v>
      </c>
      <c r="CZ17" s="50">
        <v>2</v>
      </c>
      <c r="DA17" s="51">
        <v>20</v>
      </c>
      <c r="DB17" s="49">
        <v>52.05</v>
      </c>
      <c r="DC17" s="49" t="s">
        <v>66</v>
      </c>
      <c r="DD17" s="43"/>
      <c r="DE17" s="45"/>
      <c r="DF17" s="45"/>
      <c r="DG17" s="45"/>
      <c r="DH17" s="45"/>
      <c r="DI17" s="45"/>
      <c r="DJ17" s="45"/>
      <c r="DK17" s="45"/>
      <c r="DL17" s="38"/>
      <c r="DM17" s="43"/>
      <c r="DN17" s="45"/>
      <c r="DO17" s="45"/>
      <c r="DP17" s="45"/>
      <c r="DQ17" s="45"/>
      <c r="DR17" s="45"/>
      <c r="DS17" s="45"/>
      <c r="DT17" s="45"/>
      <c r="DU17" s="52"/>
      <c r="DV17" s="45"/>
      <c r="DW17" s="45"/>
      <c r="DX17" s="45"/>
      <c r="DY17" s="45"/>
      <c r="DZ17" s="45"/>
      <c r="EA17" s="45"/>
      <c r="EB17" s="45"/>
      <c r="EC17" s="45"/>
      <c r="ED17" s="38"/>
      <c r="EE17" s="43"/>
      <c r="EF17" s="45"/>
      <c r="EG17" s="45"/>
      <c r="EH17" s="45"/>
      <c r="EI17" s="45"/>
      <c r="EJ17" s="45"/>
      <c r="EK17" s="45"/>
      <c r="EL17" s="45"/>
      <c r="EM17" s="36"/>
      <c r="EN17" s="39"/>
      <c r="EO17" s="40">
        <f t="shared" si="4"/>
        <v>46034</v>
      </c>
      <c r="EP17" s="40">
        <v>45978</v>
      </c>
      <c r="EQ17" s="40">
        <v>46001</v>
      </c>
      <c r="ER17" s="40">
        <v>45930</v>
      </c>
      <c r="ES17" s="40">
        <v>46033</v>
      </c>
      <c r="ET17" s="40">
        <v>45992</v>
      </c>
      <c r="EU17" s="40">
        <v>46029</v>
      </c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</row>
    <row r="18" spans="2:181" x14ac:dyDescent="0.35">
      <c r="B18" s="41">
        <f t="shared" si="3"/>
        <v>46035</v>
      </c>
      <c r="C18" s="42">
        <v>2454880</v>
      </c>
      <c r="D18" s="49">
        <v>4.95</v>
      </c>
      <c r="E18" s="49">
        <v>0.28000000000000003</v>
      </c>
      <c r="F18" s="49">
        <v>1.95</v>
      </c>
      <c r="G18" s="49">
        <v>51.99</v>
      </c>
      <c r="H18" s="49">
        <v>2.2599999999999998</v>
      </c>
      <c r="I18" s="49">
        <v>2.14</v>
      </c>
      <c r="J18" s="49">
        <f t="shared" si="0"/>
        <v>6.66</v>
      </c>
      <c r="K18" s="42">
        <v>583860</v>
      </c>
      <c r="L18" s="49">
        <v>4.9800000000000004</v>
      </c>
      <c r="M18" s="49">
        <v>0.28000000000000003</v>
      </c>
      <c r="N18" s="49">
        <v>1.8</v>
      </c>
      <c r="O18" s="49">
        <v>51.95</v>
      </c>
      <c r="P18" s="49">
        <v>2.25</v>
      </c>
      <c r="Q18" s="49">
        <v>2.1</v>
      </c>
      <c r="R18" s="49">
        <f t="shared" si="1"/>
        <v>6.6</v>
      </c>
      <c r="S18" s="42">
        <v>2573906</v>
      </c>
      <c r="T18" s="49">
        <v>4.9400000000000004</v>
      </c>
      <c r="U18" s="49">
        <v>0.3</v>
      </c>
      <c r="V18" s="49">
        <v>1.91</v>
      </c>
      <c r="W18" s="49">
        <v>52.01</v>
      </c>
      <c r="X18" s="49">
        <v>2.08</v>
      </c>
      <c r="Y18" s="49">
        <v>1.99</v>
      </c>
      <c r="Z18" s="49">
        <f t="shared" si="2"/>
        <v>6.15</v>
      </c>
      <c r="AA18" s="42">
        <v>124020</v>
      </c>
      <c r="AB18" s="49">
        <v>91.62</v>
      </c>
      <c r="AC18" s="49">
        <v>0.15</v>
      </c>
      <c r="AD18" s="43"/>
      <c r="AE18" s="44"/>
      <c r="AF18" s="45"/>
      <c r="AG18" s="46"/>
      <c r="AH18" s="47"/>
      <c r="AI18" s="45"/>
      <c r="AJ18" s="45"/>
      <c r="AK18" s="45"/>
      <c r="AL18" s="43"/>
      <c r="AM18" s="45"/>
      <c r="AN18" s="45"/>
      <c r="AO18" s="45"/>
      <c r="AP18" s="45"/>
      <c r="AQ18" s="45"/>
      <c r="AR18" s="45"/>
      <c r="AS18" s="45"/>
      <c r="AT18" s="43"/>
      <c r="AU18" s="44"/>
      <c r="AV18" s="45"/>
      <c r="AW18" s="46"/>
      <c r="AX18" s="47"/>
      <c r="AY18" s="45"/>
      <c r="AZ18" s="45"/>
      <c r="BA18" s="46"/>
      <c r="BB18" s="43"/>
      <c r="BC18" s="45"/>
      <c r="BD18" s="45"/>
      <c r="BE18" s="45"/>
      <c r="BF18" s="45"/>
      <c r="BG18" s="45"/>
      <c r="BH18" s="45"/>
      <c r="BI18" s="45"/>
      <c r="BJ18" s="43"/>
      <c r="BK18" s="45"/>
      <c r="BL18" s="45"/>
      <c r="BM18" s="45"/>
      <c r="BN18" s="45"/>
      <c r="BO18" s="45"/>
      <c r="BP18" s="45"/>
      <c r="BQ18" s="45"/>
      <c r="BR18" s="43"/>
      <c r="BS18" s="45"/>
      <c r="BT18" s="45"/>
      <c r="BU18" s="45"/>
      <c r="BV18" s="45"/>
      <c r="BW18" s="45"/>
      <c r="BX18" s="45"/>
      <c r="BY18" s="45"/>
      <c r="BZ18" s="43"/>
      <c r="CA18" s="45"/>
      <c r="CB18" s="45"/>
      <c r="CC18" s="45"/>
      <c r="CD18" s="45"/>
      <c r="CE18" s="45"/>
      <c r="CF18" s="45"/>
      <c r="CG18" s="45"/>
      <c r="CH18" s="43"/>
      <c r="CI18" s="45"/>
      <c r="CJ18" s="45"/>
      <c r="CK18" s="45"/>
      <c r="CL18" s="45"/>
      <c r="CM18" s="45"/>
      <c r="CN18" s="45"/>
      <c r="CO18" s="45"/>
      <c r="CP18" s="42">
        <v>1120000</v>
      </c>
      <c r="CQ18" s="48">
        <v>5.3999999999999999E-2</v>
      </c>
      <c r="CR18" s="49">
        <v>0.04</v>
      </c>
      <c r="CS18" s="50">
        <v>2</v>
      </c>
      <c r="CT18" s="51">
        <v>20</v>
      </c>
      <c r="CU18" s="49">
        <v>52.13</v>
      </c>
      <c r="CV18" s="49" t="s">
        <v>66</v>
      </c>
      <c r="CW18" s="42">
        <v>741200</v>
      </c>
      <c r="CX18" s="48">
        <v>5.0999999999999997E-2</v>
      </c>
      <c r="CY18" s="49">
        <v>0.04</v>
      </c>
      <c r="CZ18" s="50">
        <v>2.1</v>
      </c>
      <c r="DA18" s="51">
        <v>20</v>
      </c>
      <c r="DB18" s="49">
        <v>52.05</v>
      </c>
      <c r="DC18" s="49" t="s">
        <v>66</v>
      </c>
      <c r="DD18" s="43"/>
      <c r="DE18" s="45"/>
      <c r="DF18" s="45"/>
      <c r="DG18" s="45"/>
      <c r="DH18" s="45"/>
      <c r="DI18" s="45"/>
      <c r="DJ18" s="45"/>
      <c r="DK18" s="45"/>
      <c r="DL18" s="38"/>
      <c r="DM18" s="43"/>
      <c r="DN18" s="45"/>
      <c r="DO18" s="45"/>
      <c r="DP18" s="45"/>
      <c r="DQ18" s="45"/>
      <c r="DR18" s="45"/>
      <c r="DS18" s="45"/>
      <c r="DT18" s="45"/>
      <c r="DU18" s="52"/>
      <c r="DV18" s="45"/>
      <c r="DW18" s="45"/>
      <c r="DX18" s="45"/>
      <c r="DY18" s="45"/>
      <c r="DZ18" s="45"/>
      <c r="EA18" s="45"/>
      <c r="EB18" s="45"/>
      <c r="EC18" s="45"/>
      <c r="ED18" s="38"/>
      <c r="EE18" s="43"/>
      <c r="EF18" s="45"/>
      <c r="EG18" s="45"/>
      <c r="EH18" s="45"/>
      <c r="EI18" s="45"/>
      <c r="EJ18" s="45"/>
      <c r="EK18" s="45"/>
      <c r="EL18" s="45"/>
      <c r="EM18" s="36"/>
      <c r="EN18" s="39"/>
      <c r="EO18" s="40">
        <f t="shared" si="4"/>
        <v>46035</v>
      </c>
      <c r="EP18" s="40">
        <v>45978</v>
      </c>
      <c r="EQ18" s="40">
        <v>46001</v>
      </c>
      <c r="ER18" s="40">
        <v>45930</v>
      </c>
      <c r="ES18" s="40">
        <v>46033</v>
      </c>
      <c r="ET18" s="40">
        <v>45992</v>
      </c>
      <c r="EU18" s="40">
        <v>46029</v>
      </c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</row>
    <row r="19" spans="2:181" x14ac:dyDescent="0.35">
      <c r="B19" s="41">
        <f t="shared" si="3"/>
        <v>46036</v>
      </c>
      <c r="C19" s="42">
        <v>2454880</v>
      </c>
      <c r="D19" s="49">
        <v>4.95</v>
      </c>
      <c r="E19" s="49">
        <v>0.28000000000000003</v>
      </c>
      <c r="F19" s="49">
        <v>1.95</v>
      </c>
      <c r="G19" s="49">
        <v>51.99</v>
      </c>
      <c r="H19" s="49">
        <v>2.2599999999999998</v>
      </c>
      <c r="I19" s="49">
        <v>2.14</v>
      </c>
      <c r="J19" s="49">
        <f t="shared" si="0"/>
        <v>6.66</v>
      </c>
      <c r="K19" s="42">
        <v>782180</v>
      </c>
      <c r="L19" s="49">
        <v>4.9850709555345318</v>
      </c>
      <c r="M19" s="49">
        <v>0.28000000000000003</v>
      </c>
      <c r="N19" s="49">
        <v>1.83042573320719</v>
      </c>
      <c r="O19" s="49">
        <v>51.937322611163673</v>
      </c>
      <c r="P19" s="49">
        <v>2.2246452223273416</v>
      </c>
      <c r="Q19" s="49">
        <v>2.0746452223273417</v>
      </c>
      <c r="R19" s="49">
        <f t="shared" si="1"/>
        <v>6.523935666982025</v>
      </c>
      <c r="S19" s="42">
        <v>2573906</v>
      </c>
      <c r="T19" s="49">
        <v>4.9400000000000004</v>
      </c>
      <c r="U19" s="49">
        <v>0.3</v>
      </c>
      <c r="V19" s="49">
        <v>1.91</v>
      </c>
      <c r="W19" s="49">
        <v>52.01</v>
      </c>
      <c r="X19" s="49">
        <v>2.08</v>
      </c>
      <c r="Y19" s="49">
        <v>1.99</v>
      </c>
      <c r="Z19" s="49">
        <f t="shared" si="2"/>
        <v>6.15</v>
      </c>
      <c r="AA19" s="42">
        <v>132620</v>
      </c>
      <c r="AB19" s="49">
        <v>91.62</v>
      </c>
      <c r="AC19" s="49">
        <v>0.15</v>
      </c>
      <c r="AD19" s="43"/>
      <c r="AE19" s="44"/>
      <c r="AF19" s="45"/>
      <c r="AG19" s="46"/>
      <c r="AH19" s="47"/>
      <c r="AI19" s="45"/>
      <c r="AJ19" s="45"/>
      <c r="AK19" s="45"/>
      <c r="AL19" s="43"/>
      <c r="AM19" s="45"/>
      <c r="AN19" s="45"/>
      <c r="AO19" s="45"/>
      <c r="AP19" s="45"/>
      <c r="AQ19" s="45"/>
      <c r="AR19" s="45"/>
      <c r="AS19" s="45"/>
      <c r="AT19" s="43"/>
      <c r="AU19" s="44"/>
      <c r="AV19" s="45"/>
      <c r="AW19" s="46"/>
      <c r="AX19" s="47"/>
      <c r="AY19" s="45"/>
      <c r="AZ19" s="45"/>
      <c r="BA19" s="46"/>
      <c r="BB19" s="43"/>
      <c r="BC19" s="45"/>
      <c r="BD19" s="45"/>
      <c r="BE19" s="45"/>
      <c r="BF19" s="45"/>
      <c r="BG19" s="45"/>
      <c r="BH19" s="45"/>
      <c r="BI19" s="45"/>
      <c r="BJ19" s="43"/>
      <c r="BK19" s="45"/>
      <c r="BL19" s="45"/>
      <c r="BM19" s="45"/>
      <c r="BN19" s="45"/>
      <c r="BO19" s="45"/>
      <c r="BP19" s="45"/>
      <c r="BQ19" s="45"/>
      <c r="BR19" s="43"/>
      <c r="BS19" s="45"/>
      <c r="BT19" s="45"/>
      <c r="BU19" s="45"/>
      <c r="BV19" s="45"/>
      <c r="BW19" s="45"/>
      <c r="BX19" s="45"/>
      <c r="BY19" s="45"/>
      <c r="BZ19" s="43"/>
      <c r="CA19" s="45"/>
      <c r="CB19" s="45"/>
      <c r="CC19" s="45"/>
      <c r="CD19" s="45"/>
      <c r="CE19" s="45"/>
      <c r="CF19" s="45"/>
      <c r="CG19" s="45"/>
      <c r="CH19" s="43"/>
      <c r="CI19" s="45"/>
      <c r="CJ19" s="45"/>
      <c r="CK19" s="45"/>
      <c r="CL19" s="45"/>
      <c r="CM19" s="45"/>
      <c r="CN19" s="45"/>
      <c r="CO19" s="45"/>
      <c r="CP19" s="42">
        <v>1120000</v>
      </c>
      <c r="CQ19" s="48">
        <v>5.5E-2</v>
      </c>
      <c r="CR19" s="49">
        <v>0.04</v>
      </c>
      <c r="CS19" s="50">
        <v>2</v>
      </c>
      <c r="CT19" s="51">
        <v>20</v>
      </c>
      <c r="CU19" s="49">
        <v>52.13</v>
      </c>
      <c r="CV19" s="49" t="s">
        <v>66</v>
      </c>
      <c r="CW19" s="42">
        <v>785400</v>
      </c>
      <c r="CX19" s="48">
        <v>5.0999999999999997E-2</v>
      </c>
      <c r="CY19" s="49">
        <v>0.04</v>
      </c>
      <c r="CZ19" s="50">
        <v>2.1</v>
      </c>
      <c r="DA19" s="51">
        <v>21</v>
      </c>
      <c r="DB19" s="49">
        <v>52.05</v>
      </c>
      <c r="DC19" s="49" t="s">
        <v>66</v>
      </c>
      <c r="DD19" s="43"/>
      <c r="DE19" s="45"/>
      <c r="DF19" s="45"/>
      <c r="DG19" s="45"/>
      <c r="DH19" s="45"/>
      <c r="DI19" s="45"/>
      <c r="DJ19" s="45"/>
      <c r="DK19" s="45"/>
      <c r="DL19" s="38"/>
      <c r="DM19" s="43"/>
      <c r="DN19" s="45"/>
      <c r="DO19" s="45"/>
      <c r="DP19" s="45"/>
      <c r="DQ19" s="45"/>
      <c r="DR19" s="45"/>
      <c r="DS19" s="45"/>
      <c r="DT19" s="45"/>
      <c r="DU19" s="52"/>
      <c r="DV19" s="45"/>
      <c r="DW19" s="45"/>
      <c r="DX19" s="45"/>
      <c r="DY19" s="45"/>
      <c r="DZ19" s="45"/>
      <c r="EA19" s="45"/>
      <c r="EB19" s="45"/>
      <c r="EC19" s="45"/>
      <c r="ED19" s="38"/>
      <c r="EE19" s="43"/>
      <c r="EF19" s="45"/>
      <c r="EG19" s="45"/>
      <c r="EH19" s="45"/>
      <c r="EI19" s="45"/>
      <c r="EJ19" s="45"/>
      <c r="EK19" s="45"/>
      <c r="EL19" s="45"/>
      <c r="EM19" s="36"/>
      <c r="EN19" s="39"/>
      <c r="EO19" s="40">
        <f t="shared" si="4"/>
        <v>46036</v>
      </c>
      <c r="EP19" s="40">
        <v>45978</v>
      </c>
      <c r="EQ19" s="40">
        <v>46001</v>
      </c>
      <c r="ER19" s="40">
        <v>45930</v>
      </c>
      <c r="ES19" s="40">
        <v>46036</v>
      </c>
      <c r="ET19" s="40">
        <v>45992</v>
      </c>
      <c r="EU19" s="40">
        <v>46029</v>
      </c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</row>
    <row r="20" spans="2:181" x14ac:dyDescent="0.35">
      <c r="B20" s="41">
        <f t="shared" si="3"/>
        <v>46037</v>
      </c>
      <c r="C20" s="42">
        <v>2454880</v>
      </c>
      <c r="D20" s="49">
        <v>4.95</v>
      </c>
      <c r="E20" s="49">
        <v>0.28000000000000003</v>
      </c>
      <c r="F20" s="49">
        <v>1.95</v>
      </c>
      <c r="G20" s="49">
        <v>51.99</v>
      </c>
      <c r="H20" s="49">
        <v>2.2599999999999998</v>
      </c>
      <c r="I20" s="49">
        <v>2.14</v>
      </c>
      <c r="J20" s="49">
        <f t="shared" si="0"/>
        <v>6.66</v>
      </c>
      <c r="K20" s="42">
        <v>981550</v>
      </c>
      <c r="L20" s="49">
        <v>4.97</v>
      </c>
      <c r="M20" s="49">
        <v>0.2840623503642199</v>
      </c>
      <c r="N20" s="49">
        <v>1.850651011155825</v>
      </c>
      <c r="O20" s="49">
        <v>51.933804085375172</v>
      </c>
      <c r="P20" s="49">
        <v>2.2033899444755742</v>
      </c>
      <c r="Q20" s="49">
        <v>2.0615146452040141</v>
      </c>
      <c r="R20" s="49">
        <f t="shared" si="1"/>
        <v>6.468294534155163</v>
      </c>
      <c r="S20" s="42">
        <v>2573906</v>
      </c>
      <c r="T20" s="49">
        <v>4.9400000000000004</v>
      </c>
      <c r="U20" s="49">
        <v>0.3</v>
      </c>
      <c r="V20" s="49">
        <v>1.91</v>
      </c>
      <c r="W20" s="49">
        <v>52.01</v>
      </c>
      <c r="X20" s="49">
        <v>2.08</v>
      </c>
      <c r="Y20" s="49">
        <v>1.99</v>
      </c>
      <c r="Z20" s="49">
        <f t="shared" si="2"/>
        <v>6.15</v>
      </c>
      <c r="AA20" s="42">
        <v>132620</v>
      </c>
      <c r="AB20" s="49">
        <v>91.62</v>
      </c>
      <c r="AC20" s="49">
        <v>0.15</v>
      </c>
      <c r="AD20" s="43"/>
      <c r="AE20" s="44"/>
      <c r="AF20" s="45"/>
      <c r="AG20" s="46"/>
      <c r="AH20" s="47"/>
      <c r="AI20" s="45"/>
      <c r="AJ20" s="45"/>
      <c r="AK20" s="45"/>
      <c r="AL20" s="43"/>
      <c r="AM20" s="45"/>
      <c r="AN20" s="45"/>
      <c r="AO20" s="45"/>
      <c r="AP20" s="45"/>
      <c r="AQ20" s="45"/>
      <c r="AR20" s="45"/>
      <c r="AS20" s="45"/>
      <c r="AT20" s="43"/>
      <c r="AU20" s="44"/>
      <c r="AV20" s="45"/>
      <c r="AW20" s="46"/>
      <c r="AX20" s="47"/>
      <c r="AY20" s="45"/>
      <c r="AZ20" s="45"/>
      <c r="BA20" s="46"/>
      <c r="BB20" s="43"/>
      <c r="BC20" s="45"/>
      <c r="BD20" s="45"/>
      <c r="BE20" s="45"/>
      <c r="BF20" s="45"/>
      <c r="BG20" s="45"/>
      <c r="BH20" s="45"/>
      <c r="BI20" s="45"/>
      <c r="BJ20" s="43"/>
      <c r="BK20" s="45"/>
      <c r="BL20" s="45"/>
      <c r="BM20" s="45"/>
      <c r="BN20" s="45"/>
      <c r="BO20" s="45"/>
      <c r="BP20" s="45"/>
      <c r="BQ20" s="45"/>
      <c r="BR20" s="43"/>
      <c r="BS20" s="45"/>
      <c r="BT20" s="45"/>
      <c r="BU20" s="45"/>
      <c r="BV20" s="45"/>
      <c r="BW20" s="45"/>
      <c r="BX20" s="45"/>
      <c r="BY20" s="45"/>
      <c r="BZ20" s="43"/>
      <c r="CA20" s="45"/>
      <c r="CB20" s="45"/>
      <c r="CC20" s="45"/>
      <c r="CD20" s="45"/>
      <c r="CE20" s="45"/>
      <c r="CF20" s="45"/>
      <c r="CG20" s="45"/>
      <c r="CH20" s="43"/>
      <c r="CI20" s="45"/>
      <c r="CJ20" s="45"/>
      <c r="CK20" s="45"/>
      <c r="CL20" s="45"/>
      <c r="CM20" s="45"/>
      <c r="CN20" s="45"/>
      <c r="CO20" s="45"/>
      <c r="CP20" s="42">
        <v>1075000</v>
      </c>
      <c r="CQ20" s="48">
        <v>5.7000000000000002E-2</v>
      </c>
      <c r="CR20" s="49">
        <v>0.05</v>
      </c>
      <c r="CS20" s="50">
        <v>2.1</v>
      </c>
      <c r="CT20" s="51">
        <v>20</v>
      </c>
      <c r="CU20" s="49">
        <v>52.12</v>
      </c>
      <c r="CV20" s="49" t="s">
        <v>66</v>
      </c>
      <c r="CW20" s="42">
        <v>785400</v>
      </c>
      <c r="CX20" s="48">
        <v>5.0999999999999997E-2</v>
      </c>
      <c r="CY20" s="49">
        <v>0.04</v>
      </c>
      <c r="CZ20" s="50">
        <v>2.1</v>
      </c>
      <c r="DA20" s="51">
        <v>21</v>
      </c>
      <c r="DB20" s="49">
        <v>52.04</v>
      </c>
      <c r="DC20" s="49" t="s">
        <v>66</v>
      </c>
      <c r="DD20" s="43"/>
      <c r="DE20" s="45"/>
      <c r="DF20" s="45"/>
      <c r="DG20" s="45"/>
      <c r="DH20" s="45"/>
      <c r="DI20" s="45"/>
      <c r="DJ20" s="45"/>
      <c r="DK20" s="45"/>
      <c r="DL20" s="38"/>
      <c r="DM20" s="43"/>
      <c r="DN20" s="45"/>
      <c r="DO20" s="45"/>
      <c r="DP20" s="45"/>
      <c r="DQ20" s="45"/>
      <c r="DR20" s="45"/>
      <c r="DS20" s="45"/>
      <c r="DT20" s="45"/>
      <c r="DU20" s="52"/>
      <c r="DV20" s="45"/>
      <c r="DW20" s="45"/>
      <c r="DX20" s="45"/>
      <c r="DY20" s="45"/>
      <c r="DZ20" s="45"/>
      <c r="EA20" s="45"/>
      <c r="EB20" s="45"/>
      <c r="EC20" s="45"/>
      <c r="ED20" s="38"/>
      <c r="EE20" s="43"/>
      <c r="EF20" s="45"/>
      <c r="EG20" s="45"/>
      <c r="EH20" s="45"/>
      <c r="EI20" s="45"/>
      <c r="EJ20" s="45"/>
      <c r="EK20" s="45"/>
      <c r="EL20" s="45"/>
      <c r="EM20" s="36"/>
      <c r="EN20" s="39"/>
      <c r="EO20" s="40">
        <f t="shared" si="4"/>
        <v>46037</v>
      </c>
      <c r="EP20" s="40">
        <v>45978</v>
      </c>
      <c r="EQ20" s="40">
        <v>46001</v>
      </c>
      <c r="ER20" s="40">
        <v>45930</v>
      </c>
      <c r="ES20" s="40">
        <v>46037</v>
      </c>
      <c r="ET20" s="40">
        <v>45992</v>
      </c>
      <c r="EU20" s="40">
        <v>46029</v>
      </c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</row>
    <row r="21" spans="2:181" x14ac:dyDescent="0.35">
      <c r="B21" s="41">
        <f t="shared" si="3"/>
        <v>46038</v>
      </c>
      <c r="C21" s="42">
        <v>2454880</v>
      </c>
      <c r="D21" s="49">
        <v>4.95</v>
      </c>
      <c r="E21" s="49">
        <v>0.28000000000000003</v>
      </c>
      <c r="F21" s="49">
        <v>1.95</v>
      </c>
      <c r="G21" s="49">
        <v>51.99</v>
      </c>
      <c r="H21" s="49">
        <v>2.2599999999999998</v>
      </c>
      <c r="I21" s="49">
        <v>2.14</v>
      </c>
      <c r="J21" s="49">
        <f t="shared" si="0"/>
        <v>6.66</v>
      </c>
      <c r="K21" s="42">
        <v>1095240</v>
      </c>
      <c r="L21" s="49">
        <v>4.97</v>
      </c>
      <c r="M21" s="49">
        <v>0.2840623503642199</v>
      </c>
      <c r="N21" s="49">
        <v>1.850651011155825</v>
      </c>
      <c r="O21" s="49">
        <v>51.933804085375172</v>
      </c>
      <c r="P21" s="49">
        <v>2.2033899444755742</v>
      </c>
      <c r="Q21" s="49">
        <v>2.0615146452040141</v>
      </c>
      <c r="R21" s="49">
        <f t="shared" si="1"/>
        <v>6.468294534155163</v>
      </c>
      <c r="S21" s="42">
        <v>2573906</v>
      </c>
      <c r="T21" s="49">
        <v>4.9400000000000004</v>
      </c>
      <c r="U21" s="49">
        <v>0.3</v>
      </c>
      <c r="V21" s="49">
        <v>1.91</v>
      </c>
      <c r="W21" s="49">
        <v>52.01</v>
      </c>
      <c r="X21" s="49">
        <v>2.08</v>
      </c>
      <c r="Y21" s="49">
        <v>1.99</v>
      </c>
      <c r="Z21" s="49">
        <f t="shared" si="2"/>
        <v>6.15</v>
      </c>
      <c r="AA21" s="42">
        <v>132620</v>
      </c>
      <c r="AB21" s="49">
        <v>91.62</v>
      </c>
      <c r="AC21" s="49">
        <v>0.15</v>
      </c>
      <c r="AD21" s="43"/>
      <c r="AE21" s="44"/>
      <c r="AF21" s="45"/>
      <c r="AG21" s="46"/>
      <c r="AH21" s="47"/>
      <c r="AI21" s="45"/>
      <c r="AJ21" s="45"/>
      <c r="AK21" s="45"/>
      <c r="AL21" s="43"/>
      <c r="AM21" s="45"/>
      <c r="AN21" s="45"/>
      <c r="AO21" s="45"/>
      <c r="AP21" s="45"/>
      <c r="AQ21" s="45"/>
      <c r="AR21" s="45"/>
      <c r="AS21" s="45"/>
      <c r="AT21" s="42">
        <v>5776</v>
      </c>
      <c r="AU21" s="48">
        <v>7.3999999999999996E-2</v>
      </c>
      <c r="AV21" s="49">
        <v>0.06</v>
      </c>
      <c r="AW21" s="50">
        <v>2.2000000000000002</v>
      </c>
      <c r="AX21" s="51">
        <v>22</v>
      </c>
      <c r="AY21" s="49">
        <v>56.57</v>
      </c>
      <c r="AZ21" s="49"/>
      <c r="BA21" s="50">
        <v>10.4</v>
      </c>
      <c r="BB21" s="43"/>
      <c r="BC21" s="45"/>
      <c r="BD21" s="45"/>
      <c r="BE21" s="45"/>
      <c r="BF21" s="45"/>
      <c r="BG21" s="45"/>
      <c r="BH21" s="45"/>
      <c r="BI21" s="45"/>
      <c r="BJ21" s="43"/>
      <c r="BK21" s="45"/>
      <c r="BL21" s="45"/>
      <c r="BM21" s="45"/>
      <c r="BN21" s="45"/>
      <c r="BO21" s="45"/>
      <c r="BP21" s="45"/>
      <c r="BQ21" s="45"/>
      <c r="BR21" s="43"/>
      <c r="BS21" s="45"/>
      <c r="BT21" s="45"/>
      <c r="BU21" s="45"/>
      <c r="BV21" s="45"/>
      <c r="BW21" s="45"/>
      <c r="BX21" s="45"/>
      <c r="BY21" s="45"/>
      <c r="BZ21" s="43"/>
      <c r="CA21" s="45"/>
      <c r="CB21" s="45"/>
      <c r="CC21" s="45"/>
      <c r="CD21" s="45"/>
      <c r="CE21" s="45"/>
      <c r="CF21" s="45"/>
      <c r="CG21" s="45"/>
      <c r="CH21" s="43"/>
      <c r="CI21" s="45"/>
      <c r="CJ21" s="45"/>
      <c r="CK21" s="45"/>
      <c r="CL21" s="45"/>
      <c r="CM21" s="45"/>
      <c r="CN21" s="45"/>
      <c r="CO21" s="45"/>
      <c r="CP21" s="42">
        <v>949825</v>
      </c>
      <c r="CQ21" s="48">
        <v>5.7000000000000002E-2</v>
      </c>
      <c r="CR21" s="49">
        <v>0.05</v>
      </c>
      <c r="CS21" s="50">
        <v>2.1</v>
      </c>
      <c r="CT21" s="51">
        <v>20</v>
      </c>
      <c r="CU21" s="49">
        <v>52.12</v>
      </c>
      <c r="CV21" s="49" t="s">
        <v>66</v>
      </c>
      <c r="CW21" s="42">
        <v>822886</v>
      </c>
      <c r="CX21" s="48">
        <v>5.0999999999999997E-2</v>
      </c>
      <c r="CY21" s="49">
        <v>0.04</v>
      </c>
      <c r="CZ21" s="50">
        <v>2.1</v>
      </c>
      <c r="DA21" s="51">
        <v>21</v>
      </c>
      <c r="DB21" s="49">
        <v>52.04</v>
      </c>
      <c r="DC21" s="49" t="s">
        <v>66</v>
      </c>
      <c r="DD21" s="43"/>
      <c r="DE21" s="45"/>
      <c r="DF21" s="45"/>
      <c r="DG21" s="45"/>
      <c r="DH21" s="45"/>
      <c r="DI21" s="45"/>
      <c r="DJ21" s="45"/>
      <c r="DK21" s="45"/>
      <c r="DL21" s="38"/>
      <c r="DM21" s="43"/>
      <c r="DN21" s="45"/>
      <c r="DO21" s="45"/>
      <c r="DP21" s="45"/>
      <c r="DQ21" s="45"/>
      <c r="DR21" s="45"/>
      <c r="DS21" s="45"/>
      <c r="DT21" s="45"/>
      <c r="DU21" s="52"/>
      <c r="DV21" s="45"/>
      <c r="DW21" s="45"/>
      <c r="DX21" s="45"/>
      <c r="DY21" s="45"/>
      <c r="DZ21" s="45"/>
      <c r="EA21" s="45"/>
      <c r="EB21" s="45"/>
      <c r="EC21" s="45"/>
      <c r="ED21" s="38"/>
      <c r="EE21" s="43"/>
      <c r="EF21" s="45"/>
      <c r="EG21" s="45"/>
      <c r="EH21" s="45"/>
      <c r="EI21" s="45"/>
      <c r="EJ21" s="45"/>
      <c r="EK21" s="45"/>
      <c r="EL21" s="45"/>
      <c r="EM21" s="36"/>
      <c r="EN21" s="39"/>
      <c r="EO21" s="40">
        <f t="shared" si="4"/>
        <v>46038</v>
      </c>
      <c r="EP21" s="40">
        <v>45978</v>
      </c>
      <c r="EQ21" s="40">
        <v>46001</v>
      </c>
      <c r="ER21" s="40">
        <v>45930</v>
      </c>
      <c r="ES21" s="40">
        <v>46038</v>
      </c>
      <c r="ET21" s="40">
        <v>45992</v>
      </c>
      <c r="EU21" s="40">
        <v>46029</v>
      </c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</row>
    <row r="22" spans="2:181" x14ac:dyDescent="0.35">
      <c r="B22" s="41">
        <f t="shared" si="3"/>
        <v>46039</v>
      </c>
      <c r="C22" s="42">
        <v>2454880</v>
      </c>
      <c r="D22" s="49">
        <v>4.97</v>
      </c>
      <c r="E22" s="49">
        <v>0.28000000000000003</v>
      </c>
      <c r="F22" s="49">
        <v>1.95</v>
      </c>
      <c r="G22" s="49">
        <v>51.96</v>
      </c>
      <c r="H22" s="49">
        <v>2.2599999999999998</v>
      </c>
      <c r="I22" s="49">
        <v>2.14</v>
      </c>
      <c r="J22" s="49">
        <f t="shared" si="0"/>
        <v>6.66</v>
      </c>
      <c r="K22" s="42">
        <v>1098119</v>
      </c>
      <c r="L22" s="49">
        <v>4.9800000000000004</v>
      </c>
      <c r="M22" s="49">
        <v>0.27</v>
      </c>
      <c r="N22" s="49">
        <v>1.85</v>
      </c>
      <c r="O22" s="49">
        <v>51.93</v>
      </c>
      <c r="P22" s="49">
        <v>2.2000000000000002</v>
      </c>
      <c r="Q22" s="49">
        <v>2.06</v>
      </c>
      <c r="R22" s="49">
        <f t="shared" si="1"/>
        <v>6.4600000000000009</v>
      </c>
      <c r="S22" s="42">
        <v>2573906</v>
      </c>
      <c r="T22" s="49">
        <v>4.95</v>
      </c>
      <c r="U22" s="49">
        <v>0.3</v>
      </c>
      <c r="V22" s="49">
        <v>1.91</v>
      </c>
      <c r="W22" s="49">
        <v>52.01</v>
      </c>
      <c r="X22" s="49">
        <v>2.08</v>
      </c>
      <c r="Y22" s="49">
        <v>1.99</v>
      </c>
      <c r="Z22" s="49">
        <f t="shared" si="2"/>
        <v>6.15</v>
      </c>
      <c r="AA22" s="42">
        <v>132620</v>
      </c>
      <c r="AB22" s="49">
        <v>91.62</v>
      </c>
      <c r="AC22" s="49">
        <v>0.15</v>
      </c>
      <c r="AD22" s="42">
        <v>39468</v>
      </c>
      <c r="AE22" s="48">
        <v>5.5E-2</v>
      </c>
      <c r="AF22" s="49">
        <v>0.04</v>
      </c>
      <c r="AG22" s="50">
        <v>1.8</v>
      </c>
      <c r="AH22" s="51">
        <v>18</v>
      </c>
      <c r="AI22" s="49">
        <v>35.6</v>
      </c>
      <c r="AJ22" s="49"/>
      <c r="AK22" s="50">
        <v>50.8</v>
      </c>
      <c r="AL22" s="43"/>
      <c r="AM22" s="45"/>
      <c r="AN22" s="45"/>
      <c r="AO22" s="45"/>
      <c r="AP22" s="45"/>
      <c r="AQ22" s="45"/>
      <c r="AR22" s="45"/>
      <c r="AS22" s="45"/>
      <c r="AT22" s="42">
        <v>178019</v>
      </c>
      <c r="AU22" s="48">
        <v>5.6000000000000001E-2</v>
      </c>
      <c r="AV22" s="49">
        <v>0.04</v>
      </c>
      <c r="AW22" s="50">
        <v>2.2000000000000002</v>
      </c>
      <c r="AX22" s="51">
        <v>22</v>
      </c>
      <c r="AY22" s="49">
        <v>56.19</v>
      </c>
      <c r="AZ22" s="49"/>
      <c r="BA22" s="50">
        <v>9.8000000000000007</v>
      </c>
      <c r="BB22" s="43"/>
      <c r="BC22" s="45"/>
      <c r="BD22" s="45"/>
      <c r="BE22" s="45"/>
      <c r="BF22" s="45"/>
      <c r="BG22" s="45"/>
      <c r="BH22" s="45"/>
      <c r="BI22" s="45"/>
      <c r="BJ22" s="43"/>
      <c r="BK22" s="45"/>
      <c r="BL22" s="45"/>
      <c r="BM22" s="45"/>
      <c r="BN22" s="45"/>
      <c r="BO22" s="45"/>
      <c r="BP22" s="45"/>
      <c r="BQ22" s="45"/>
      <c r="BR22" s="43"/>
      <c r="BS22" s="45"/>
      <c r="BT22" s="45"/>
      <c r="BU22" s="45"/>
      <c r="BV22" s="45"/>
      <c r="BW22" s="45"/>
      <c r="BX22" s="45"/>
      <c r="BY22" s="45"/>
      <c r="BZ22" s="43"/>
      <c r="CA22" s="45"/>
      <c r="CB22" s="45"/>
      <c r="CC22" s="45"/>
      <c r="CD22" s="45"/>
      <c r="CE22" s="45"/>
      <c r="CF22" s="45"/>
      <c r="CG22" s="45"/>
      <c r="CH22" s="43"/>
      <c r="CI22" s="45"/>
      <c r="CJ22" s="45"/>
      <c r="CK22" s="45"/>
      <c r="CL22" s="45"/>
      <c r="CM22" s="45"/>
      <c r="CN22" s="45"/>
      <c r="CO22" s="45"/>
      <c r="CP22" s="42">
        <v>700407</v>
      </c>
      <c r="CQ22" s="48">
        <v>5.7000000000000002E-2</v>
      </c>
      <c r="CR22" s="49">
        <v>0.04</v>
      </c>
      <c r="CS22" s="50">
        <v>2.1</v>
      </c>
      <c r="CT22" s="51">
        <v>21</v>
      </c>
      <c r="CU22" s="49">
        <v>52.12</v>
      </c>
      <c r="CV22" s="49" t="s">
        <v>66</v>
      </c>
      <c r="CW22" s="42">
        <v>822866</v>
      </c>
      <c r="CX22" s="48">
        <v>5.0999999999999997E-2</v>
      </c>
      <c r="CY22" s="49">
        <v>0.04</v>
      </c>
      <c r="CZ22" s="50">
        <v>2.1</v>
      </c>
      <c r="DA22" s="51">
        <v>21</v>
      </c>
      <c r="DB22" s="49">
        <v>52.04</v>
      </c>
      <c r="DC22" s="49" t="s">
        <v>66</v>
      </c>
      <c r="DD22" s="43"/>
      <c r="DE22" s="45"/>
      <c r="DF22" s="45"/>
      <c r="DG22" s="45"/>
      <c r="DH22" s="45"/>
      <c r="DI22" s="45"/>
      <c r="DJ22" s="45"/>
      <c r="DK22" s="45"/>
      <c r="DL22" s="38"/>
      <c r="DM22" s="43"/>
      <c r="DN22" s="45"/>
      <c r="DO22" s="45"/>
      <c r="DP22" s="45"/>
      <c r="DQ22" s="45"/>
      <c r="DR22" s="45"/>
      <c r="DS22" s="45"/>
      <c r="DT22" s="45"/>
      <c r="DU22" s="52"/>
      <c r="DV22" s="45"/>
      <c r="DW22" s="45"/>
      <c r="DX22" s="45"/>
      <c r="DY22" s="45"/>
      <c r="DZ22" s="45"/>
      <c r="EA22" s="45"/>
      <c r="EB22" s="45"/>
      <c r="EC22" s="45"/>
      <c r="ED22" s="38"/>
      <c r="EE22" s="43"/>
      <c r="EF22" s="45"/>
      <c r="EG22" s="45"/>
      <c r="EH22" s="45"/>
      <c r="EI22" s="45"/>
      <c r="EJ22" s="45"/>
      <c r="EK22" s="45"/>
      <c r="EL22" s="45"/>
      <c r="EM22" s="36"/>
      <c r="EN22" s="39"/>
      <c r="EO22" s="40">
        <f t="shared" si="4"/>
        <v>46039</v>
      </c>
      <c r="EP22" s="40">
        <v>45978</v>
      </c>
      <c r="EQ22" s="40">
        <v>46001</v>
      </c>
      <c r="ER22" s="40">
        <v>45930</v>
      </c>
      <c r="ES22" s="40">
        <v>46039</v>
      </c>
      <c r="ET22" s="40">
        <v>45992</v>
      </c>
      <c r="EU22" s="40">
        <v>46029</v>
      </c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</row>
    <row r="23" spans="2:181" x14ac:dyDescent="0.35">
      <c r="B23" s="41">
        <f t="shared" si="3"/>
        <v>46040</v>
      </c>
      <c r="C23" s="42">
        <v>2436180</v>
      </c>
      <c r="D23" s="49">
        <v>4.97</v>
      </c>
      <c r="E23" s="49">
        <v>0.28000000000000003</v>
      </c>
      <c r="F23" s="49">
        <v>1.95</v>
      </c>
      <c r="G23" s="49">
        <v>51.96</v>
      </c>
      <c r="H23" s="49">
        <v>2.2599999999999998</v>
      </c>
      <c r="I23" s="49">
        <v>2.14</v>
      </c>
      <c r="J23" s="49">
        <f t="shared" si="0"/>
        <v>6.66</v>
      </c>
      <c r="K23" s="42">
        <v>1213149</v>
      </c>
      <c r="L23" s="49">
        <v>4.96</v>
      </c>
      <c r="M23" s="49">
        <v>0.26</v>
      </c>
      <c r="N23" s="49">
        <v>1.85</v>
      </c>
      <c r="O23" s="49">
        <v>51.93</v>
      </c>
      <c r="P23" s="49">
        <v>2.2000000000000002</v>
      </c>
      <c r="Q23" s="49">
        <v>2.1</v>
      </c>
      <c r="R23" s="49">
        <f t="shared" si="1"/>
        <v>6.5</v>
      </c>
      <c r="S23" s="42">
        <v>2573906</v>
      </c>
      <c r="T23" s="49">
        <v>4.95</v>
      </c>
      <c r="U23" s="49">
        <v>0.3</v>
      </c>
      <c r="V23" s="49">
        <v>1.91</v>
      </c>
      <c r="W23" s="49">
        <v>52.01</v>
      </c>
      <c r="X23" s="49">
        <v>2.08</v>
      </c>
      <c r="Y23" s="49">
        <v>1.99</v>
      </c>
      <c r="Z23" s="49">
        <f t="shared" si="2"/>
        <v>6.15</v>
      </c>
      <c r="AA23" s="42">
        <v>133020</v>
      </c>
      <c r="AB23" s="49">
        <v>91.62</v>
      </c>
      <c r="AC23" s="49">
        <v>0.15</v>
      </c>
      <c r="AD23" s="42">
        <v>66502</v>
      </c>
      <c r="AE23" s="48">
        <v>6.4000000000000001E-2</v>
      </c>
      <c r="AF23" s="49">
        <v>0.04</v>
      </c>
      <c r="AG23" s="50">
        <v>1.8</v>
      </c>
      <c r="AH23" s="51">
        <v>18</v>
      </c>
      <c r="AI23" s="49">
        <v>36.840000000000003</v>
      </c>
      <c r="AJ23" s="49"/>
      <c r="AK23" s="50">
        <v>50</v>
      </c>
      <c r="AL23" s="43"/>
      <c r="AM23" s="45"/>
      <c r="AN23" s="45"/>
      <c r="AO23" s="45"/>
      <c r="AP23" s="45"/>
      <c r="AQ23" s="45"/>
      <c r="AR23" s="45"/>
      <c r="AS23" s="45"/>
      <c r="AT23" s="42">
        <v>330947</v>
      </c>
      <c r="AU23" s="48">
        <v>7.1999999999999995E-2</v>
      </c>
      <c r="AV23" s="49">
        <v>0.04</v>
      </c>
      <c r="AW23" s="50">
        <v>2.2000000000000002</v>
      </c>
      <c r="AX23" s="51">
        <v>22</v>
      </c>
      <c r="AY23" s="49">
        <v>56.11</v>
      </c>
      <c r="AZ23" s="49"/>
      <c r="BA23" s="50">
        <v>10</v>
      </c>
      <c r="BB23" s="43"/>
      <c r="BC23" s="45"/>
      <c r="BD23" s="45"/>
      <c r="BE23" s="45"/>
      <c r="BF23" s="45"/>
      <c r="BG23" s="45"/>
      <c r="BH23" s="45"/>
      <c r="BI23" s="45"/>
      <c r="BJ23" s="43"/>
      <c r="BK23" s="45"/>
      <c r="BL23" s="45"/>
      <c r="BM23" s="45"/>
      <c r="BN23" s="45"/>
      <c r="BO23" s="45"/>
      <c r="BP23" s="45"/>
      <c r="BQ23" s="45"/>
      <c r="BR23" s="43"/>
      <c r="BS23" s="45"/>
      <c r="BT23" s="45"/>
      <c r="BU23" s="45"/>
      <c r="BV23" s="45"/>
      <c r="BW23" s="45"/>
      <c r="BX23" s="45"/>
      <c r="BY23" s="45"/>
      <c r="BZ23" s="43"/>
      <c r="CA23" s="45"/>
      <c r="CB23" s="45"/>
      <c r="CC23" s="45"/>
      <c r="CD23" s="45"/>
      <c r="CE23" s="45"/>
      <c r="CF23" s="45"/>
      <c r="CG23" s="45"/>
      <c r="CH23" s="43"/>
      <c r="CI23" s="45"/>
      <c r="CJ23" s="45"/>
      <c r="CK23" s="45"/>
      <c r="CL23" s="45"/>
      <c r="CM23" s="45"/>
      <c r="CN23" s="45"/>
      <c r="CO23" s="45"/>
      <c r="CP23" s="42">
        <v>530089</v>
      </c>
      <c r="CQ23" s="48">
        <v>5.7000000000000002E-2</v>
      </c>
      <c r="CR23" s="49">
        <v>0.04</v>
      </c>
      <c r="CS23" s="50">
        <v>2.1</v>
      </c>
      <c r="CT23" s="51">
        <v>21</v>
      </c>
      <c r="CU23" s="49">
        <v>52.1</v>
      </c>
      <c r="CV23" s="49" t="s">
        <v>66</v>
      </c>
      <c r="CW23" s="42">
        <v>822889</v>
      </c>
      <c r="CX23" s="48">
        <v>5.0999999999999997E-2</v>
      </c>
      <c r="CY23" s="49">
        <v>0.04</v>
      </c>
      <c r="CZ23" s="50">
        <v>2.1</v>
      </c>
      <c r="DA23" s="51">
        <v>21</v>
      </c>
      <c r="DB23" s="49">
        <v>52</v>
      </c>
      <c r="DC23" s="49" t="s">
        <v>66</v>
      </c>
      <c r="DD23" s="43"/>
      <c r="DE23" s="45"/>
      <c r="DF23" s="45"/>
      <c r="DG23" s="45"/>
      <c r="DH23" s="45"/>
      <c r="DI23" s="45"/>
      <c r="DJ23" s="45"/>
      <c r="DK23" s="45"/>
      <c r="DL23" s="38"/>
      <c r="DM23" s="43"/>
      <c r="DN23" s="45"/>
      <c r="DO23" s="45"/>
      <c r="DP23" s="45"/>
      <c r="DQ23" s="45"/>
      <c r="DR23" s="45"/>
      <c r="DS23" s="45"/>
      <c r="DT23" s="45"/>
      <c r="DU23" s="52"/>
      <c r="DV23" s="45"/>
      <c r="DW23" s="45"/>
      <c r="DX23" s="45"/>
      <c r="DY23" s="45"/>
      <c r="DZ23" s="45"/>
      <c r="EA23" s="45"/>
      <c r="EB23" s="45"/>
      <c r="EC23" s="45"/>
      <c r="ED23" s="38"/>
      <c r="EE23" s="43"/>
      <c r="EF23" s="45"/>
      <c r="EG23" s="45"/>
      <c r="EH23" s="45"/>
      <c r="EI23" s="45"/>
      <c r="EJ23" s="45"/>
      <c r="EK23" s="45"/>
      <c r="EL23" s="45"/>
      <c r="EM23" s="36"/>
      <c r="EN23" s="39"/>
      <c r="EO23" s="40">
        <f t="shared" si="4"/>
        <v>46040</v>
      </c>
      <c r="EP23" s="40">
        <v>45978</v>
      </c>
      <c r="EQ23" s="40">
        <v>46001</v>
      </c>
      <c r="ER23" s="40">
        <v>45930</v>
      </c>
      <c r="ES23" s="40">
        <v>46040</v>
      </c>
      <c r="ET23" s="40">
        <v>45992</v>
      </c>
      <c r="EU23" s="40">
        <v>46029</v>
      </c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</row>
    <row r="24" spans="2:181" x14ac:dyDescent="0.35">
      <c r="B24" s="41">
        <f t="shared" si="3"/>
        <v>46041</v>
      </c>
      <c r="C24" s="42">
        <v>2362180</v>
      </c>
      <c r="D24" s="49">
        <v>4.9800000000000004</v>
      </c>
      <c r="E24" s="49">
        <v>0.28000000000000003</v>
      </c>
      <c r="F24" s="49">
        <v>1.95</v>
      </c>
      <c r="G24" s="49">
        <v>51.96</v>
      </c>
      <c r="H24" s="49">
        <v>2.2599999999999998</v>
      </c>
      <c r="I24" s="49">
        <v>2.15</v>
      </c>
      <c r="J24" s="49">
        <f t="shared" si="0"/>
        <v>6.67</v>
      </c>
      <c r="K24" s="42">
        <v>1213149</v>
      </c>
      <c r="L24" s="49">
        <v>4.96</v>
      </c>
      <c r="M24" s="49">
        <v>0.26</v>
      </c>
      <c r="N24" s="49">
        <v>1.85</v>
      </c>
      <c r="O24" s="49">
        <v>51.93</v>
      </c>
      <c r="P24" s="49">
        <v>2.2000000000000002</v>
      </c>
      <c r="Q24" s="49">
        <v>2.1</v>
      </c>
      <c r="R24" s="49">
        <f t="shared" si="1"/>
        <v>6.5</v>
      </c>
      <c r="S24" s="42">
        <v>2573906</v>
      </c>
      <c r="T24" s="49">
        <v>4.96</v>
      </c>
      <c r="U24" s="49">
        <v>0.3</v>
      </c>
      <c r="V24" s="49">
        <v>1.91</v>
      </c>
      <c r="W24" s="49">
        <v>52.01</v>
      </c>
      <c r="X24" s="49">
        <v>2.08</v>
      </c>
      <c r="Y24" s="49">
        <v>1.99</v>
      </c>
      <c r="Z24" s="49">
        <f t="shared" si="2"/>
        <v>6.15</v>
      </c>
      <c r="AA24" s="42">
        <v>136620</v>
      </c>
      <c r="AB24" s="49">
        <v>91.62</v>
      </c>
      <c r="AC24" s="49">
        <v>0.15</v>
      </c>
      <c r="AD24" s="42">
        <v>82056</v>
      </c>
      <c r="AE24" s="48">
        <v>0.06</v>
      </c>
      <c r="AF24" s="49">
        <v>0.04</v>
      </c>
      <c r="AG24" s="50">
        <v>1.8</v>
      </c>
      <c r="AH24" s="51">
        <v>18</v>
      </c>
      <c r="AI24" s="49">
        <v>37.97</v>
      </c>
      <c r="AJ24" s="49"/>
      <c r="AK24" s="50">
        <v>49.2</v>
      </c>
      <c r="AL24" s="43"/>
      <c r="AM24" s="45"/>
      <c r="AN24" s="45"/>
      <c r="AO24" s="45"/>
      <c r="AP24" s="45"/>
      <c r="AQ24" s="45"/>
      <c r="AR24" s="45"/>
      <c r="AS24" s="45"/>
      <c r="AT24" s="42">
        <v>514740</v>
      </c>
      <c r="AU24" s="48">
        <v>6.8000000000000005E-2</v>
      </c>
      <c r="AV24" s="49">
        <v>0.04</v>
      </c>
      <c r="AW24" s="50">
        <v>2.1</v>
      </c>
      <c r="AX24" s="51">
        <v>21</v>
      </c>
      <c r="AY24" s="49">
        <v>56.09</v>
      </c>
      <c r="AZ24" s="49"/>
      <c r="BA24" s="50">
        <v>10</v>
      </c>
      <c r="BB24" s="43"/>
      <c r="BC24" s="45"/>
      <c r="BD24" s="45"/>
      <c r="BE24" s="45"/>
      <c r="BF24" s="45"/>
      <c r="BG24" s="45"/>
      <c r="BH24" s="45"/>
      <c r="BI24" s="45"/>
      <c r="BJ24" s="43"/>
      <c r="BK24" s="45"/>
      <c r="BL24" s="45"/>
      <c r="BM24" s="45"/>
      <c r="BN24" s="45"/>
      <c r="BO24" s="45"/>
      <c r="BP24" s="45"/>
      <c r="BQ24" s="45"/>
      <c r="BR24" s="43"/>
      <c r="BS24" s="45"/>
      <c r="BT24" s="45"/>
      <c r="BU24" s="45"/>
      <c r="BV24" s="45"/>
      <c r="BW24" s="45"/>
      <c r="BX24" s="45"/>
      <c r="BY24" s="45"/>
      <c r="BZ24" s="43"/>
      <c r="CA24" s="45"/>
      <c r="CB24" s="45"/>
      <c r="CC24" s="45"/>
      <c r="CD24" s="45"/>
      <c r="CE24" s="45"/>
      <c r="CF24" s="45"/>
      <c r="CG24" s="45"/>
      <c r="CH24" s="43"/>
      <c r="CI24" s="45"/>
      <c r="CJ24" s="45"/>
      <c r="CK24" s="45"/>
      <c r="CL24" s="45"/>
      <c r="CM24" s="45"/>
      <c r="CN24" s="45"/>
      <c r="CO24" s="45"/>
      <c r="CP24" s="42">
        <v>333915</v>
      </c>
      <c r="CQ24" s="48">
        <v>5.8999999999999997E-2</v>
      </c>
      <c r="CR24" s="49">
        <v>0.04</v>
      </c>
      <c r="CS24" s="50">
        <v>2.1</v>
      </c>
      <c r="CT24" s="51">
        <v>21</v>
      </c>
      <c r="CU24" s="49">
        <v>52.1</v>
      </c>
      <c r="CV24" s="49" t="s">
        <v>66</v>
      </c>
      <c r="CW24" s="42">
        <v>891286</v>
      </c>
      <c r="CX24" s="48">
        <v>5.3999999999999999E-2</v>
      </c>
      <c r="CY24" s="49">
        <v>0.04</v>
      </c>
      <c r="CZ24" s="50">
        <v>2.1</v>
      </c>
      <c r="DA24" s="51">
        <v>21</v>
      </c>
      <c r="DB24" s="49">
        <v>52</v>
      </c>
      <c r="DC24" s="49" t="s">
        <v>66</v>
      </c>
      <c r="DD24" s="43"/>
      <c r="DE24" s="45"/>
      <c r="DF24" s="45"/>
      <c r="DG24" s="45"/>
      <c r="DH24" s="45"/>
      <c r="DI24" s="45"/>
      <c r="DJ24" s="45"/>
      <c r="DK24" s="45"/>
      <c r="DL24" s="38"/>
      <c r="DM24" s="43"/>
      <c r="DN24" s="45"/>
      <c r="DO24" s="45"/>
      <c r="DP24" s="45"/>
      <c r="DQ24" s="45"/>
      <c r="DR24" s="45"/>
      <c r="DS24" s="45"/>
      <c r="DT24" s="45"/>
      <c r="DU24" s="52"/>
      <c r="DV24" s="45"/>
      <c r="DW24" s="45"/>
      <c r="DX24" s="45"/>
      <c r="DY24" s="45"/>
      <c r="DZ24" s="45"/>
      <c r="EA24" s="45"/>
      <c r="EB24" s="45"/>
      <c r="EC24" s="45"/>
      <c r="ED24" s="38"/>
      <c r="EE24" s="43"/>
      <c r="EF24" s="45"/>
      <c r="EG24" s="45"/>
      <c r="EH24" s="45"/>
      <c r="EI24" s="45"/>
      <c r="EJ24" s="45"/>
      <c r="EK24" s="45"/>
      <c r="EL24" s="45"/>
      <c r="EM24" s="36"/>
      <c r="EN24" s="39"/>
      <c r="EO24" s="40">
        <f t="shared" si="4"/>
        <v>46041</v>
      </c>
      <c r="EP24" s="40">
        <v>45978</v>
      </c>
      <c r="EQ24" s="40">
        <v>46001</v>
      </c>
      <c r="ER24" s="40">
        <v>45930</v>
      </c>
      <c r="ES24" s="40">
        <v>46040</v>
      </c>
      <c r="ET24" s="40">
        <v>45992</v>
      </c>
      <c r="EU24" s="40">
        <v>46029</v>
      </c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</row>
    <row r="25" spans="2:181" x14ac:dyDescent="0.35">
      <c r="B25" s="41">
        <f t="shared" si="3"/>
        <v>46042</v>
      </c>
      <c r="C25" s="42">
        <v>2263680</v>
      </c>
      <c r="D25" s="49">
        <v>5</v>
      </c>
      <c r="E25" s="49">
        <v>0.28000000000000003</v>
      </c>
      <c r="F25" s="49">
        <v>1.95</v>
      </c>
      <c r="G25" s="49">
        <v>51.95</v>
      </c>
      <c r="H25" s="49">
        <v>2.2799999999999998</v>
      </c>
      <c r="I25" s="49">
        <v>2.17</v>
      </c>
      <c r="J25" s="49">
        <f t="shared" si="0"/>
        <v>6.7299999999999995</v>
      </c>
      <c r="K25" s="42">
        <v>1328319</v>
      </c>
      <c r="L25" s="49">
        <v>4.9400000000000004</v>
      </c>
      <c r="M25" s="49">
        <v>0.26</v>
      </c>
      <c r="N25" s="49">
        <v>1.85</v>
      </c>
      <c r="O25" s="49">
        <v>51.93</v>
      </c>
      <c r="P25" s="49">
        <v>2.19</v>
      </c>
      <c r="Q25" s="49">
        <v>2.09</v>
      </c>
      <c r="R25" s="49">
        <f t="shared" si="1"/>
        <v>6.47</v>
      </c>
      <c r="S25" s="42">
        <v>2573906</v>
      </c>
      <c r="T25" s="49">
        <v>4.96</v>
      </c>
      <c r="U25" s="49">
        <v>0.3</v>
      </c>
      <c r="V25" s="49">
        <v>1.91</v>
      </c>
      <c r="W25" s="49">
        <v>52.01</v>
      </c>
      <c r="X25" s="49">
        <v>2.08</v>
      </c>
      <c r="Y25" s="49">
        <v>1.99</v>
      </c>
      <c r="Z25" s="49">
        <f t="shared" si="2"/>
        <v>6.15</v>
      </c>
      <c r="AA25" s="42">
        <v>139772</v>
      </c>
      <c r="AB25" s="49">
        <v>91.62</v>
      </c>
      <c r="AC25" s="49">
        <v>0.15</v>
      </c>
      <c r="AD25" s="42">
        <v>109744</v>
      </c>
      <c r="AE25" s="48">
        <v>5.8000000000000003E-2</v>
      </c>
      <c r="AF25" s="49">
        <v>0.04</v>
      </c>
      <c r="AG25" s="50">
        <v>1.8</v>
      </c>
      <c r="AH25" s="51">
        <v>18</v>
      </c>
      <c r="AI25" s="49">
        <v>37.5</v>
      </c>
      <c r="AJ25" s="49"/>
      <c r="AK25" s="50">
        <v>49.6</v>
      </c>
      <c r="AL25" s="43"/>
      <c r="AM25" s="45"/>
      <c r="AN25" s="45"/>
      <c r="AO25" s="45"/>
      <c r="AP25" s="45"/>
      <c r="AQ25" s="45"/>
      <c r="AR25" s="45"/>
      <c r="AS25" s="45"/>
      <c r="AT25" s="42">
        <v>429205</v>
      </c>
      <c r="AU25" s="48">
        <v>5.7000000000000002E-2</v>
      </c>
      <c r="AV25" s="49">
        <v>0.04</v>
      </c>
      <c r="AW25" s="50">
        <v>2.1</v>
      </c>
      <c r="AX25" s="51">
        <v>21</v>
      </c>
      <c r="AY25" s="49">
        <v>56.26</v>
      </c>
      <c r="AZ25" s="49"/>
      <c r="BA25" s="50">
        <v>9.8000000000000007</v>
      </c>
      <c r="BB25" s="42">
        <v>107655</v>
      </c>
      <c r="BC25" s="48">
        <v>6.7000000000000004E-2</v>
      </c>
      <c r="BD25" s="49">
        <v>0.04</v>
      </c>
      <c r="BE25" s="50">
        <v>2.1</v>
      </c>
      <c r="BF25" s="51">
        <v>21</v>
      </c>
      <c r="BG25" s="49">
        <v>55.88</v>
      </c>
      <c r="BH25" s="49"/>
      <c r="BI25" s="49">
        <v>10</v>
      </c>
      <c r="BJ25" s="43"/>
      <c r="BK25" s="45"/>
      <c r="BL25" s="45"/>
      <c r="BM25" s="45"/>
      <c r="BN25" s="45"/>
      <c r="BO25" s="45"/>
      <c r="BP25" s="45"/>
      <c r="BQ25" s="45"/>
      <c r="BR25" s="43"/>
      <c r="BS25" s="45"/>
      <c r="BT25" s="45"/>
      <c r="BU25" s="45"/>
      <c r="BV25" s="45"/>
      <c r="BW25" s="45"/>
      <c r="BX25" s="45"/>
      <c r="BY25" s="45"/>
      <c r="BZ25" s="43"/>
      <c r="CA25" s="45"/>
      <c r="CB25" s="45"/>
      <c r="CC25" s="45"/>
      <c r="CD25" s="45"/>
      <c r="CE25" s="45"/>
      <c r="CF25" s="45"/>
      <c r="CG25" s="45"/>
      <c r="CH25" s="43"/>
      <c r="CI25" s="45"/>
      <c r="CJ25" s="45"/>
      <c r="CK25" s="45"/>
      <c r="CL25" s="45"/>
      <c r="CM25" s="45"/>
      <c r="CN25" s="45"/>
      <c r="CO25" s="45"/>
      <c r="CP25" s="42">
        <v>410252</v>
      </c>
      <c r="CQ25" s="48">
        <v>0.04</v>
      </c>
      <c r="CR25" s="49">
        <v>0.04</v>
      </c>
      <c r="CS25" s="50">
        <v>2</v>
      </c>
      <c r="CT25" s="51">
        <v>20</v>
      </c>
      <c r="CU25" s="49">
        <v>52.02</v>
      </c>
      <c r="CV25" s="49" t="s">
        <v>66</v>
      </c>
      <c r="CW25" s="42">
        <v>748968</v>
      </c>
      <c r="CX25" s="48">
        <v>4.8000000000000001E-2</v>
      </c>
      <c r="CY25" s="49">
        <v>0.04</v>
      </c>
      <c r="CZ25" s="50">
        <v>2</v>
      </c>
      <c r="DA25" s="51" t="s">
        <v>68</v>
      </c>
      <c r="DB25" s="49">
        <v>52</v>
      </c>
      <c r="DC25" s="49" t="s">
        <v>66</v>
      </c>
      <c r="DD25" s="43"/>
      <c r="DE25" s="45"/>
      <c r="DF25" s="45"/>
      <c r="DG25" s="45"/>
      <c r="DH25" s="45"/>
      <c r="DI25" s="45"/>
      <c r="DJ25" s="45"/>
      <c r="DK25" s="45"/>
      <c r="DL25" s="38"/>
      <c r="DM25" s="43"/>
      <c r="DN25" s="45"/>
      <c r="DO25" s="45"/>
      <c r="DP25" s="45"/>
      <c r="DQ25" s="45"/>
      <c r="DR25" s="45"/>
      <c r="DS25" s="45"/>
      <c r="DT25" s="45"/>
      <c r="DU25" s="52"/>
      <c r="DV25" s="45"/>
      <c r="DW25" s="45"/>
      <c r="DX25" s="45"/>
      <c r="DY25" s="45"/>
      <c r="DZ25" s="45"/>
      <c r="EA25" s="45"/>
      <c r="EB25" s="45"/>
      <c r="EC25" s="45"/>
      <c r="ED25" s="38"/>
      <c r="EE25" s="43"/>
      <c r="EF25" s="45"/>
      <c r="EG25" s="45"/>
      <c r="EH25" s="45"/>
      <c r="EI25" s="45"/>
      <c r="EJ25" s="45"/>
      <c r="EK25" s="45"/>
      <c r="EL25" s="45"/>
      <c r="EM25" s="36"/>
      <c r="EN25" s="39"/>
      <c r="EO25" s="40">
        <f t="shared" si="4"/>
        <v>46042</v>
      </c>
      <c r="EP25" s="40">
        <v>45978</v>
      </c>
      <c r="EQ25" s="40">
        <v>46001</v>
      </c>
      <c r="ER25" s="40">
        <v>45930</v>
      </c>
      <c r="ES25" s="40">
        <v>46042</v>
      </c>
      <c r="ET25" s="40">
        <v>45992</v>
      </c>
      <c r="EU25" s="40">
        <v>46029</v>
      </c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</row>
    <row r="26" spans="2:181" x14ac:dyDescent="0.35">
      <c r="B26" s="41">
        <f t="shared" si="3"/>
        <v>46043</v>
      </c>
      <c r="C26" s="42">
        <v>2127780</v>
      </c>
      <c r="D26" s="49">
        <v>5</v>
      </c>
      <c r="E26" s="49">
        <v>0.28000000000000003</v>
      </c>
      <c r="F26" s="49">
        <v>1.95</v>
      </c>
      <c r="G26" s="49">
        <v>51.95</v>
      </c>
      <c r="H26" s="49">
        <v>2.2799999999999998</v>
      </c>
      <c r="I26" s="49">
        <v>2.17</v>
      </c>
      <c r="J26" s="49">
        <f t="shared" si="0"/>
        <v>6.7299999999999995</v>
      </c>
      <c r="K26" s="42">
        <v>1471889</v>
      </c>
      <c r="L26" s="49">
        <v>4.91</v>
      </c>
      <c r="M26" s="49">
        <v>0.25609834709003193</v>
      </c>
      <c r="N26" s="49">
        <v>1.856827892592444</v>
      </c>
      <c r="O26" s="49">
        <v>51.929024586772513</v>
      </c>
      <c r="P26" s="49">
        <v>2.1763442148151118</v>
      </c>
      <c r="Q26" s="49">
        <v>2.0812212809525716</v>
      </c>
      <c r="R26" s="49">
        <f t="shared" si="1"/>
        <v>6.4339097105827951</v>
      </c>
      <c r="S26" s="42">
        <v>2573906</v>
      </c>
      <c r="T26" s="49">
        <v>4.9800000000000004</v>
      </c>
      <c r="U26" s="49">
        <v>0.3</v>
      </c>
      <c r="V26" s="49">
        <v>1.91</v>
      </c>
      <c r="W26" s="49">
        <v>52.01</v>
      </c>
      <c r="X26" s="49">
        <v>2.08</v>
      </c>
      <c r="Y26" s="49">
        <v>1.99</v>
      </c>
      <c r="Z26" s="49">
        <f t="shared" si="2"/>
        <v>6.15</v>
      </c>
      <c r="AA26" s="42">
        <v>150828</v>
      </c>
      <c r="AB26" s="49">
        <v>86.96</v>
      </c>
      <c r="AC26" s="49">
        <v>0.35</v>
      </c>
      <c r="AD26" s="42">
        <v>158451</v>
      </c>
      <c r="AE26" s="48">
        <v>6.4000000000000001E-2</v>
      </c>
      <c r="AF26" s="49">
        <v>0.04</v>
      </c>
      <c r="AG26" s="50">
        <v>1.9</v>
      </c>
      <c r="AH26" s="51">
        <v>19</v>
      </c>
      <c r="AI26" s="49">
        <v>36.85</v>
      </c>
      <c r="AJ26" s="49"/>
      <c r="AK26" s="50">
        <v>50.2</v>
      </c>
      <c r="AL26" s="43"/>
      <c r="AM26" s="45"/>
      <c r="AN26" s="45"/>
      <c r="AO26" s="45"/>
      <c r="AP26" s="45"/>
      <c r="AQ26" s="45"/>
      <c r="AR26" s="45"/>
      <c r="AS26" s="45"/>
      <c r="AT26" s="42">
        <v>536860</v>
      </c>
      <c r="AU26" s="48">
        <v>5.8999999999999997E-2</v>
      </c>
      <c r="AV26" s="49">
        <v>0.05</v>
      </c>
      <c r="AW26" s="50">
        <v>2.1</v>
      </c>
      <c r="AX26" s="51">
        <v>21</v>
      </c>
      <c r="AY26" s="49">
        <v>56.21</v>
      </c>
      <c r="AZ26" s="49"/>
      <c r="BA26" s="50">
        <v>9.8000000000000007</v>
      </c>
      <c r="BB26" s="42">
        <v>265689</v>
      </c>
      <c r="BC26" s="48">
        <v>6.5000000000000002E-2</v>
      </c>
      <c r="BD26" s="49">
        <v>0.04</v>
      </c>
      <c r="BE26" s="50">
        <v>2.1</v>
      </c>
      <c r="BF26" s="51">
        <v>21</v>
      </c>
      <c r="BG26" s="49">
        <v>57.45</v>
      </c>
      <c r="BH26" s="49"/>
      <c r="BI26" s="49">
        <v>9</v>
      </c>
      <c r="BJ26" s="43"/>
      <c r="BK26" s="45"/>
      <c r="BL26" s="45"/>
      <c r="BM26" s="45"/>
      <c r="BN26" s="45"/>
      <c r="BO26" s="45"/>
      <c r="BP26" s="45"/>
      <c r="BQ26" s="45"/>
      <c r="BR26" s="43"/>
      <c r="BS26" s="45"/>
      <c r="BT26" s="45"/>
      <c r="BU26" s="45"/>
      <c r="BV26" s="45"/>
      <c r="BW26" s="45"/>
      <c r="BX26" s="45"/>
      <c r="BY26" s="45"/>
      <c r="BZ26" s="43"/>
      <c r="CA26" s="45"/>
      <c r="CB26" s="45"/>
      <c r="CC26" s="45"/>
      <c r="CD26" s="45"/>
      <c r="CE26" s="45"/>
      <c r="CF26" s="45"/>
      <c r="CG26" s="45"/>
      <c r="CH26" s="43"/>
      <c r="CI26" s="45"/>
      <c r="CJ26" s="45"/>
      <c r="CK26" s="45"/>
      <c r="CL26" s="45"/>
      <c r="CM26" s="45"/>
      <c r="CN26" s="45"/>
      <c r="CO26" s="45"/>
      <c r="CP26" s="42">
        <v>531683</v>
      </c>
      <c r="CQ26" s="48">
        <v>4.7E-2</v>
      </c>
      <c r="CR26" s="49">
        <v>0.04</v>
      </c>
      <c r="CS26" s="50">
        <v>2</v>
      </c>
      <c r="CT26" s="51">
        <v>20</v>
      </c>
      <c r="CU26" s="49">
        <v>52.07</v>
      </c>
      <c r="CV26" s="49" t="s">
        <v>66</v>
      </c>
      <c r="CW26" s="42">
        <v>552328</v>
      </c>
      <c r="CX26" s="48">
        <v>4.8000000000000001E-2</v>
      </c>
      <c r="CY26" s="49">
        <v>0.04</v>
      </c>
      <c r="CZ26" s="50">
        <v>2</v>
      </c>
      <c r="DA26" s="51" t="s">
        <v>68</v>
      </c>
      <c r="DB26" s="49">
        <v>52</v>
      </c>
      <c r="DC26" s="49" t="s">
        <v>66</v>
      </c>
      <c r="DD26" s="43"/>
      <c r="DE26" s="45"/>
      <c r="DF26" s="45"/>
      <c r="DG26" s="45"/>
      <c r="DH26" s="45"/>
      <c r="DI26" s="45"/>
      <c r="DJ26" s="45"/>
      <c r="DK26" s="45"/>
      <c r="DL26" s="38"/>
      <c r="DM26" s="43"/>
      <c r="DN26" s="45"/>
      <c r="DO26" s="45"/>
      <c r="DP26" s="45"/>
      <c r="DQ26" s="45"/>
      <c r="DR26" s="45"/>
      <c r="DS26" s="45"/>
      <c r="DT26" s="45"/>
      <c r="DU26" s="52"/>
      <c r="DV26" s="45"/>
      <c r="DW26" s="45"/>
      <c r="DX26" s="45"/>
      <c r="DY26" s="45"/>
      <c r="DZ26" s="45"/>
      <c r="EA26" s="45"/>
      <c r="EB26" s="45"/>
      <c r="EC26" s="45"/>
      <c r="ED26" s="38"/>
      <c r="EE26" s="43"/>
      <c r="EF26" s="45"/>
      <c r="EG26" s="45"/>
      <c r="EH26" s="45"/>
      <c r="EI26" s="45"/>
      <c r="EJ26" s="45"/>
      <c r="EK26" s="45"/>
      <c r="EL26" s="45"/>
      <c r="EM26" s="36"/>
      <c r="EN26" s="39"/>
      <c r="EO26" s="40">
        <f t="shared" si="4"/>
        <v>46043</v>
      </c>
      <c r="EP26" s="40">
        <v>45978</v>
      </c>
      <c r="EQ26" s="40">
        <v>46001</v>
      </c>
      <c r="ER26" s="40">
        <v>45930</v>
      </c>
      <c r="ES26" s="40">
        <v>46043</v>
      </c>
      <c r="ET26" s="40">
        <v>45992</v>
      </c>
      <c r="EU26" s="40">
        <v>46029</v>
      </c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</row>
    <row r="27" spans="2:181" x14ac:dyDescent="0.35">
      <c r="B27" s="41">
        <f t="shared" si="3"/>
        <v>46044</v>
      </c>
      <c r="C27" s="42">
        <v>1966780</v>
      </c>
      <c r="D27" s="49">
        <v>5.05</v>
      </c>
      <c r="E27" s="49">
        <v>0.28000000000000003</v>
      </c>
      <c r="F27" s="49">
        <v>1.95</v>
      </c>
      <c r="G27" s="49">
        <v>51.95</v>
      </c>
      <c r="H27" s="49">
        <v>2.2799999999999998</v>
      </c>
      <c r="I27" s="49">
        <v>2.17</v>
      </c>
      <c r="J27" s="49">
        <f t="shared" si="0"/>
        <v>6.7299999999999995</v>
      </c>
      <c r="K27" s="42">
        <v>1643759</v>
      </c>
      <c r="L27" s="49">
        <v>4.87</v>
      </c>
      <c r="M27" s="49">
        <v>0.25232393556476346</v>
      </c>
      <c r="N27" s="49">
        <v>1.8613419302951344</v>
      </c>
      <c r="O27" s="49">
        <v>51.915533889092018</v>
      </c>
      <c r="P27" s="49">
        <v>2.1599970007768778</v>
      </c>
      <c r="Q27" s="49">
        <v>2.069592081320923</v>
      </c>
      <c r="R27" s="49">
        <f t="shared" si="1"/>
        <v>6.3895860828746791</v>
      </c>
      <c r="S27" s="42">
        <v>2573906</v>
      </c>
      <c r="T27" s="49">
        <v>4.9800000000000004</v>
      </c>
      <c r="U27" s="49">
        <v>0.3</v>
      </c>
      <c r="V27" s="49">
        <v>1.91</v>
      </c>
      <c r="W27" s="49">
        <v>52.01</v>
      </c>
      <c r="X27" s="49">
        <v>2.08</v>
      </c>
      <c r="Y27" s="49">
        <v>1.99</v>
      </c>
      <c r="Z27" s="49">
        <f t="shared" si="2"/>
        <v>6.15</v>
      </c>
      <c r="AA27" s="42">
        <v>157540</v>
      </c>
      <c r="AB27" s="49">
        <v>86.91</v>
      </c>
      <c r="AC27" s="49">
        <v>0.35</v>
      </c>
      <c r="AD27" s="42">
        <v>208169</v>
      </c>
      <c r="AE27" s="48">
        <v>0.06</v>
      </c>
      <c r="AF27" s="49">
        <v>0.04</v>
      </c>
      <c r="AG27" s="50">
        <v>1.9</v>
      </c>
      <c r="AH27" s="51">
        <v>19</v>
      </c>
      <c r="AI27" s="49">
        <v>37</v>
      </c>
      <c r="AJ27" s="49"/>
      <c r="AK27" s="50">
        <v>50</v>
      </c>
      <c r="AL27" s="43"/>
      <c r="AM27" s="45"/>
      <c r="AN27" s="45"/>
      <c r="AO27" s="45"/>
      <c r="AP27" s="45"/>
      <c r="AQ27" s="45"/>
      <c r="AR27" s="45"/>
      <c r="AS27" s="45"/>
      <c r="AT27" s="42">
        <v>536860</v>
      </c>
      <c r="AU27" s="48">
        <v>6.2E-2</v>
      </c>
      <c r="AV27" s="49">
        <v>0.05</v>
      </c>
      <c r="AW27" s="50">
        <v>2.1</v>
      </c>
      <c r="AX27" s="51">
        <v>21</v>
      </c>
      <c r="AY27" s="49">
        <v>56.17</v>
      </c>
      <c r="AZ27" s="49"/>
      <c r="BA27" s="50">
        <v>9.8000000000000007</v>
      </c>
      <c r="BB27" s="42">
        <v>423758</v>
      </c>
      <c r="BC27" s="48">
        <v>6.3E-2</v>
      </c>
      <c r="BD27" s="49">
        <v>0.04</v>
      </c>
      <c r="BE27" s="50">
        <v>2.1</v>
      </c>
      <c r="BF27" s="51">
        <v>21</v>
      </c>
      <c r="BG27" s="49">
        <v>57.21</v>
      </c>
      <c r="BH27" s="49"/>
      <c r="BI27" s="49">
        <v>9.1999999999999993</v>
      </c>
      <c r="BJ27" s="43"/>
      <c r="BK27" s="45"/>
      <c r="BL27" s="45"/>
      <c r="BM27" s="45"/>
      <c r="BN27" s="45"/>
      <c r="BO27" s="45"/>
      <c r="BP27" s="45"/>
      <c r="BQ27" s="45"/>
      <c r="BR27" s="43"/>
      <c r="BS27" s="45"/>
      <c r="BT27" s="45"/>
      <c r="BU27" s="45"/>
      <c r="BV27" s="45"/>
      <c r="BW27" s="45"/>
      <c r="BX27" s="45"/>
      <c r="BY27" s="45"/>
      <c r="BZ27" s="43"/>
      <c r="CA27" s="45"/>
      <c r="CB27" s="45"/>
      <c r="CC27" s="45"/>
      <c r="CD27" s="45"/>
      <c r="CE27" s="45"/>
      <c r="CF27" s="45"/>
      <c r="CG27" s="45"/>
      <c r="CH27" s="43"/>
      <c r="CI27" s="45"/>
      <c r="CJ27" s="45"/>
      <c r="CK27" s="45"/>
      <c r="CL27" s="45"/>
      <c r="CM27" s="45"/>
      <c r="CN27" s="45"/>
      <c r="CO27" s="45"/>
      <c r="CP27" s="42">
        <v>682578</v>
      </c>
      <c r="CQ27" s="48">
        <v>3.9E-2</v>
      </c>
      <c r="CR27" s="49">
        <v>0.04</v>
      </c>
      <c r="CS27" s="50">
        <v>2</v>
      </c>
      <c r="CT27" s="51">
        <v>20</v>
      </c>
      <c r="CU27" s="49">
        <v>51.12</v>
      </c>
      <c r="CV27" s="49">
        <v>0.33</v>
      </c>
      <c r="CW27" s="42">
        <v>377650</v>
      </c>
      <c r="CX27" s="48">
        <v>4.8000000000000001E-2</v>
      </c>
      <c r="CY27" s="49">
        <v>0.04</v>
      </c>
      <c r="CZ27" s="50">
        <v>2.1</v>
      </c>
      <c r="DA27" s="51">
        <v>20</v>
      </c>
      <c r="DB27" s="49">
        <v>52</v>
      </c>
      <c r="DC27" s="49">
        <v>0.3</v>
      </c>
      <c r="DD27" s="43"/>
      <c r="DE27" s="45"/>
      <c r="DF27" s="45"/>
      <c r="DG27" s="45"/>
      <c r="DH27" s="45"/>
      <c r="DI27" s="45"/>
      <c r="DJ27" s="45"/>
      <c r="DK27" s="45"/>
      <c r="DL27" s="38"/>
      <c r="DM27" s="43"/>
      <c r="DN27" s="45"/>
      <c r="DO27" s="45"/>
      <c r="DP27" s="45"/>
      <c r="DQ27" s="45"/>
      <c r="DR27" s="45"/>
      <c r="DS27" s="45"/>
      <c r="DT27" s="45"/>
      <c r="DU27" s="52"/>
      <c r="DV27" s="45"/>
      <c r="DW27" s="45"/>
      <c r="DX27" s="45"/>
      <c r="DY27" s="45"/>
      <c r="DZ27" s="45"/>
      <c r="EA27" s="45"/>
      <c r="EB27" s="45"/>
      <c r="EC27" s="45"/>
      <c r="ED27" s="38"/>
      <c r="EE27" s="43"/>
      <c r="EF27" s="45"/>
      <c r="EG27" s="45"/>
      <c r="EH27" s="45"/>
      <c r="EI27" s="45"/>
      <c r="EJ27" s="45"/>
      <c r="EK27" s="45"/>
      <c r="EL27" s="45"/>
      <c r="EM27" s="36"/>
      <c r="EN27" s="39"/>
      <c r="EO27" s="40">
        <f t="shared" si="4"/>
        <v>46044</v>
      </c>
      <c r="EP27" s="40">
        <v>45978</v>
      </c>
      <c r="EQ27" s="40">
        <v>46001</v>
      </c>
      <c r="ER27" s="40">
        <v>45930</v>
      </c>
      <c r="ES27" s="40">
        <v>46044</v>
      </c>
      <c r="ET27" s="40">
        <v>45992</v>
      </c>
      <c r="EU27" s="40">
        <v>46029</v>
      </c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</row>
    <row r="28" spans="2:181" x14ac:dyDescent="0.35">
      <c r="B28" s="41">
        <f t="shared" si="3"/>
        <v>46045</v>
      </c>
      <c r="C28" s="42">
        <v>1688383</v>
      </c>
      <c r="D28" s="49">
        <v>5.0599999999999996</v>
      </c>
      <c r="E28" s="49">
        <v>0.28000000000000003</v>
      </c>
      <c r="F28" s="49">
        <v>1.92</v>
      </c>
      <c r="G28" s="49">
        <v>51.9</v>
      </c>
      <c r="H28" s="49">
        <v>2.2999999999999998</v>
      </c>
      <c r="I28" s="49">
        <v>2.1800000000000002</v>
      </c>
      <c r="J28" s="49">
        <f t="shared" si="0"/>
        <v>6.7799999999999994</v>
      </c>
      <c r="K28" s="42">
        <v>1843229</v>
      </c>
      <c r="L28" s="49">
        <v>4.84</v>
      </c>
      <c r="M28" s="49">
        <v>0.25</v>
      </c>
      <c r="N28" s="49">
        <v>1.87</v>
      </c>
      <c r="O28" s="49">
        <v>51.91</v>
      </c>
      <c r="P28" s="49">
        <v>2.15</v>
      </c>
      <c r="Q28" s="49">
        <v>2.0499999999999998</v>
      </c>
      <c r="R28" s="49">
        <f t="shared" si="1"/>
        <v>6.35</v>
      </c>
      <c r="S28" s="42">
        <v>2573906</v>
      </c>
      <c r="T28" s="49">
        <v>5</v>
      </c>
      <c r="U28" s="49">
        <v>0.3</v>
      </c>
      <c r="V28" s="49">
        <v>1.91</v>
      </c>
      <c r="W28" s="49">
        <v>52.01</v>
      </c>
      <c r="X28" s="49">
        <v>2.08</v>
      </c>
      <c r="Y28" s="49">
        <v>1.99</v>
      </c>
      <c r="Z28" s="49">
        <f t="shared" si="2"/>
        <v>6.15</v>
      </c>
      <c r="AA28" s="42">
        <v>179258</v>
      </c>
      <c r="AB28" s="49">
        <v>86.93</v>
      </c>
      <c r="AC28" s="49">
        <v>0.37</v>
      </c>
      <c r="AD28" s="42">
        <v>253523</v>
      </c>
      <c r="AE28" s="48">
        <v>5.8000000000000003E-2</v>
      </c>
      <c r="AF28" s="49">
        <v>0.04</v>
      </c>
      <c r="AG28" s="50">
        <v>1.8</v>
      </c>
      <c r="AH28" s="51">
        <v>18</v>
      </c>
      <c r="AI28" s="49">
        <v>37.020000000000003</v>
      </c>
      <c r="AJ28" s="49"/>
      <c r="AK28" s="50">
        <v>50</v>
      </c>
      <c r="AL28" s="43"/>
      <c r="AM28" s="45"/>
      <c r="AN28" s="45"/>
      <c r="AO28" s="45"/>
      <c r="AP28" s="45"/>
      <c r="AQ28" s="45"/>
      <c r="AR28" s="45"/>
      <c r="AS28" s="45"/>
      <c r="AT28" s="42">
        <v>536860</v>
      </c>
      <c r="AU28" s="48">
        <v>6.3E-2</v>
      </c>
      <c r="AV28" s="49">
        <v>0.05</v>
      </c>
      <c r="AW28" s="50">
        <v>2.1</v>
      </c>
      <c r="AX28" s="51">
        <v>21</v>
      </c>
      <c r="AY28" s="49">
        <v>56.17</v>
      </c>
      <c r="AZ28" s="49"/>
      <c r="BA28" s="50">
        <v>9.8000000000000007</v>
      </c>
      <c r="BB28" s="42">
        <v>527920</v>
      </c>
      <c r="BC28" s="48">
        <v>5.0999999999999997E-2</v>
      </c>
      <c r="BD28" s="49">
        <v>0.04</v>
      </c>
      <c r="BE28" s="50">
        <v>2.1</v>
      </c>
      <c r="BF28" s="51">
        <v>21</v>
      </c>
      <c r="BG28" s="49">
        <v>58.05</v>
      </c>
      <c r="BH28" s="49"/>
      <c r="BI28" s="49">
        <v>8.8000000000000007</v>
      </c>
      <c r="BJ28" s="42">
        <v>50991</v>
      </c>
      <c r="BK28" s="48">
        <v>4.2000000000000003E-2</v>
      </c>
      <c r="BL28" s="49">
        <v>0.04</v>
      </c>
      <c r="BM28" s="50">
        <v>2.1</v>
      </c>
      <c r="BN28" s="49">
        <v>21</v>
      </c>
      <c r="BO28" s="49">
        <v>58.74</v>
      </c>
      <c r="BP28" s="49"/>
      <c r="BQ28" s="49">
        <v>8.6</v>
      </c>
      <c r="BR28" s="43"/>
      <c r="BS28" s="45"/>
      <c r="BT28" s="45"/>
      <c r="BU28" s="45"/>
      <c r="BV28" s="45"/>
      <c r="BW28" s="45"/>
      <c r="BX28" s="45"/>
      <c r="BY28" s="45"/>
      <c r="BZ28" s="43"/>
      <c r="CA28" s="45"/>
      <c r="CB28" s="45"/>
      <c r="CC28" s="45"/>
      <c r="CD28" s="45"/>
      <c r="CE28" s="45"/>
      <c r="CF28" s="45"/>
      <c r="CG28" s="45"/>
      <c r="CH28" s="43"/>
      <c r="CI28" s="45"/>
      <c r="CJ28" s="45"/>
      <c r="CK28" s="45"/>
      <c r="CL28" s="45"/>
      <c r="CM28" s="45"/>
      <c r="CN28" s="45"/>
      <c r="CO28" s="45"/>
      <c r="CP28" s="42">
        <v>591523</v>
      </c>
      <c r="CQ28" s="48">
        <v>0.04</v>
      </c>
      <c r="CR28" s="49">
        <v>0.04</v>
      </c>
      <c r="CS28" s="50">
        <v>2.1</v>
      </c>
      <c r="CT28" s="51">
        <v>21</v>
      </c>
      <c r="CU28" s="49">
        <v>52</v>
      </c>
      <c r="CV28" s="49">
        <v>0.33</v>
      </c>
      <c r="CW28" s="42">
        <v>425331</v>
      </c>
      <c r="CX28" s="48">
        <v>3.7999999999999999E-2</v>
      </c>
      <c r="CY28" s="49">
        <v>0.04</v>
      </c>
      <c r="CZ28" s="50">
        <v>2.1</v>
      </c>
      <c r="DA28" s="51">
        <v>21</v>
      </c>
      <c r="DB28" s="49">
        <v>51.62</v>
      </c>
      <c r="DC28" s="49">
        <v>0.3</v>
      </c>
      <c r="DD28" s="43"/>
      <c r="DE28" s="45"/>
      <c r="DF28" s="45"/>
      <c r="DG28" s="45"/>
      <c r="DH28" s="45"/>
      <c r="DI28" s="45"/>
      <c r="DJ28" s="45"/>
      <c r="DK28" s="45"/>
      <c r="DL28" s="38"/>
      <c r="DM28" s="43"/>
      <c r="DN28" s="45"/>
      <c r="DO28" s="45"/>
      <c r="DP28" s="45"/>
      <c r="DQ28" s="45"/>
      <c r="DR28" s="45"/>
      <c r="DS28" s="45"/>
      <c r="DT28" s="45"/>
      <c r="DU28" s="52"/>
      <c r="DV28" s="45"/>
      <c r="DW28" s="45"/>
      <c r="DX28" s="45"/>
      <c r="DY28" s="45"/>
      <c r="DZ28" s="45"/>
      <c r="EA28" s="45"/>
      <c r="EB28" s="45"/>
      <c r="EC28" s="45"/>
      <c r="ED28" s="38"/>
      <c r="EE28" s="43"/>
      <c r="EF28" s="45"/>
      <c r="EG28" s="45"/>
      <c r="EH28" s="45"/>
      <c r="EI28" s="45"/>
      <c r="EJ28" s="45"/>
      <c r="EK28" s="45"/>
      <c r="EL28" s="45"/>
      <c r="EM28" s="36"/>
      <c r="EN28" s="39"/>
      <c r="EO28" s="40">
        <f t="shared" si="4"/>
        <v>46045</v>
      </c>
      <c r="EP28" s="40">
        <v>45978</v>
      </c>
      <c r="EQ28" s="40">
        <v>46001</v>
      </c>
      <c r="ER28" s="40">
        <v>45930</v>
      </c>
      <c r="ES28" s="40">
        <v>46045</v>
      </c>
      <c r="ET28" s="40">
        <v>45992</v>
      </c>
      <c r="EU28" s="40">
        <v>46029</v>
      </c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</row>
    <row r="29" spans="2:181" x14ac:dyDescent="0.35">
      <c r="B29" s="41">
        <f t="shared" si="3"/>
        <v>46046</v>
      </c>
      <c r="C29" s="42">
        <v>1387180</v>
      </c>
      <c r="D29" s="49">
        <v>5.08</v>
      </c>
      <c r="E29" s="49">
        <v>0.28000000000000003</v>
      </c>
      <c r="F29" s="49">
        <v>1.91</v>
      </c>
      <c r="G29" s="49">
        <v>51.9</v>
      </c>
      <c r="H29" s="49">
        <v>2.31</v>
      </c>
      <c r="I29" s="49">
        <v>2.1800000000000002</v>
      </c>
      <c r="J29" s="49">
        <f t="shared" si="0"/>
        <v>6.8000000000000007</v>
      </c>
      <c r="K29" s="42">
        <v>1843229</v>
      </c>
      <c r="L29" s="49">
        <v>4.84</v>
      </c>
      <c r="M29" s="49">
        <v>0.25</v>
      </c>
      <c r="N29" s="49">
        <v>1.87</v>
      </c>
      <c r="O29" s="49">
        <v>51.91</v>
      </c>
      <c r="P29" s="49">
        <v>2.15</v>
      </c>
      <c r="Q29" s="49">
        <v>2.0499999999999998</v>
      </c>
      <c r="R29" s="49">
        <f t="shared" si="1"/>
        <v>6.35</v>
      </c>
      <c r="S29" s="42">
        <v>2573906</v>
      </c>
      <c r="T29" s="49">
        <v>5</v>
      </c>
      <c r="U29" s="49">
        <v>0.3</v>
      </c>
      <c r="V29" s="49">
        <v>1.91</v>
      </c>
      <c r="W29" s="49">
        <v>52.01</v>
      </c>
      <c r="X29" s="49">
        <v>2.08</v>
      </c>
      <c r="Y29" s="49">
        <v>1.99</v>
      </c>
      <c r="Z29" s="49">
        <f t="shared" si="2"/>
        <v>6.15</v>
      </c>
      <c r="AA29" s="42">
        <v>197934</v>
      </c>
      <c r="AB29" s="49">
        <v>86.93</v>
      </c>
      <c r="AC29" s="49">
        <v>0.37</v>
      </c>
      <c r="AD29" s="42">
        <v>334366</v>
      </c>
      <c r="AE29" s="48">
        <v>5.6000000000000001E-2</v>
      </c>
      <c r="AF29" s="49">
        <v>0.04</v>
      </c>
      <c r="AG29" s="50">
        <v>1.8</v>
      </c>
      <c r="AH29" s="51">
        <v>18</v>
      </c>
      <c r="AI29" s="49">
        <v>36.950000000000003</v>
      </c>
      <c r="AJ29" s="49"/>
      <c r="AK29" s="50">
        <v>50.2</v>
      </c>
      <c r="AL29" s="43"/>
      <c r="AM29" s="45"/>
      <c r="AN29" s="45"/>
      <c r="AO29" s="45"/>
      <c r="AP29" s="45"/>
      <c r="AQ29" s="45"/>
      <c r="AR29" s="45"/>
      <c r="AS29" s="45"/>
      <c r="AT29" s="42">
        <v>536860</v>
      </c>
      <c r="AU29" s="48">
        <v>6.3E-2</v>
      </c>
      <c r="AV29" s="49">
        <v>0.05</v>
      </c>
      <c r="AW29" s="50">
        <v>2.1</v>
      </c>
      <c r="AX29" s="51">
        <v>21</v>
      </c>
      <c r="AY29" s="49">
        <v>56.17</v>
      </c>
      <c r="AZ29" s="49"/>
      <c r="BA29" s="50">
        <v>9.8000000000000007</v>
      </c>
      <c r="BB29" s="42">
        <v>527920</v>
      </c>
      <c r="BC29" s="48">
        <v>5.0999999999999997E-2</v>
      </c>
      <c r="BD29" s="49">
        <v>0.04</v>
      </c>
      <c r="BE29" s="50">
        <v>2.1</v>
      </c>
      <c r="BF29" s="51">
        <v>21</v>
      </c>
      <c r="BG29" s="49">
        <v>58.05</v>
      </c>
      <c r="BH29" s="49"/>
      <c r="BI29" s="49">
        <v>8.8000000000000007</v>
      </c>
      <c r="BJ29" s="42">
        <v>284250</v>
      </c>
      <c r="BK29" s="48">
        <v>4.3999999999999997E-2</v>
      </c>
      <c r="BL29" s="49">
        <v>0.04</v>
      </c>
      <c r="BM29" s="50">
        <v>2.1</v>
      </c>
      <c r="BN29" s="49">
        <v>21</v>
      </c>
      <c r="BO29" s="49">
        <v>56.74</v>
      </c>
      <c r="BP29" s="49"/>
      <c r="BQ29" s="49">
        <v>9.6</v>
      </c>
      <c r="BR29" s="43"/>
      <c r="BS29" s="45"/>
      <c r="BT29" s="45"/>
      <c r="BU29" s="45"/>
      <c r="BV29" s="45"/>
      <c r="BW29" s="45"/>
      <c r="BX29" s="45"/>
      <c r="BY29" s="45"/>
      <c r="BZ29" s="43"/>
      <c r="CA29" s="45"/>
      <c r="CB29" s="45"/>
      <c r="CC29" s="45"/>
      <c r="CD29" s="45"/>
      <c r="CE29" s="45"/>
      <c r="CF29" s="45"/>
      <c r="CG29" s="45"/>
      <c r="CH29" s="43"/>
      <c r="CI29" s="45"/>
      <c r="CJ29" s="45"/>
      <c r="CK29" s="45"/>
      <c r="CL29" s="45"/>
      <c r="CM29" s="45"/>
      <c r="CN29" s="45"/>
      <c r="CO29" s="45"/>
      <c r="CP29" s="42">
        <v>303728</v>
      </c>
      <c r="CQ29" s="48">
        <v>4.1000000000000002E-2</v>
      </c>
      <c r="CR29" s="49">
        <v>0.04</v>
      </c>
      <c r="CS29" s="50">
        <v>2.1</v>
      </c>
      <c r="CT29" s="51">
        <v>21</v>
      </c>
      <c r="CU29" s="49">
        <v>51.97</v>
      </c>
      <c r="CV29" s="49">
        <v>0.33</v>
      </c>
      <c r="CW29" s="42">
        <v>707299</v>
      </c>
      <c r="CX29" s="48">
        <v>5.2999999999999999E-2</v>
      </c>
      <c r="CY29" s="49">
        <v>0.04</v>
      </c>
      <c r="CZ29" s="50">
        <v>2.1</v>
      </c>
      <c r="DA29" s="51">
        <v>21</v>
      </c>
      <c r="DB29" s="49">
        <v>51.74</v>
      </c>
      <c r="DC29" s="49">
        <v>0.3</v>
      </c>
      <c r="DD29" s="43"/>
      <c r="DE29" s="45"/>
      <c r="DF29" s="45"/>
      <c r="DG29" s="45"/>
      <c r="DH29" s="45"/>
      <c r="DI29" s="45"/>
      <c r="DJ29" s="45"/>
      <c r="DK29" s="45"/>
      <c r="DL29" s="38"/>
      <c r="DM29" s="43"/>
      <c r="DN29" s="45"/>
      <c r="DO29" s="45"/>
      <c r="DP29" s="45"/>
      <c r="DQ29" s="45"/>
      <c r="DR29" s="45"/>
      <c r="DS29" s="45"/>
      <c r="DT29" s="45"/>
      <c r="DU29" s="52"/>
      <c r="DV29" s="45"/>
      <c r="DW29" s="45"/>
      <c r="DX29" s="45"/>
      <c r="DY29" s="45"/>
      <c r="DZ29" s="45"/>
      <c r="EA29" s="45"/>
      <c r="EB29" s="45"/>
      <c r="EC29" s="45"/>
      <c r="ED29" s="38"/>
      <c r="EE29" s="43"/>
      <c r="EF29" s="45"/>
      <c r="EG29" s="45"/>
      <c r="EH29" s="45"/>
      <c r="EI29" s="45"/>
      <c r="EJ29" s="45"/>
      <c r="EK29" s="45"/>
      <c r="EL29" s="45"/>
      <c r="EM29" s="36"/>
      <c r="EN29" s="39"/>
      <c r="EO29" s="40">
        <f t="shared" si="4"/>
        <v>46046</v>
      </c>
      <c r="EP29" s="40">
        <v>45978</v>
      </c>
      <c r="EQ29" s="40">
        <v>46001</v>
      </c>
      <c r="ER29" s="40">
        <v>45930</v>
      </c>
      <c r="ES29" s="40">
        <v>46045</v>
      </c>
      <c r="ET29" s="40">
        <v>45992</v>
      </c>
      <c r="EU29" s="40">
        <v>46029</v>
      </c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</row>
    <row r="30" spans="2:181" x14ac:dyDescent="0.35">
      <c r="B30" s="41">
        <f t="shared" si="3"/>
        <v>46047</v>
      </c>
      <c r="C30" s="42">
        <v>1102680</v>
      </c>
      <c r="D30" s="49">
        <v>5.0999999999999996</v>
      </c>
      <c r="E30" s="49">
        <v>0.28000000000000003</v>
      </c>
      <c r="F30" s="49">
        <v>1.91</v>
      </c>
      <c r="G30" s="49">
        <v>51.9</v>
      </c>
      <c r="H30" s="49">
        <v>2.31</v>
      </c>
      <c r="I30" s="49">
        <v>2.1800000000000002</v>
      </c>
      <c r="J30" s="49">
        <f t="shared" si="0"/>
        <v>6.8000000000000007</v>
      </c>
      <c r="K30" s="42">
        <v>1843229</v>
      </c>
      <c r="L30" s="49">
        <v>4.8499999999999996</v>
      </c>
      <c r="M30" s="49">
        <v>0.25</v>
      </c>
      <c r="N30" s="49">
        <v>1.88</v>
      </c>
      <c r="O30" s="49">
        <v>51.91</v>
      </c>
      <c r="P30" s="49">
        <v>2.15</v>
      </c>
      <c r="Q30" s="49">
        <v>2.0499999999999998</v>
      </c>
      <c r="R30" s="49">
        <f t="shared" si="1"/>
        <v>6.35</v>
      </c>
      <c r="S30" s="42">
        <v>2573906</v>
      </c>
      <c r="T30" s="49">
        <v>5</v>
      </c>
      <c r="U30" s="49">
        <v>0.3</v>
      </c>
      <c r="V30" s="49">
        <v>1.91</v>
      </c>
      <c r="W30" s="49">
        <v>52.01</v>
      </c>
      <c r="X30" s="49">
        <v>2.08</v>
      </c>
      <c r="Y30" s="49">
        <v>1.99</v>
      </c>
      <c r="Z30" s="49">
        <f t="shared" si="2"/>
        <v>6.15</v>
      </c>
      <c r="AA30" s="42">
        <v>218585</v>
      </c>
      <c r="AB30" s="49">
        <v>86.93</v>
      </c>
      <c r="AC30" s="49">
        <v>0.37</v>
      </c>
      <c r="AD30" s="42">
        <v>408449</v>
      </c>
      <c r="AE30" s="48">
        <v>5.6000000000000001E-2</v>
      </c>
      <c r="AF30" s="49">
        <v>0.04</v>
      </c>
      <c r="AG30" s="50">
        <v>1.8</v>
      </c>
      <c r="AH30" s="51">
        <v>18</v>
      </c>
      <c r="AI30" s="49">
        <v>36.950000000000003</v>
      </c>
      <c r="AJ30" s="49"/>
      <c r="AK30" s="50">
        <v>50.2</v>
      </c>
      <c r="AL30" s="43"/>
      <c r="AM30" s="45"/>
      <c r="AN30" s="45"/>
      <c r="AO30" s="45"/>
      <c r="AP30" s="45"/>
      <c r="AQ30" s="45"/>
      <c r="AR30" s="45"/>
      <c r="AS30" s="45"/>
      <c r="AT30" s="42">
        <v>536860</v>
      </c>
      <c r="AU30" s="48">
        <v>6.3E-2</v>
      </c>
      <c r="AV30" s="49">
        <v>0.05</v>
      </c>
      <c r="AW30" s="50">
        <v>2.1</v>
      </c>
      <c r="AX30" s="51">
        <v>21</v>
      </c>
      <c r="AY30" s="49">
        <v>56.17</v>
      </c>
      <c r="AZ30" s="49"/>
      <c r="BA30" s="50">
        <v>9.8000000000000007</v>
      </c>
      <c r="BB30" s="42">
        <v>527920</v>
      </c>
      <c r="BC30" s="48">
        <v>5.0999999999999997E-2</v>
      </c>
      <c r="BD30" s="49">
        <v>0.04</v>
      </c>
      <c r="BE30" s="50">
        <v>2.1</v>
      </c>
      <c r="BF30" s="51">
        <v>21</v>
      </c>
      <c r="BG30" s="49">
        <v>58.05</v>
      </c>
      <c r="BH30" s="49"/>
      <c r="BI30" s="49">
        <v>8.8000000000000007</v>
      </c>
      <c r="BJ30" s="42">
        <v>485723</v>
      </c>
      <c r="BK30" s="48">
        <v>5.1999999999999998E-2</v>
      </c>
      <c r="BL30" s="49">
        <v>0.04</v>
      </c>
      <c r="BM30" s="50">
        <v>2.1</v>
      </c>
      <c r="BN30" s="49">
        <v>21</v>
      </c>
      <c r="BO30" s="49">
        <v>56.6</v>
      </c>
      <c r="BP30" s="49"/>
      <c r="BQ30" s="49">
        <v>9.6</v>
      </c>
      <c r="BR30" s="43"/>
      <c r="BS30" s="45"/>
      <c r="BT30" s="45"/>
      <c r="BU30" s="45"/>
      <c r="BV30" s="45"/>
      <c r="BW30" s="45"/>
      <c r="BX30" s="45"/>
      <c r="BY30" s="45"/>
      <c r="BZ30" s="43"/>
      <c r="CA30" s="45"/>
      <c r="CB30" s="45"/>
      <c r="CC30" s="45"/>
      <c r="CD30" s="45"/>
      <c r="CE30" s="45"/>
      <c r="CF30" s="45"/>
      <c r="CG30" s="45"/>
      <c r="CH30" s="43"/>
      <c r="CI30" s="45"/>
      <c r="CJ30" s="45"/>
      <c r="CK30" s="45"/>
      <c r="CL30" s="45"/>
      <c r="CM30" s="45"/>
      <c r="CN30" s="45"/>
      <c r="CO30" s="45"/>
      <c r="CP30" s="42">
        <v>545057</v>
      </c>
      <c r="CQ30" s="48">
        <v>4.4999999999999998E-2</v>
      </c>
      <c r="CR30" s="49">
        <v>0.04</v>
      </c>
      <c r="CS30" s="50">
        <v>2.1</v>
      </c>
      <c r="CT30" s="51">
        <v>21</v>
      </c>
      <c r="CU30" s="49">
        <v>51.97</v>
      </c>
      <c r="CV30" s="49">
        <v>0.33</v>
      </c>
      <c r="CW30" s="42">
        <v>518346</v>
      </c>
      <c r="CX30" s="48">
        <v>5.2999999999999999E-2</v>
      </c>
      <c r="CY30" s="49">
        <v>0.04</v>
      </c>
      <c r="CZ30" s="50">
        <v>2.1</v>
      </c>
      <c r="DA30" s="51">
        <v>21</v>
      </c>
      <c r="DB30" s="49">
        <v>51.74</v>
      </c>
      <c r="DC30" s="49">
        <v>0.3</v>
      </c>
      <c r="DD30" s="43"/>
      <c r="DE30" s="45"/>
      <c r="DF30" s="45"/>
      <c r="DG30" s="45"/>
      <c r="DH30" s="45"/>
      <c r="DI30" s="45"/>
      <c r="DJ30" s="45"/>
      <c r="DK30" s="45"/>
      <c r="DL30" s="38"/>
      <c r="DM30" s="43"/>
      <c r="DN30" s="45"/>
      <c r="DO30" s="45"/>
      <c r="DP30" s="45"/>
      <c r="DQ30" s="45"/>
      <c r="DR30" s="45"/>
      <c r="DS30" s="45"/>
      <c r="DT30" s="45"/>
      <c r="DU30" s="52"/>
      <c r="DV30" s="45"/>
      <c r="DW30" s="45"/>
      <c r="DX30" s="45"/>
      <c r="DY30" s="45"/>
      <c r="DZ30" s="45"/>
      <c r="EA30" s="45"/>
      <c r="EB30" s="45"/>
      <c r="EC30" s="45"/>
      <c r="ED30" s="38"/>
      <c r="EE30" s="43"/>
      <c r="EF30" s="45"/>
      <c r="EG30" s="45"/>
      <c r="EH30" s="45"/>
      <c r="EI30" s="45"/>
      <c r="EJ30" s="45"/>
      <c r="EK30" s="45"/>
      <c r="EL30" s="45"/>
      <c r="EM30" s="36"/>
      <c r="EN30" s="39"/>
      <c r="EO30" s="40">
        <f t="shared" si="4"/>
        <v>46047</v>
      </c>
      <c r="EP30" s="40">
        <v>45978</v>
      </c>
      <c r="EQ30" s="40">
        <v>46001</v>
      </c>
      <c r="ER30" s="40">
        <v>45930</v>
      </c>
      <c r="ES30" s="40">
        <v>46045</v>
      </c>
      <c r="ET30" s="40">
        <v>45992</v>
      </c>
      <c r="EU30" s="40">
        <v>46029</v>
      </c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</row>
    <row r="31" spans="2:181" x14ac:dyDescent="0.35">
      <c r="B31" s="41">
        <f t="shared" si="3"/>
        <v>46048</v>
      </c>
      <c r="C31" s="42">
        <v>805580</v>
      </c>
      <c r="D31" s="49">
        <v>5.12</v>
      </c>
      <c r="E31" s="49">
        <v>0.28000000000000003</v>
      </c>
      <c r="F31" s="49">
        <v>1.91</v>
      </c>
      <c r="G31" s="49">
        <v>51.9</v>
      </c>
      <c r="H31" s="49">
        <v>2.31</v>
      </c>
      <c r="I31" s="49">
        <v>2.19</v>
      </c>
      <c r="J31" s="49">
        <f t="shared" si="0"/>
        <v>6.8100000000000005</v>
      </c>
      <c r="K31" s="42">
        <v>1843229</v>
      </c>
      <c r="L31" s="49">
        <v>4.8499999999999996</v>
      </c>
      <c r="M31" s="49">
        <v>0.25</v>
      </c>
      <c r="N31" s="49">
        <v>1.88</v>
      </c>
      <c r="O31" s="49">
        <v>51.91</v>
      </c>
      <c r="P31" s="49">
        <v>2.15</v>
      </c>
      <c r="Q31" s="49">
        <v>2.0499999999999998</v>
      </c>
      <c r="R31" s="49">
        <f t="shared" si="1"/>
        <v>6.35</v>
      </c>
      <c r="S31" s="42">
        <v>2573906</v>
      </c>
      <c r="T31" s="49">
        <v>5</v>
      </c>
      <c r="U31" s="49">
        <v>0.3</v>
      </c>
      <c r="V31" s="49">
        <v>1.91</v>
      </c>
      <c r="W31" s="49">
        <v>52.01</v>
      </c>
      <c r="X31" s="49">
        <v>2.08</v>
      </c>
      <c r="Y31" s="49">
        <v>1.99</v>
      </c>
      <c r="Z31" s="49">
        <f t="shared" si="2"/>
        <v>6.15</v>
      </c>
      <c r="AA31" s="42">
        <v>234143</v>
      </c>
      <c r="AB31" s="49">
        <v>86.93</v>
      </c>
      <c r="AC31" s="49">
        <v>0.37</v>
      </c>
      <c r="AD31" s="42">
        <v>455146</v>
      </c>
      <c r="AE31" s="48">
        <v>5.6000000000000001E-2</v>
      </c>
      <c r="AF31" s="49">
        <v>0.04</v>
      </c>
      <c r="AG31" s="50">
        <v>1.8</v>
      </c>
      <c r="AH31" s="51">
        <v>18</v>
      </c>
      <c r="AI31" s="49">
        <v>36.950000000000003</v>
      </c>
      <c r="AJ31" s="49"/>
      <c r="AK31" s="50">
        <v>50.2</v>
      </c>
      <c r="AL31" s="43"/>
      <c r="AM31" s="45"/>
      <c r="AN31" s="45"/>
      <c r="AO31" s="45"/>
      <c r="AP31" s="45"/>
      <c r="AQ31" s="45"/>
      <c r="AR31" s="45"/>
      <c r="AS31" s="45"/>
      <c r="AT31" s="42">
        <v>536860</v>
      </c>
      <c r="AU31" s="48">
        <v>6.4000000000000001E-2</v>
      </c>
      <c r="AV31" s="49">
        <v>0.05</v>
      </c>
      <c r="AW31" s="50">
        <v>2.1</v>
      </c>
      <c r="AX31" s="51">
        <v>21</v>
      </c>
      <c r="AY31" s="49">
        <v>56.17</v>
      </c>
      <c r="AZ31" s="49"/>
      <c r="BA31" s="50">
        <v>9.8000000000000007</v>
      </c>
      <c r="BB31" s="42">
        <v>527920</v>
      </c>
      <c r="BC31" s="48">
        <v>5.1999999999999998E-2</v>
      </c>
      <c r="BD31" s="49">
        <v>0.04</v>
      </c>
      <c r="BE31" s="50">
        <v>2.1</v>
      </c>
      <c r="BF31" s="51">
        <v>21</v>
      </c>
      <c r="BG31" s="49">
        <v>58.05</v>
      </c>
      <c r="BH31" s="49"/>
      <c r="BI31" s="49">
        <v>8.8000000000000007</v>
      </c>
      <c r="BJ31" s="42">
        <v>508583</v>
      </c>
      <c r="BK31" s="48">
        <v>4.9000000000000002E-2</v>
      </c>
      <c r="BL31" s="49">
        <v>0.04</v>
      </c>
      <c r="BM31" s="50">
        <v>2.1</v>
      </c>
      <c r="BN31" s="49">
        <v>21</v>
      </c>
      <c r="BO31" s="49">
        <v>56.3</v>
      </c>
      <c r="BP31" s="49"/>
      <c r="BQ31" s="49">
        <v>9.6</v>
      </c>
      <c r="BR31" s="42">
        <v>160278</v>
      </c>
      <c r="BS31" s="48">
        <v>5.0999999999999997E-2</v>
      </c>
      <c r="BT31" s="49">
        <v>0.04</v>
      </c>
      <c r="BU31" s="50">
        <v>2.2000000000000002</v>
      </c>
      <c r="BV31" s="51">
        <v>22</v>
      </c>
      <c r="BW31" s="49">
        <v>56.71</v>
      </c>
      <c r="BX31" s="49"/>
      <c r="BY31" s="49">
        <v>9.4</v>
      </c>
      <c r="BZ31" s="43"/>
      <c r="CA31" s="45"/>
      <c r="CB31" s="45"/>
      <c r="CC31" s="45"/>
      <c r="CD31" s="45"/>
      <c r="CE31" s="45"/>
      <c r="CF31" s="45"/>
      <c r="CG31" s="45"/>
      <c r="CH31" s="43"/>
      <c r="CI31" s="45"/>
      <c r="CJ31" s="45"/>
      <c r="CK31" s="45"/>
      <c r="CL31" s="45"/>
      <c r="CM31" s="45"/>
      <c r="CN31" s="45"/>
      <c r="CO31" s="45"/>
      <c r="CP31" s="42">
        <v>775939</v>
      </c>
      <c r="CQ31" s="48">
        <v>4.5999999999999999E-2</v>
      </c>
      <c r="CR31" s="49">
        <v>0.04</v>
      </c>
      <c r="CS31" s="50">
        <v>2.2000000000000002</v>
      </c>
      <c r="CT31" s="51">
        <v>22</v>
      </c>
      <c r="CU31" s="49">
        <v>51.97</v>
      </c>
      <c r="CV31" s="49">
        <v>0.33</v>
      </c>
      <c r="CW31" s="42">
        <v>277549</v>
      </c>
      <c r="CX31" s="48">
        <v>5.0999999999999997E-2</v>
      </c>
      <c r="CY31" s="49">
        <v>0.04</v>
      </c>
      <c r="CZ31" s="50">
        <v>2.1</v>
      </c>
      <c r="DA31" s="51">
        <v>21</v>
      </c>
      <c r="DB31" s="49">
        <v>51.74</v>
      </c>
      <c r="DC31" s="49">
        <v>0.3</v>
      </c>
      <c r="DD31" s="43"/>
      <c r="DE31" s="45"/>
      <c r="DF31" s="45"/>
      <c r="DG31" s="45"/>
      <c r="DH31" s="45"/>
      <c r="DI31" s="45"/>
      <c r="DJ31" s="45"/>
      <c r="DK31" s="45"/>
      <c r="DL31" s="38"/>
      <c r="DM31" s="43"/>
      <c r="DN31" s="45"/>
      <c r="DO31" s="45"/>
      <c r="DP31" s="45"/>
      <c r="DQ31" s="45"/>
      <c r="DR31" s="45"/>
      <c r="DS31" s="45"/>
      <c r="DT31" s="45"/>
      <c r="DU31" s="52"/>
      <c r="DV31" s="45"/>
      <c r="DW31" s="45"/>
      <c r="DX31" s="45"/>
      <c r="DY31" s="45"/>
      <c r="DZ31" s="45"/>
      <c r="EA31" s="45"/>
      <c r="EB31" s="45"/>
      <c r="EC31" s="45"/>
      <c r="ED31" s="38"/>
      <c r="EE31" s="43"/>
      <c r="EF31" s="45"/>
      <c r="EG31" s="45"/>
      <c r="EH31" s="45"/>
      <c r="EI31" s="45"/>
      <c r="EJ31" s="45"/>
      <c r="EK31" s="45"/>
      <c r="EL31" s="45"/>
      <c r="EM31" s="36"/>
      <c r="EN31" s="39"/>
      <c r="EO31" s="40">
        <f t="shared" si="4"/>
        <v>46048</v>
      </c>
      <c r="EP31" s="40">
        <v>45978</v>
      </c>
      <c r="EQ31" s="40">
        <v>46001</v>
      </c>
      <c r="ER31" s="40">
        <v>45930</v>
      </c>
      <c r="ES31" s="40">
        <v>46045</v>
      </c>
      <c r="ET31" s="40">
        <v>45992</v>
      </c>
      <c r="EU31" s="40">
        <v>46029</v>
      </c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</row>
    <row r="32" spans="2:181" x14ac:dyDescent="0.35">
      <c r="B32" s="41">
        <f t="shared" si="3"/>
        <v>46049</v>
      </c>
      <c r="C32" s="42">
        <v>657780</v>
      </c>
      <c r="D32" s="49">
        <v>5.16</v>
      </c>
      <c r="E32" s="49">
        <v>0.27</v>
      </c>
      <c r="F32" s="49">
        <v>1.9</v>
      </c>
      <c r="G32" s="49">
        <v>51.89</v>
      </c>
      <c r="H32" s="49">
        <v>2.33</v>
      </c>
      <c r="I32" s="49">
        <v>2.2000000000000002</v>
      </c>
      <c r="J32" s="49">
        <f t="shared" si="0"/>
        <v>6.86</v>
      </c>
      <c r="K32" s="42">
        <v>1843229</v>
      </c>
      <c r="L32" s="49">
        <v>4.8499999999999996</v>
      </c>
      <c r="M32" s="49">
        <v>0.25</v>
      </c>
      <c r="N32" s="49">
        <v>1.88</v>
      </c>
      <c r="O32" s="49">
        <v>51.91</v>
      </c>
      <c r="P32" s="49">
        <v>2.15</v>
      </c>
      <c r="Q32" s="49">
        <v>2.0499999999999998</v>
      </c>
      <c r="R32" s="49">
        <f t="shared" si="1"/>
        <v>6.35</v>
      </c>
      <c r="S32" s="42">
        <v>2573906</v>
      </c>
      <c r="T32" s="49">
        <v>5.05</v>
      </c>
      <c r="U32" s="49">
        <v>0.3</v>
      </c>
      <c r="V32" s="49">
        <v>1.9</v>
      </c>
      <c r="W32" s="49">
        <v>51.98</v>
      </c>
      <c r="X32" s="49">
        <v>2.1</v>
      </c>
      <c r="Y32" s="49">
        <v>2</v>
      </c>
      <c r="Z32" s="49">
        <f t="shared" si="2"/>
        <v>6.2</v>
      </c>
      <c r="AA32" s="42">
        <v>246383</v>
      </c>
      <c r="AB32" s="49">
        <v>86.93</v>
      </c>
      <c r="AC32" s="49">
        <v>0.37</v>
      </c>
      <c r="AD32" s="42">
        <v>529521</v>
      </c>
      <c r="AE32" s="48">
        <v>0.05</v>
      </c>
      <c r="AF32" s="49">
        <v>0.04</v>
      </c>
      <c r="AG32" s="50">
        <v>1.8</v>
      </c>
      <c r="AH32" s="51">
        <v>18</v>
      </c>
      <c r="AI32" s="49">
        <v>36.6</v>
      </c>
      <c r="AJ32" s="49"/>
      <c r="AK32" s="50">
        <v>50.2</v>
      </c>
      <c r="AL32" s="43"/>
      <c r="AM32" s="45"/>
      <c r="AN32" s="45"/>
      <c r="AO32" s="45"/>
      <c r="AP32" s="45"/>
      <c r="AQ32" s="45"/>
      <c r="AR32" s="45"/>
      <c r="AS32" s="45"/>
      <c r="AT32" s="42">
        <v>536860</v>
      </c>
      <c r="AU32" s="48">
        <v>6.5000000000000002E-2</v>
      </c>
      <c r="AV32" s="49">
        <v>0.05</v>
      </c>
      <c r="AW32" s="50">
        <v>2.1</v>
      </c>
      <c r="AX32" s="51">
        <v>21</v>
      </c>
      <c r="AY32" s="49">
        <v>56.17</v>
      </c>
      <c r="AZ32" s="49"/>
      <c r="BA32" s="50">
        <v>9.8000000000000007</v>
      </c>
      <c r="BB32" s="42">
        <v>527920</v>
      </c>
      <c r="BC32" s="48">
        <v>5.1999999999999998E-2</v>
      </c>
      <c r="BD32" s="49">
        <v>0.04</v>
      </c>
      <c r="BE32" s="50">
        <v>2.1</v>
      </c>
      <c r="BF32" s="51">
        <v>21</v>
      </c>
      <c r="BG32" s="49">
        <v>58.05</v>
      </c>
      <c r="BH32" s="49"/>
      <c r="BI32" s="49">
        <v>8.8000000000000007</v>
      </c>
      <c r="BJ32" s="42">
        <v>508583</v>
      </c>
      <c r="BK32" s="48">
        <v>4.9000000000000002E-2</v>
      </c>
      <c r="BL32" s="49">
        <v>0.04</v>
      </c>
      <c r="BM32" s="50">
        <v>2.1</v>
      </c>
      <c r="BN32" s="49">
        <v>21</v>
      </c>
      <c r="BO32" s="49">
        <v>56.3</v>
      </c>
      <c r="BP32" s="49"/>
      <c r="BQ32" s="49">
        <v>9.6</v>
      </c>
      <c r="BR32" s="42">
        <v>379102</v>
      </c>
      <c r="BS32" s="48">
        <v>5.1999999999999998E-2</v>
      </c>
      <c r="BT32" s="49">
        <v>0.04</v>
      </c>
      <c r="BU32" s="50">
        <v>2.2000000000000002</v>
      </c>
      <c r="BV32" s="51">
        <v>22</v>
      </c>
      <c r="BW32" s="49">
        <v>56.5</v>
      </c>
      <c r="BX32" s="49"/>
      <c r="BY32" s="49">
        <v>9.6</v>
      </c>
      <c r="BZ32" s="43"/>
      <c r="CA32" s="45"/>
      <c r="CB32" s="45"/>
      <c r="CC32" s="45"/>
      <c r="CD32" s="45"/>
      <c r="CE32" s="45"/>
      <c r="CF32" s="45"/>
      <c r="CG32" s="45"/>
      <c r="CH32" s="43"/>
      <c r="CI32" s="45"/>
      <c r="CJ32" s="45"/>
      <c r="CK32" s="45"/>
      <c r="CL32" s="45"/>
      <c r="CM32" s="45"/>
      <c r="CN32" s="45"/>
      <c r="CO32" s="45"/>
      <c r="CP32" s="42">
        <v>914824</v>
      </c>
      <c r="CQ32" s="48">
        <v>4.5999999999999999E-2</v>
      </c>
      <c r="CR32" s="49">
        <v>0.04</v>
      </c>
      <c r="CS32" s="50">
        <v>2.2000000000000002</v>
      </c>
      <c r="CT32" s="51">
        <v>22</v>
      </c>
      <c r="CU32" s="49">
        <v>51.91</v>
      </c>
      <c r="CV32" s="49">
        <v>0.3</v>
      </c>
      <c r="CW32" s="42">
        <v>105369</v>
      </c>
      <c r="CX32" s="48">
        <v>5.0999999999999997E-2</v>
      </c>
      <c r="CY32" s="49">
        <v>0.04</v>
      </c>
      <c r="CZ32" s="50">
        <v>2.1</v>
      </c>
      <c r="DA32" s="51">
        <v>21</v>
      </c>
      <c r="DB32" s="49">
        <v>51.74</v>
      </c>
      <c r="DC32" s="49">
        <v>0.3</v>
      </c>
      <c r="DD32" s="43"/>
      <c r="DE32" s="45"/>
      <c r="DF32" s="45"/>
      <c r="DG32" s="45"/>
      <c r="DH32" s="45"/>
      <c r="DI32" s="45"/>
      <c r="DJ32" s="45"/>
      <c r="DK32" s="45"/>
      <c r="DL32" s="38"/>
      <c r="DM32" s="43"/>
      <c r="DN32" s="45"/>
      <c r="DO32" s="45"/>
      <c r="DP32" s="45"/>
      <c r="DQ32" s="45"/>
      <c r="DR32" s="45"/>
      <c r="DS32" s="45"/>
      <c r="DT32" s="45"/>
      <c r="DU32" s="52"/>
      <c r="DV32" s="45"/>
      <c r="DW32" s="45"/>
      <c r="DX32" s="45"/>
      <c r="DY32" s="45"/>
      <c r="DZ32" s="45"/>
      <c r="EA32" s="45"/>
      <c r="EB32" s="45"/>
      <c r="EC32" s="45"/>
      <c r="ED32" s="38"/>
      <c r="EE32" s="43"/>
      <c r="EF32" s="45"/>
      <c r="EG32" s="45"/>
      <c r="EH32" s="45"/>
      <c r="EI32" s="45"/>
      <c r="EJ32" s="45"/>
      <c r="EK32" s="45"/>
      <c r="EL32" s="45"/>
      <c r="EM32" s="36"/>
      <c r="EN32" s="39"/>
      <c r="EO32" s="40">
        <f t="shared" si="4"/>
        <v>46049</v>
      </c>
      <c r="EP32" s="40">
        <v>45978</v>
      </c>
      <c r="EQ32" s="40">
        <v>46001</v>
      </c>
      <c r="ER32" s="40">
        <v>45930</v>
      </c>
      <c r="ES32" s="40">
        <v>46045</v>
      </c>
      <c r="ET32" s="40">
        <v>45992</v>
      </c>
      <c r="EU32" s="40">
        <v>46029</v>
      </c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</row>
    <row r="33" spans="1:181" x14ac:dyDescent="0.35">
      <c r="B33" s="41">
        <f t="shared" si="3"/>
        <v>46050</v>
      </c>
      <c r="C33" s="42">
        <v>657780</v>
      </c>
      <c r="D33" s="49">
        <v>5.16</v>
      </c>
      <c r="E33" s="49">
        <v>0.27</v>
      </c>
      <c r="F33" s="49">
        <v>1.9</v>
      </c>
      <c r="G33" s="49">
        <v>51.89</v>
      </c>
      <c r="H33" s="49">
        <v>2.33</v>
      </c>
      <c r="I33" s="49">
        <v>2.2000000000000002</v>
      </c>
      <c r="J33" s="49">
        <f t="shared" si="0"/>
        <v>6.86</v>
      </c>
      <c r="K33" s="42">
        <v>1843229</v>
      </c>
      <c r="L33" s="49">
        <v>4.8499999999999996</v>
      </c>
      <c r="M33" s="49">
        <v>0.25</v>
      </c>
      <c r="N33" s="49">
        <v>1.88</v>
      </c>
      <c r="O33" s="49">
        <v>51.91</v>
      </c>
      <c r="P33" s="49">
        <v>2.15</v>
      </c>
      <c r="Q33" s="49">
        <v>2.0499999999999998</v>
      </c>
      <c r="R33" s="49">
        <f t="shared" si="1"/>
        <v>6.35</v>
      </c>
      <c r="S33" s="42">
        <v>2573906</v>
      </c>
      <c r="T33" s="49">
        <v>5.05</v>
      </c>
      <c r="U33" s="49">
        <v>0.3</v>
      </c>
      <c r="V33" s="49">
        <v>1.9</v>
      </c>
      <c r="W33" s="49">
        <v>51.98</v>
      </c>
      <c r="X33" s="49">
        <v>2.1</v>
      </c>
      <c r="Y33" s="49">
        <v>2</v>
      </c>
      <c r="Z33" s="49">
        <f t="shared" si="2"/>
        <v>6.2</v>
      </c>
      <c r="AA33" s="42">
        <v>246383</v>
      </c>
      <c r="AB33" s="49">
        <v>86.9</v>
      </c>
      <c r="AC33" s="49">
        <v>0.37</v>
      </c>
      <c r="AD33" s="42">
        <v>529521</v>
      </c>
      <c r="AE33" s="48">
        <v>5.1999999999999998E-2</v>
      </c>
      <c r="AF33" s="49">
        <v>0.04</v>
      </c>
      <c r="AG33" s="50">
        <v>1.8</v>
      </c>
      <c r="AH33" s="51">
        <v>18</v>
      </c>
      <c r="AI33" s="49">
        <v>36.6</v>
      </c>
      <c r="AJ33" s="49"/>
      <c r="AK33" s="50">
        <v>50.2</v>
      </c>
      <c r="AL33" s="43"/>
      <c r="AM33" s="45"/>
      <c r="AN33" s="45"/>
      <c r="AO33" s="45"/>
      <c r="AP33" s="45"/>
      <c r="AQ33" s="45"/>
      <c r="AR33" s="45"/>
      <c r="AS33" s="45"/>
      <c r="AT33" s="42">
        <v>536860</v>
      </c>
      <c r="AU33" s="48">
        <v>6.8000000000000005E-2</v>
      </c>
      <c r="AV33" s="49">
        <v>0.05</v>
      </c>
      <c r="AW33" s="50">
        <v>2.1</v>
      </c>
      <c r="AX33" s="51">
        <v>21</v>
      </c>
      <c r="AY33" s="49">
        <v>56.17</v>
      </c>
      <c r="AZ33" s="49"/>
      <c r="BA33" s="50">
        <v>9.8000000000000007</v>
      </c>
      <c r="BB33" s="42">
        <v>527920</v>
      </c>
      <c r="BC33" s="48">
        <v>5.3999999999999999E-2</v>
      </c>
      <c r="BD33" s="49">
        <v>0.04</v>
      </c>
      <c r="BE33" s="50">
        <v>2.1</v>
      </c>
      <c r="BF33" s="51">
        <v>21</v>
      </c>
      <c r="BG33" s="49">
        <v>58</v>
      </c>
      <c r="BH33" s="49"/>
      <c r="BI33" s="49">
        <v>8.8000000000000007</v>
      </c>
      <c r="BJ33" s="42">
        <v>508583</v>
      </c>
      <c r="BK33" s="48">
        <v>0.05</v>
      </c>
      <c r="BL33" s="49">
        <v>0.04</v>
      </c>
      <c r="BM33" s="50">
        <v>2.1</v>
      </c>
      <c r="BN33" s="49">
        <v>21</v>
      </c>
      <c r="BO33" s="49">
        <v>56.3</v>
      </c>
      <c r="BP33" s="49"/>
      <c r="BQ33" s="49">
        <v>9.6</v>
      </c>
      <c r="BR33" s="42">
        <v>379102</v>
      </c>
      <c r="BS33" s="48">
        <v>5.1999999999999998E-2</v>
      </c>
      <c r="BT33" s="49">
        <v>0.04</v>
      </c>
      <c r="BU33" s="50">
        <v>2.2000000000000002</v>
      </c>
      <c r="BV33" s="51">
        <v>22</v>
      </c>
      <c r="BW33" s="49">
        <v>56.48</v>
      </c>
      <c r="BX33" s="49"/>
      <c r="BY33" s="49">
        <v>9.6</v>
      </c>
      <c r="BZ33" s="43"/>
      <c r="CA33" s="45"/>
      <c r="CB33" s="45"/>
      <c r="CC33" s="45"/>
      <c r="CD33" s="45"/>
      <c r="CE33" s="45"/>
      <c r="CF33" s="45"/>
      <c r="CG33" s="45"/>
      <c r="CH33" s="43"/>
      <c r="CI33" s="45"/>
      <c r="CJ33" s="45"/>
      <c r="CK33" s="45"/>
      <c r="CL33" s="45"/>
      <c r="CM33" s="45"/>
      <c r="CN33" s="45"/>
      <c r="CO33" s="45"/>
      <c r="CP33" s="42">
        <v>914824</v>
      </c>
      <c r="CQ33" s="48">
        <v>4.5999999999999999E-2</v>
      </c>
      <c r="CR33" s="49">
        <v>0.04</v>
      </c>
      <c r="CS33" s="50">
        <v>2.2000000000000002</v>
      </c>
      <c r="CT33" s="51">
        <v>22</v>
      </c>
      <c r="CU33" s="49">
        <v>51.91</v>
      </c>
      <c r="CV33" s="49">
        <v>0.3</v>
      </c>
      <c r="CW33" s="42">
        <v>105369</v>
      </c>
      <c r="CX33" s="48">
        <v>5.2999999999999999E-2</v>
      </c>
      <c r="CY33" s="49">
        <v>0.04</v>
      </c>
      <c r="CZ33" s="50">
        <v>2.1</v>
      </c>
      <c r="DA33" s="51">
        <v>21</v>
      </c>
      <c r="DB33" s="49">
        <v>51.74</v>
      </c>
      <c r="DC33" s="49">
        <v>0.3</v>
      </c>
      <c r="DD33" s="43"/>
      <c r="DE33" s="45"/>
      <c r="DF33" s="45"/>
      <c r="DG33" s="45"/>
      <c r="DH33" s="45"/>
      <c r="DI33" s="45"/>
      <c r="DJ33" s="45"/>
      <c r="DK33" s="45"/>
      <c r="DL33" s="38"/>
      <c r="DM33" s="43"/>
      <c r="DN33" s="45"/>
      <c r="DO33" s="45"/>
      <c r="DP33" s="45"/>
      <c r="DQ33" s="45"/>
      <c r="DR33" s="45"/>
      <c r="DS33" s="45"/>
      <c r="DT33" s="45"/>
      <c r="DU33" s="52"/>
      <c r="DV33" s="45"/>
      <c r="DW33" s="45"/>
      <c r="DX33" s="45"/>
      <c r="DY33" s="45"/>
      <c r="DZ33" s="45"/>
      <c r="EA33" s="45"/>
      <c r="EB33" s="45"/>
      <c r="EC33" s="45"/>
      <c r="ED33" s="38"/>
      <c r="EE33" s="43"/>
      <c r="EF33" s="45"/>
      <c r="EG33" s="45"/>
      <c r="EH33" s="45"/>
      <c r="EI33" s="45"/>
      <c r="EJ33" s="45"/>
      <c r="EK33" s="45"/>
      <c r="EL33" s="45"/>
      <c r="EM33" s="36"/>
      <c r="EN33" s="39"/>
      <c r="EO33" s="40">
        <f t="shared" si="4"/>
        <v>46050</v>
      </c>
      <c r="EP33" s="40">
        <v>45978</v>
      </c>
      <c r="EQ33" s="40">
        <v>46001</v>
      </c>
      <c r="ER33" s="40">
        <v>45930</v>
      </c>
      <c r="ES33" s="40">
        <v>46045</v>
      </c>
      <c r="ET33" s="40">
        <v>45992</v>
      </c>
      <c r="EU33" s="40">
        <v>46029</v>
      </c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</row>
    <row r="34" spans="1:181" x14ac:dyDescent="0.35">
      <c r="B34" s="41">
        <f t="shared" si="3"/>
        <v>46051</v>
      </c>
      <c r="C34" s="42">
        <v>657780</v>
      </c>
      <c r="D34" s="49">
        <v>5.16</v>
      </c>
      <c r="E34" s="49">
        <v>0.27</v>
      </c>
      <c r="F34" s="49">
        <v>1.9</v>
      </c>
      <c r="G34" s="49">
        <v>51.89</v>
      </c>
      <c r="H34" s="49">
        <v>2.33</v>
      </c>
      <c r="I34" s="49">
        <v>2.2000000000000002</v>
      </c>
      <c r="J34" s="49">
        <f t="shared" si="0"/>
        <v>6.86</v>
      </c>
      <c r="K34" s="42">
        <v>2015599</v>
      </c>
      <c r="L34" s="49">
        <v>4.9000000000000004</v>
      </c>
      <c r="M34" s="49">
        <v>0.28000000000000003</v>
      </c>
      <c r="N34" s="49">
        <v>1.86</v>
      </c>
      <c r="O34" s="49">
        <v>51.91</v>
      </c>
      <c r="P34" s="49">
        <v>2.15</v>
      </c>
      <c r="Q34" s="49">
        <v>2.0499999999999998</v>
      </c>
      <c r="R34" s="49">
        <f t="shared" si="1"/>
        <v>6.35</v>
      </c>
      <c r="S34" s="42">
        <v>2573906</v>
      </c>
      <c r="T34" s="49">
        <v>5.08</v>
      </c>
      <c r="U34" s="49">
        <v>0.3</v>
      </c>
      <c r="V34" s="49">
        <v>1.9</v>
      </c>
      <c r="W34" s="49">
        <v>51.98</v>
      </c>
      <c r="X34" s="49">
        <v>2.1</v>
      </c>
      <c r="Y34" s="49">
        <v>2</v>
      </c>
      <c r="Z34" s="49">
        <f t="shared" si="2"/>
        <v>6.2</v>
      </c>
      <c r="AA34" s="42">
        <v>246383</v>
      </c>
      <c r="AB34" s="49">
        <v>86.9</v>
      </c>
      <c r="AC34" s="49">
        <v>0.37</v>
      </c>
      <c r="AD34" s="42">
        <v>529521</v>
      </c>
      <c r="AE34" s="48">
        <v>5.2999999999999999E-2</v>
      </c>
      <c r="AF34" s="49">
        <v>0.04</v>
      </c>
      <c r="AG34" s="50">
        <v>1.8</v>
      </c>
      <c r="AH34" s="51">
        <v>18</v>
      </c>
      <c r="AI34" s="49">
        <v>36.6</v>
      </c>
      <c r="AJ34" s="49"/>
      <c r="AK34" s="50">
        <v>50.2</v>
      </c>
      <c r="AL34" s="43"/>
      <c r="AM34" s="45"/>
      <c r="AN34" s="45"/>
      <c r="AO34" s="45"/>
      <c r="AP34" s="45"/>
      <c r="AQ34" s="45"/>
      <c r="AR34" s="45"/>
      <c r="AS34" s="45"/>
      <c r="AT34" s="42">
        <v>536860</v>
      </c>
      <c r="AU34" s="48">
        <v>7.0000000000000007E-2</v>
      </c>
      <c r="AV34" s="49">
        <v>0.05</v>
      </c>
      <c r="AW34" s="50">
        <v>2.1</v>
      </c>
      <c r="AX34" s="51">
        <v>21</v>
      </c>
      <c r="AY34" s="49">
        <v>56.17</v>
      </c>
      <c r="AZ34" s="49"/>
      <c r="BA34" s="50">
        <v>9.8000000000000007</v>
      </c>
      <c r="BB34" s="42">
        <v>527920</v>
      </c>
      <c r="BC34" s="48">
        <v>5.6000000000000001E-2</v>
      </c>
      <c r="BD34" s="49">
        <v>0.04</v>
      </c>
      <c r="BE34" s="50">
        <v>2.1</v>
      </c>
      <c r="BF34" s="51">
        <v>21</v>
      </c>
      <c r="BG34" s="49">
        <v>57.9</v>
      </c>
      <c r="BH34" s="49"/>
      <c r="BI34" s="49">
        <v>9</v>
      </c>
      <c r="BJ34" s="42">
        <v>508583</v>
      </c>
      <c r="BK34" s="48">
        <v>0.05</v>
      </c>
      <c r="BL34" s="49">
        <v>0.04</v>
      </c>
      <c r="BM34" s="50">
        <v>2.1</v>
      </c>
      <c r="BN34" s="49">
        <v>21</v>
      </c>
      <c r="BO34" s="49">
        <v>56.3</v>
      </c>
      <c r="BP34" s="49"/>
      <c r="BQ34" s="49">
        <v>9.8000000000000007</v>
      </c>
      <c r="BR34" s="42">
        <v>379102</v>
      </c>
      <c r="BS34" s="48">
        <v>5.1999999999999998E-2</v>
      </c>
      <c r="BT34" s="49">
        <v>0.04</v>
      </c>
      <c r="BU34" s="50">
        <v>2.2000000000000002</v>
      </c>
      <c r="BV34" s="51">
        <v>22</v>
      </c>
      <c r="BW34" s="49">
        <v>56.48</v>
      </c>
      <c r="BX34" s="49"/>
      <c r="BY34" s="49">
        <v>9.8000000000000007</v>
      </c>
      <c r="BZ34" s="43"/>
      <c r="CA34" s="45"/>
      <c r="CB34" s="45"/>
      <c r="CC34" s="45"/>
      <c r="CD34" s="45"/>
      <c r="CE34" s="45"/>
      <c r="CF34" s="45"/>
      <c r="CG34" s="45"/>
      <c r="CH34" s="43"/>
      <c r="CI34" s="45"/>
      <c r="CJ34" s="45"/>
      <c r="CK34" s="45"/>
      <c r="CL34" s="45"/>
      <c r="CM34" s="45"/>
      <c r="CN34" s="45"/>
      <c r="CO34" s="45"/>
      <c r="CP34" s="42">
        <v>914824</v>
      </c>
      <c r="CQ34" s="48">
        <v>4.8000000000000001E-2</v>
      </c>
      <c r="CR34" s="49">
        <v>0.04</v>
      </c>
      <c r="CS34" s="50">
        <v>2.2000000000000002</v>
      </c>
      <c r="CT34" s="51">
        <v>22</v>
      </c>
      <c r="CU34" s="49">
        <v>51.91</v>
      </c>
      <c r="CV34" s="49">
        <v>0.3</v>
      </c>
      <c r="CW34" s="42">
        <v>105369</v>
      </c>
      <c r="CX34" s="48">
        <v>5.2999999999999999E-2</v>
      </c>
      <c r="CY34" s="49">
        <v>0.04</v>
      </c>
      <c r="CZ34" s="50">
        <v>2.1</v>
      </c>
      <c r="DA34" s="51">
        <v>21</v>
      </c>
      <c r="DB34" s="49">
        <v>51.74</v>
      </c>
      <c r="DC34" s="49">
        <v>0.3</v>
      </c>
      <c r="DD34" s="43"/>
      <c r="DE34" s="45"/>
      <c r="DF34" s="45"/>
      <c r="DG34" s="45"/>
      <c r="DH34" s="45"/>
      <c r="DI34" s="45"/>
      <c r="DJ34" s="45"/>
      <c r="DK34" s="45"/>
      <c r="DL34" s="38"/>
      <c r="DM34" s="43"/>
      <c r="DN34" s="45"/>
      <c r="DO34" s="45"/>
      <c r="DP34" s="45"/>
      <c r="DQ34" s="45"/>
      <c r="DR34" s="45"/>
      <c r="DS34" s="45"/>
      <c r="DT34" s="45"/>
      <c r="DU34" s="52"/>
      <c r="DV34" s="45"/>
      <c r="DW34" s="45"/>
      <c r="DX34" s="45"/>
      <c r="DY34" s="45"/>
      <c r="DZ34" s="45"/>
      <c r="EA34" s="45"/>
      <c r="EB34" s="45"/>
      <c r="EC34" s="45"/>
      <c r="ED34" s="38"/>
      <c r="EE34" s="43"/>
      <c r="EF34" s="45"/>
      <c r="EG34" s="45"/>
      <c r="EH34" s="45"/>
      <c r="EI34" s="45"/>
      <c r="EJ34" s="45"/>
      <c r="EK34" s="45"/>
      <c r="EL34" s="45"/>
      <c r="EM34" s="36"/>
      <c r="EN34" s="39"/>
      <c r="EO34" s="40">
        <f t="shared" si="4"/>
        <v>46051</v>
      </c>
      <c r="EP34" s="40">
        <v>45978</v>
      </c>
      <c r="EQ34" s="40">
        <v>46001</v>
      </c>
      <c r="ER34" s="40">
        <v>45930</v>
      </c>
      <c r="ES34" s="40">
        <v>46051</v>
      </c>
      <c r="ET34" s="40">
        <v>45992</v>
      </c>
      <c r="EU34" s="40">
        <v>46029</v>
      </c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</row>
    <row r="35" spans="1:181" x14ac:dyDescent="0.35">
      <c r="B35" s="41">
        <f t="shared" si="3"/>
        <v>46052</v>
      </c>
      <c r="C35" s="42">
        <v>657780</v>
      </c>
      <c r="D35" s="49">
        <v>5.19</v>
      </c>
      <c r="E35" s="49">
        <v>0.27</v>
      </c>
      <c r="F35" s="49">
        <v>1.9</v>
      </c>
      <c r="G35" s="49">
        <v>51.89</v>
      </c>
      <c r="H35" s="49">
        <v>2.33</v>
      </c>
      <c r="I35" s="49">
        <v>2.2000000000000002</v>
      </c>
      <c r="J35" s="49">
        <f t="shared" si="0"/>
        <v>6.86</v>
      </c>
      <c r="K35" s="42">
        <v>2254729</v>
      </c>
      <c r="L35" s="49">
        <v>4.8</v>
      </c>
      <c r="M35" s="49">
        <v>0.26</v>
      </c>
      <c r="N35" s="49">
        <v>1.86</v>
      </c>
      <c r="O35" s="49">
        <v>51.9</v>
      </c>
      <c r="P35" s="49">
        <v>2.1</v>
      </c>
      <c r="Q35" s="49">
        <v>2</v>
      </c>
      <c r="R35" s="49">
        <f t="shared" si="1"/>
        <v>6.2</v>
      </c>
      <c r="S35" s="42">
        <v>2573906</v>
      </c>
      <c r="T35" s="49">
        <v>5.08</v>
      </c>
      <c r="U35" s="49">
        <v>0.3</v>
      </c>
      <c r="V35" s="49">
        <v>1.9</v>
      </c>
      <c r="W35" s="49">
        <v>51.98</v>
      </c>
      <c r="X35" s="49">
        <v>2.1</v>
      </c>
      <c r="Y35" s="49">
        <v>2</v>
      </c>
      <c r="Z35" s="49">
        <f t="shared" si="2"/>
        <v>6.2</v>
      </c>
      <c r="AA35" s="42">
        <v>246383</v>
      </c>
      <c r="AB35" s="49">
        <v>86.9</v>
      </c>
      <c r="AC35" s="49">
        <v>0.37</v>
      </c>
      <c r="AD35" s="42">
        <v>529521</v>
      </c>
      <c r="AE35" s="48">
        <v>5.2999999999999999E-2</v>
      </c>
      <c r="AF35" s="49">
        <v>0.04</v>
      </c>
      <c r="AG35" s="50">
        <v>1.8</v>
      </c>
      <c r="AH35" s="51">
        <v>18</v>
      </c>
      <c r="AI35" s="49">
        <v>36.6</v>
      </c>
      <c r="AJ35" s="49"/>
      <c r="AK35" s="50">
        <v>50.2</v>
      </c>
      <c r="AL35" s="43"/>
      <c r="AM35" s="45"/>
      <c r="AN35" s="45"/>
      <c r="AO35" s="45"/>
      <c r="AP35" s="45"/>
      <c r="AQ35" s="45"/>
      <c r="AR35" s="45"/>
      <c r="AS35" s="45"/>
      <c r="AT35" s="42">
        <v>536860</v>
      </c>
      <c r="AU35" s="48">
        <v>7.2999999999999995E-2</v>
      </c>
      <c r="AV35" s="49">
        <v>0.05</v>
      </c>
      <c r="AW35" s="50">
        <v>2.1</v>
      </c>
      <c r="AX35" s="51">
        <v>21</v>
      </c>
      <c r="AY35" s="49">
        <v>56.17</v>
      </c>
      <c r="AZ35" s="49"/>
      <c r="BA35" s="50">
        <v>9.8000000000000007</v>
      </c>
      <c r="BB35" s="42">
        <v>527920</v>
      </c>
      <c r="BC35" s="48">
        <v>5.7000000000000002E-2</v>
      </c>
      <c r="BD35" s="49">
        <v>0.04</v>
      </c>
      <c r="BE35" s="50">
        <v>2.1</v>
      </c>
      <c r="BF35" s="51">
        <v>21</v>
      </c>
      <c r="BG35" s="49">
        <v>57.9</v>
      </c>
      <c r="BH35" s="49"/>
      <c r="BI35" s="49">
        <v>9</v>
      </c>
      <c r="BJ35" s="42">
        <v>508583</v>
      </c>
      <c r="BK35" s="48">
        <v>5.1999999999999998E-2</v>
      </c>
      <c r="BL35" s="49">
        <v>0.04</v>
      </c>
      <c r="BM35" s="50">
        <v>2.1</v>
      </c>
      <c r="BN35" s="49">
        <v>21</v>
      </c>
      <c r="BO35" s="49">
        <v>56.3</v>
      </c>
      <c r="BP35" s="49"/>
      <c r="BQ35" s="49">
        <v>9.8000000000000007</v>
      </c>
      <c r="BR35" s="42">
        <v>379102</v>
      </c>
      <c r="BS35" s="48">
        <v>5.2999999999999999E-2</v>
      </c>
      <c r="BT35" s="49">
        <v>0.04</v>
      </c>
      <c r="BU35" s="50">
        <v>2.2000000000000002</v>
      </c>
      <c r="BV35" s="51">
        <v>22</v>
      </c>
      <c r="BW35" s="49">
        <v>56.48</v>
      </c>
      <c r="BX35" s="49"/>
      <c r="BY35" s="49">
        <v>9.8000000000000007</v>
      </c>
      <c r="BZ35" s="43"/>
      <c r="CA35" s="45"/>
      <c r="CB35" s="45"/>
      <c r="CC35" s="45"/>
      <c r="CD35" s="45"/>
      <c r="CE35" s="45"/>
      <c r="CF35" s="45"/>
      <c r="CG35" s="45"/>
      <c r="CH35" s="43"/>
      <c r="CI35" s="45"/>
      <c r="CJ35" s="45"/>
      <c r="CK35" s="45"/>
      <c r="CL35" s="45"/>
      <c r="CM35" s="45"/>
      <c r="CN35" s="45"/>
      <c r="CO35" s="45"/>
      <c r="CP35" s="42">
        <v>914824</v>
      </c>
      <c r="CQ35" s="48">
        <v>4.9000000000000002E-2</v>
      </c>
      <c r="CR35" s="49">
        <v>0.04</v>
      </c>
      <c r="CS35" s="50">
        <v>2.2000000000000002</v>
      </c>
      <c r="CT35" s="51">
        <v>22</v>
      </c>
      <c r="CU35" s="49">
        <v>51.91</v>
      </c>
      <c r="CV35" s="49">
        <v>0.3</v>
      </c>
      <c r="CW35" s="42">
        <v>105369</v>
      </c>
      <c r="CX35" s="48">
        <v>5.3999999999999999E-2</v>
      </c>
      <c r="CY35" s="49">
        <v>0.04</v>
      </c>
      <c r="CZ35" s="50">
        <v>2.1</v>
      </c>
      <c r="DA35" s="51">
        <v>21</v>
      </c>
      <c r="DB35" s="49">
        <v>51.74</v>
      </c>
      <c r="DC35" s="49">
        <v>0.3</v>
      </c>
      <c r="DD35" s="43"/>
      <c r="DE35" s="45"/>
      <c r="DF35" s="45"/>
      <c r="DG35" s="45"/>
      <c r="DH35" s="45"/>
      <c r="DI35" s="45"/>
      <c r="DJ35" s="45"/>
      <c r="DK35" s="45"/>
      <c r="DL35" s="38"/>
      <c r="DM35" s="43"/>
      <c r="DN35" s="45"/>
      <c r="DO35" s="45"/>
      <c r="DP35" s="45"/>
      <c r="DQ35" s="45"/>
      <c r="DR35" s="45"/>
      <c r="DS35" s="45"/>
      <c r="DT35" s="45"/>
      <c r="DU35" s="52"/>
      <c r="DV35" s="45"/>
      <c r="DW35" s="45"/>
      <c r="DX35" s="45"/>
      <c r="DY35" s="45"/>
      <c r="DZ35" s="45"/>
      <c r="EA35" s="45"/>
      <c r="EB35" s="45"/>
      <c r="EC35" s="45"/>
      <c r="ED35" s="38"/>
      <c r="EE35" s="43"/>
      <c r="EF35" s="45"/>
      <c r="EG35" s="45"/>
      <c r="EH35" s="45"/>
      <c r="EI35" s="45"/>
      <c r="EJ35" s="45"/>
      <c r="EK35" s="45"/>
      <c r="EL35" s="45"/>
      <c r="EM35" s="36"/>
      <c r="EN35" s="39"/>
      <c r="EO35" s="40">
        <f t="shared" si="4"/>
        <v>46052</v>
      </c>
      <c r="EP35" s="40">
        <v>45978</v>
      </c>
      <c r="EQ35" s="40">
        <v>46001</v>
      </c>
      <c r="ER35" s="40">
        <v>45930</v>
      </c>
      <c r="ES35" s="40">
        <v>46052</v>
      </c>
      <c r="ET35" s="40">
        <v>45992</v>
      </c>
      <c r="EU35" s="40">
        <v>46029</v>
      </c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</row>
    <row r="36" spans="1:181" x14ac:dyDescent="0.35">
      <c r="B36" s="41">
        <f t="shared" si="3"/>
        <v>46053</v>
      </c>
      <c r="C36" s="42">
        <v>657780</v>
      </c>
      <c r="D36" s="49">
        <v>5.19</v>
      </c>
      <c r="E36" s="49">
        <v>0.27</v>
      </c>
      <c r="F36" s="49">
        <v>1.9</v>
      </c>
      <c r="G36" s="49">
        <v>51.89</v>
      </c>
      <c r="H36" s="49">
        <v>2.33</v>
      </c>
      <c r="I36" s="49">
        <v>2.2000000000000002</v>
      </c>
      <c r="J36" s="49">
        <f t="shared" si="0"/>
        <v>6.86</v>
      </c>
      <c r="K36" s="42">
        <v>2412069</v>
      </c>
      <c r="L36" s="49">
        <v>4.82</v>
      </c>
      <c r="M36" s="49">
        <v>0.26454501923452445</v>
      </c>
      <c r="N36" s="49">
        <v>1.8768604629469556</v>
      </c>
      <c r="O36" s="49">
        <v>51.898936431752155</v>
      </c>
      <c r="P36" s="49">
        <v>2.1002410378807577</v>
      </c>
      <c r="Q36" s="49">
        <v>2.0002410378807571</v>
      </c>
      <c r="R36" s="49">
        <f t="shared" si="1"/>
        <v>6.2007231136422725</v>
      </c>
      <c r="S36" s="42">
        <v>2573906</v>
      </c>
      <c r="T36" s="49">
        <v>5.0999999999999996</v>
      </c>
      <c r="U36" s="49">
        <v>0.3</v>
      </c>
      <c r="V36" s="49">
        <v>1.9</v>
      </c>
      <c r="W36" s="49">
        <v>51.98</v>
      </c>
      <c r="X36" s="49">
        <v>2.1</v>
      </c>
      <c r="Y36" s="49">
        <v>2</v>
      </c>
      <c r="Z36" s="49">
        <f t="shared" si="2"/>
        <v>6.2</v>
      </c>
      <c r="AA36" s="42">
        <v>246383</v>
      </c>
      <c r="AB36" s="49">
        <v>86.9</v>
      </c>
      <c r="AC36" s="49">
        <v>0.37</v>
      </c>
      <c r="AD36" s="42">
        <v>529521</v>
      </c>
      <c r="AE36" s="48">
        <v>5.5E-2</v>
      </c>
      <c r="AF36" s="49">
        <v>0.04</v>
      </c>
      <c r="AG36" s="50">
        <v>1.8</v>
      </c>
      <c r="AH36" s="51">
        <v>18</v>
      </c>
      <c r="AI36" s="49">
        <v>36.6</v>
      </c>
      <c r="AJ36" s="49"/>
      <c r="AK36" s="50">
        <v>50.2</v>
      </c>
      <c r="AL36" s="43"/>
      <c r="AM36" s="45"/>
      <c r="AN36" s="45"/>
      <c r="AO36" s="45"/>
      <c r="AP36" s="45"/>
      <c r="AQ36" s="45"/>
      <c r="AR36" s="45"/>
      <c r="AS36" s="45"/>
      <c r="AT36" s="42">
        <v>536860</v>
      </c>
      <c r="AU36" s="48">
        <v>7.2999999999999995E-2</v>
      </c>
      <c r="AV36" s="49">
        <v>0.05</v>
      </c>
      <c r="AW36" s="50">
        <v>2.1</v>
      </c>
      <c r="AX36" s="51">
        <v>21</v>
      </c>
      <c r="AY36" s="49">
        <v>56.17</v>
      </c>
      <c r="AZ36" s="49"/>
      <c r="BA36" s="50">
        <v>9.8000000000000007</v>
      </c>
      <c r="BB36" s="42">
        <v>527920</v>
      </c>
      <c r="BC36" s="48">
        <v>5.7000000000000002E-2</v>
      </c>
      <c r="BD36" s="49">
        <v>0.04</v>
      </c>
      <c r="BE36" s="50">
        <v>2.1</v>
      </c>
      <c r="BF36" s="51">
        <v>21</v>
      </c>
      <c r="BG36" s="49">
        <v>57.9</v>
      </c>
      <c r="BH36" s="49"/>
      <c r="BI36" s="49">
        <v>9</v>
      </c>
      <c r="BJ36" s="42">
        <v>508583</v>
      </c>
      <c r="BK36" s="48">
        <v>5.1999999999999998E-2</v>
      </c>
      <c r="BL36" s="49">
        <v>0.04</v>
      </c>
      <c r="BM36" s="50">
        <v>2.1</v>
      </c>
      <c r="BN36" s="49">
        <v>21</v>
      </c>
      <c r="BO36" s="49">
        <v>56.3</v>
      </c>
      <c r="BP36" s="49"/>
      <c r="BQ36" s="49">
        <v>9.8000000000000007</v>
      </c>
      <c r="BR36" s="42">
        <v>379102</v>
      </c>
      <c r="BS36" s="48">
        <v>5.2999999999999999E-2</v>
      </c>
      <c r="BT36" s="49">
        <v>0.04</v>
      </c>
      <c r="BU36" s="50">
        <v>2.2000000000000002</v>
      </c>
      <c r="BV36" s="51">
        <v>22</v>
      </c>
      <c r="BW36" s="49">
        <v>56.48</v>
      </c>
      <c r="BX36" s="49"/>
      <c r="BY36" s="49">
        <v>9.8000000000000007</v>
      </c>
      <c r="BZ36" s="43"/>
      <c r="CA36" s="45"/>
      <c r="CB36" s="45"/>
      <c r="CC36" s="45"/>
      <c r="CD36" s="45"/>
      <c r="CE36" s="45"/>
      <c r="CF36" s="45"/>
      <c r="CG36" s="45"/>
      <c r="CH36" s="43"/>
      <c r="CI36" s="45"/>
      <c r="CJ36" s="45"/>
      <c r="CK36" s="45"/>
      <c r="CL36" s="45"/>
      <c r="CM36" s="45"/>
      <c r="CN36" s="45"/>
      <c r="CO36" s="45"/>
      <c r="CP36" s="42">
        <v>914824</v>
      </c>
      <c r="CQ36" s="48">
        <v>4.9000000000000002E-2</v>
      </c>
      <c r="CR36" s="49">
        <v>0.04</v>
      </c>
      <c r="CS36" s="50">
        <v>2.2000000000000002</v>
      </c>
      <c r="CT36" s="51">
        <v>22</v>
      </c>
      <c r="CU36" s="49">
        <v>51.91</v>
      </c>
      <c r="CV36" s="49">
        <v>0.3</v>
      </c>
      <c r="CW36" s="42">
        <v>105369</v>
      </c>
      <c r="CX36" s="48">
        <v>5.3999999999999999E-2</v>
      </c>
      <c r="CY36" s="49">
        <v>0.04</v>
      </c>
      <c r="CZ36" s="50">
        <v>2.1</v>
      </c>
      <c r="DA36" s="51">
        <v>21</v>
      </c>
      <c r="DB36" s="49">
        <v>51.74</v>
      </c>
      <c r="DC36" s="49">
        <v>0.3</v>
      </c>
      <c r="DD36" s="43"/>
      <c r="DE36" s="45"/>
      <c r="DF36" s="45"/>
      <c r="DG36" s="45"/>
      <c r="DH36" s="45"/>
      <c r="DI36" s="45"/>
      <c r="DJ36" s="45"/>
      <c r="DK36" s="45"/>
      <c r="DL36" s="38"/>
      <c r="DM36" s="43"/>
      <c r="DN36" s="45"/>
      <c r="DO36" s="45"/>
      <c r="DP36" s="45"/>
      <c r="DQ36" s="45"/>
      <c r="DR36" s="45"/>
      <c r="DS36" s="45"/>
      <c r="DT36" s="45"/>
      <c r="DU36" s="52"/>
      <c r="DV36" s="45"/>
      <c r="DW36" s="45"/>
      <c r="DX36" s="45"/>
      <c r="DY36" s="45"/>
      <c r="DZ36" s="45"/>
      <c r="EA36" s="45"/>
      <c r="EB36" s="45"/>
      <c r="EC36" s="45"/>
      <c r="ED36" s="38"/>
      <c r="EE36" s="43"/>
      <c r="EF36" s="45"/>
      <c r="EG36" s="45"/>
      <c r="EH36" s="45"/>
      <c r="EI36" s="45"/>
      <c r="EJ36" s="45"/>
      <c r="EK36" s="45"/>
      <c r="EL36" s="45"/>
      <c r="EM36" s="38"/>
      <c r="EN36" s="39"/>
      <c r="EO36" s="40">
        <f t="shared" si="4"/>
        <v>46053</v>
      </c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</row>
    <row r="37" spans="1:181" hidden="1" x14ac:dyDescent="0.35">
      <c r="B37" s="41">
        <f t="shared" si="3"/>
        <v>46054</v>
      </c>
      <c r="C37" s="42">
        <v>651780</v>
      </c>
      <c r="D37" s="49">
        <v>5.2</v>
      </c>
      <c r="E37" s="49">
        <v>0.27</v>
      </c>
      <c r="F37" s="49">
        <v>1.9</v>
      </c>
      <c r="G37" s="49">
        <v>51.89</v>
      </c>
      <c r="H37" s="49">
        <v>2.33</v>
      </c>
      <c r="I37" s="49">
        <v>2.2000000000000002</v>
      </c>
      <c r="J37" s="49">
        <v>6.86</v>
      </c>
      <c r="K37" s="54">
        <v>2525919</v>
      </c>
      <c r="L37" s="55">
        <v>4.8109854591536783</v>
      </c>
      <c r="M37" s="55">
        <v>0.26388943588452368</v>
      </c>
      <c r="N37" s="55">
        <v>1.8914252357260863</v>
      </c>
      <c r="O37" s="55">
        <v>51.89898436964922</v>
      </c>
      <c r="P37" s="55">
        <v>2.1002301736516498</v>
      </c>
      <c r="Q37" s="55">
        <v>2.0002301736516492</v>
      </c>
      <c r="R37" s="49">
        <v>6.2006905209549483</v>
      </c>
      <c r="S37" s="42">
        <v>2573906</v>
      </c>
      <c r="T37" s="49">
        <v>5.0999999999999996</v>
      </c>
      <c r="U37" s="49">
        <v>0.3</v>
      </c>
      <c r="V37" s="49">
        <v>1.9</v>
      </c>
      <c r="W37" s="49">
        <v>51.98</v>
      </c>
      <c r="X37" s="49">
        <v>2.1</v>
      </c>
      <c r="Y37" s="49">
        <v>2</v>
      </c>
      <c r="Z37" s="49">
        <v>6.2</v>
      </c>
      <c r="AA37" s="42">
        <v>246383</v>
      </c>
      <c r="AB37" s="49">
        <v>86.9</v>
      </c>
      <c r="AC37" s="49">
        <v>0.37</v>
      </c>
      <c r="AD37" s="42">
        <v>529521</v>
      </c>
      <c r="AE37" s="48">
        <v>5.5E-2</v>
      </c>
      <c r="AF37" s="49">
        <v>0.04</v>
      </c>
      <c r="AG37" s="50">
        <v>1.8</v>
      </c>
      <c r="AH37" s="51">
        <v>18</v>
      </c>
      <c r="AI37" s="49">
        <v>36.6</v>
      </c>
      <c r="AJ37" s="49"/>
      <c r="AK37" s="50">
        <v>50.2</v>
      </c>
      <c r="AL37" s="54"/>
      <c r="AM37" s="55"/>
      <c r="AN37" s="55"/>
      <c r="AO37" s="55"/>
      <c r="AP37" s="55"/>
      <c r="AQ37" s="55"/>
      <c r="AR37" s="55"/>
      <c r="AS37" s="55"/>
      <c r="AT37" s="42">
        <v>536860</v>
      </c>
      <c r="AU37" s="48">
        <v>7.2999999999999995E-2</v>
      </c>
      <c r="AV37" s="49">
        <v>0.05</v>
      </c>
      <c r="AW37" s="50">
        <v>2.1</v>
      </c>
      <c r="AX37" s="51">
        <v>21</v>
      </c>
      <c r="AY37" s="49">
        <v>56.17</v>
      </c>
      <c r="AZ37" s="49"/>
      <c r="BA37" s="50">
        <v>9.8000000000000007</v>
      </c>
      <c r="BB37" s="42">
        <v>527920</v>
      </c>
      <c r="BC37" s="48">
        <v>5.7000000000000002E-2</v>
      </c>
      <c r="BD37" s="49">
        <v>0.04</v>
      </c>
      <c r="BE37" s="49">
        <v>2.1</v>
      </c>
      <c r="BF37" s="51">
        <v>21</v>
      </c>
      <c r="BG37" s="49">
        <v>57.9</v>
      </c>
      <c r="BH37" s="49"/>
      <c r="BI37" s="49">
        <v>9</v>
      </c>
      <c r="BJ37" s="42">
        <v>508583</v>
      </c>
      <c r="BK37" s="48">
        <v>5.1999999999999998E-2</v>
      </c>
      <c r="BL37" s="49">
        <v>0.04</v>
      </c>
      <c r="BM37" s="49">
        <v>2.1</v>
      </c>
      <c r="BN37" s="49">
        <v>21</v>
      </c>
      <c r="BO37" s="49">
        <v>56.3</v>
      </c>
      <c r="BP37" s="49"/>
      <c r="BQ37" s="49">
        <v>9.8000000000000007</v>
      </c>
      <c r="BR37" s="42">
        <v>379102</v>
      </c>
      <c r="BS37" s="48">
        <v>5.2999999999999999E-2</v>
      </c>
      <c r="BT37" s="49">
        <v>0.04</v>
      </c>
      <c r="BU37" s="50">
        <v>2.2000000000000002</v>
      </c>
      <c r="BV37" s="51">
        <v>22</v>
      </c>
      <c r="BW37" s="49">
        <v>56.48</v>
      </c>
      <c r="BX37" s="49"/>
      <c r="BY37" s="49">
        <v>9.8000000000000007</v>
      </c>
      <c r="BZ37" s="54"/>
      <c r="CA37" s="55"/>
      <c r="CB37" s="55"/>
      <c r="CC37" s="55"/>
      <c r="CD37" s="55"/>
      <c r="CE37" s="55"/>
      <c r="CF37" s="55"/>
      <c r="CG37" s="55"/>
      <c r="CH37" s="54"/>
      <c r="CI37" s="55"/>
      <c r="CJ37" s="55"/>
      <c r="CK37" s="55"/>
      <c r="CL37" s="55"/>
      <c r="CM37" s="55"/>
      <c r="CN37" s="55"/>
      <c r="CO37" s="55"/>
      <c r="CP37" s="42">
        <v>914824</v>
      </c>
      <c r="CQ37" s="48">
        <v>0.05</v>
      </c>
      <c r="CR37" s="49">
        <v>0.04</v>
      </c>
      <c r="CS37" s="50">
        <v>2.2000000000000002</v>
      </c>
      <c r="CT37" s="51">
        <v>22</v>
      </c>
      <c r="CU37" s="49">
        <v>51.91</v>
      </c>
      <c r="CV37" s="49">
        <v>0.3</v>
      </c>
      <c r="CW37" s="42">
        <v>105369</v>
      </c>
      <c r="CX37" s="48">
        <v>5.5E-2</v>
      </c>
      <c r="CY37" s="49">
        <v>0.04</v>
      </c>
      <c r="CZ37" s="50">
        <v>2.1</v>
      </c>
      <c r="DA37" s="51">
        <v>21</v>
      </c>
      <c r="DB37" s="49">
        <v>51.74</v>
      </c>
      <c r="DC37" s="49">
        <v>0.3</v>
      </c>
      <c r="DD37" s="54"/>
      <c r="DE37" s="55"/>
      <c r="DF37" s="55"/>
      <c r="DG37" s="55"/>
      <c r="DH37" s="55"/>
      <c r="DI37" s="55"/>
      <c r="DJ37" s="55"/>
      <c r="DK37" s="55"/>
      <c r="DL37" s="56"/>
      <c r="DM37" s="54"/>
      <c r="DN37" s="55"/>
      <c r="DO37" s="55"/>
      <c r="DP37" s="55"/>
      <c r="DQ37" s="55"/>
      <c r="DR37" s="55"/>
      <c r="DS37" s="55"/>
      <c r="DT37" s="55"/>
      <c r="DU37" s="57"/>
      <c r="DV37" s="55"/>
      <c r="DW37" s="55"/>
      <c r="DX37" s="55"/>
      <c r="DY37" s="55"/>
      <c r="DZ37" s="55"/>
      <c r="EA37" s="55"/>
      <c r="EB37" s="55"/>
      <c r="EC37" s="55"/>
      <c r="ED37" s="56"/>
      <c r="EE37" s="54"/>
      <c r="EF37" s="55"/>
      <c r="EG37" s="55"/>
      <c r="EH37" s="55"/>
      <c r="EI37" s="55"/>
      <c r="EJ37" s="55"/>
      <c r="EK37" s="55"/>
      <c r="EL37" s="55"/>
      <c r="EM37" s="58"/>
      <c r="EN37" s="39"/>
      <c r="EO37" s="40">
        <f>EO36+1</f>
        <v>46054</v>
      </c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</row>
    <row r="38" spans="1:181" s="12" customFormat="1" ht="17" hidden="1" customHeight="1" thickBot="1" x14ac:dyDescent="0.4">
      <c r="A38" s="3"/>
      <c r="B38" s="59"/>
      <c r="C38" s="60"/>
      <c r="D38" s="61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0"/>
      <c r="T38" s="61"/>
      <c r="U38" s="61"/>
      <c r="V38" s="61"/>
      <c r="W38" s="61"/>
      <c r="X38" s="61"/>
      <c r="Y38" s="61"/>
      <c r="Z38" s="61"/>
      <c r="AA38" s="60"/>
      <c r="AB38" s="61"/>
      <c r="AC38" s="61"/>
      <c r="AD38" s="60"/>
      <c r="AE38" s="62"/>
      <c r="AF38" s="61"/>
      <c r="AG38" s="63"/>
      <c r="AH38" s="64"/>
      <c r="AI38" s="61"/>
      <c r="AJ38" s="61"/>
      <c r="AK38" s="63"/>
      <c r="AL38" s="60"/>
      <c r="AM38" s="61"/>
      <c r="AN38" s="61"/>
      <c r="AO38" s="61"/>
      <c r="AP38" s="61"/>
      <c r="AQ38" s="61"/>
      <c r="AR38" s="61"/>
      <c r="AS38" s="61"/>
      <c r="AT38" s="60"/>
      <c r="AU38" s="62"/>
      <c r="AV38" s="61"/>
      <c r="AW38" s="63"/>
      <c r="AX38" s="64"/>
      <c r="AY38" s="61"/>
      <c r="AZ38" s="61"/>
      <c r="BA38" s="63"/>
      <c r="BB38" s="60"/>
      <c r="BC38" s="62"/>
      <c r="BD38" s="61"/>
      <c r="BE38" s="61"/>
      <c r="BF38" s="61"/>
      <c r="BG38" s="61"/>
      <c r="BH38" s="61"/>
      <c r="BI38" s="61"/>
      <c r="BJ38" s="60"/>
      <c r="BK38" s="61"/>
      <c r="BL38" s="61"/>
      <c r="BM38" s="61"/>
      <c r="BN38" s="61"/>
      <c r="BO38" s="61"/>
      <c r="BP38" s="61"/>
      <c r="BQ38" s="61"/>
      <c r="BR38" s="60"/>
      <c r="BS38" s="62"/>
      <c r="BT38" s="61"/>
      <c r="BU38" s="63"/>
      <c r="BV38" s="64"/>
      <c r="BW38" s="61"/>
      <c r="BX38" s="61"/>
      <c r="BY38" s="61"/>
      <c r="BZ38" s="60"/>
      <c r="CA38" s="61"/>
      <c r="CB38" s="61"/>
      <c r="CC38" s="61"/>
      <c r="CD38" s="61"/>
      <c r="CE38" s="61"/>
      <c r="CF38" s="61"/>
      <c r="CG38" s="61"/>
      <c r="CH38" s="60"/>
      <c r="CI38" s="61"/>
      <c r="CJ38" s="61"/>
      <c r="CK38" s="61"/>
      <c r="CL38" s="61"/>
      <c r="CM38" s="61"/>
      <c r="CN38" s="61"/>
      <c r="CO38" s="61"/>
      <c r="CP38" s="60"/>
      <c r="CQ38" s="62"/>
      <c r="CR38" s="61"/>
      <c r="CS38" s="63"/>
      <c r="CT38" s="64"/>
      <c r="CU38" s="61"/>
      <c r="CV38" s="61"/>
      <c r="CW38" s="60"/>
      <c r="CX38" s="62"/>
      <c r="CY38" s="61"/>
      <c r="CZ38" s="63"/>
      <c r="DA38" s="64"/>
      <c r="DB38" s="61"/>
      <c r="DC38" s="61"/>
      <c r="DD38" s="60"/>
      <c r="DE38" s="61"/>
      <c r="DF38" s="61"/>
      <c r="DG38" s="61"/>
      <c r="DH38" s="61"/>
      <c r="DI38" s="61"/>
      <c r="DJ38" s="61"/>
      <c r="DK38" s="61"/>
      <c r="DL38" s="65"/>
      <c r="DM38" s="60"/>
      <c r="DN38" s="61"/>
      <c r="DO38" s="61"/>
      <c r="DP38" s="61"/>
      <c r="DQ38" s="61"/>
      <c r="DR38" s="61"/>
      <c r="DS38" s="61"/>
      <c r="DT38" s="61"/>
      <c r="DU38" s="66"/>
      <c r="DV38" s="61"/>
      <c r="DW38" s="61"/>
      <c r="DX38" s="61"/>
      <c r="DY38" s="61"/>
      <c r="DZ38" s="61"/>
      <c r="EA38" s="61"/>
      <c r="EB38" s="61"/>
      <c r="EC38" s="61"/>
      <c r="ED38" s="61"/>
      <c r="EE38" s="60"/>
      <c r="EF38" s="61"/>
      <c r="EG38" s="61"/>
      <c r="EH38" s="61"/>
      <c r="EI38" s="61"/>
      <c r="EJ38" s="61"/>
      <c r="EK38" s="61"/>
      <c r="EL38" s="61"/>
      <c r="EM38" s="61"/>
      <c r="EN38" s="67"/>
      <c r="EO38" s="40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</row>
    <row r="39" spans="1:181" s="12" customFormat="1" ht="17" hidden="1" customHeight="1" thickBot="1" x14ac:dyDescent="0.4">
      <c r="A39" s="3"/>
      <c r="B39" s="69">
        <f>B6-1</f>
        <v>46022</v>
      </c>
      <c r="C39" s="60"/>
      <c r="D39" s="61"/>
      <c r="E39" s="61"/>
      <c r="F39" s="61"/>
      <c r="G39" s="61"/>
      <c r="H39" s="61"/>
      <c r="I39" s="61"/>
      <c r="J39" s="61"/>
      <c r="K39" s="60"/>
      <c r="L39" s="61"/>
      <c r="M39" s="61"/>
      <c r="N39" s="61"/>
      <c r="O39" s="61"/>
      <c r="P39" s="61"/>
      <c r="Q39" s="61"/>
      <c r="R39" s="61"/>
      <c r="S39" s="60"/>
      <c r="T39" s="61"/>
      <c r="U39" s="61"/>
      <c r="V39" s="61"/>
      <c r="W39" s="61"/>
      <c r="X39" s="61"/>
      <c r="Y39" s="61"/>
      <c r="Z39" s="61"/>
      <c r="AA39" s="60"/>
      <c r="AB39" s="61"/>
      <c r="AC39" s="61"/>
      <c r="AD39" s="60"/>
      <c r="AE39" s="61"/>
      <c r="AF39" s="61"/>
      <c r="AG39" s="61"/>
      <c r="AH39" s="61"/>
      <c r="AI39" s="61"/>
      <c r="AJ39" s="61"/>
      <c r="AK39" s="61"/>
      <c r="AL39" s="60"/>
      <c r="AM39" s="61"/>
      <c r="AN39" s="61"/>
      <c r="AO39" s="61"/>
      <c r="AP39" s="61"/>
      <c r="AQ39" s="61"/>
      <c r="AR39" s="61"/>
      <c r="AS39" s="61"/>
      <c r="AT39" s="60"/>
      <c r="AU39" s="61"/>
      <c r="AV39" s="61"/>
      <c r="AW39" s="61"/>
      <c r="AX39" s="61"/>
      <c r="AY39" s="61"/>
      <c r="AZ39" s="61"/>
      <c r="BA39" s="61"/>
      <c r="BB39" s="60"/>
      <c r="BC39" s="61"/>
      <c r="BD39" s="61"/>
      <c r="BE39" s="61"/>
      <c r="BF39" s="61"/>
      <c r="BG39" s="61"/>
      <c r="BH39" s="61"/>
      <c r="BI39" s="61"/>
      <c r="BJ39" s="60"/>
      <c r="BK39" s="61"/>
      <c r="BL39" s="61"/>
      <c r="BM39" s="61"/>
      <c r="BN39" s="61"/>
      <c r="BO39" s="61"/>
      <c r="BP39" s="61"/>
      <c r="BQ39" s="61"/>
      <c r="BR39" s="60"/>
      <c r="BS39" s="61"/>
      <c r="BT39" s="61"/>
      <c r="BU39" s="61"/>
      <c r="BV39" s="61"/>
      <c r="BW39" s="61"/>
      <c r="BX39" s="61"/>
      <c r="BY39" s="61"/>
      <c r="BZ39" s="60"/>
      <c r="CA39" s="61"/>
      <c r="CB39" s="61"/>
      <c r="CC39" s="61"/>
      <c r="CD39" s="61"/>
      <c r="CE39" s="61"/>
      <c r="CF39" s="61"/>
      <c r="CG39" s="61"/>
      <c r="CH39" s="60"/>
      <c r="CI39" s="61"/>
      <c r="CJ39" s="61"/>
      <c r="CK39" s="61"/>
      <c r="CL39" s="61"/>
      <c r="CM39" s="61"/>
      <c r="CN39" s="61"/>
      <c r="CO39" s="61"/>
      <c r="CP39" s="60"/>
      <c r="CQ39" s="61"/>
      <c r="CR39" s="61"/>
      <c r="CS39" s="61"/>
      <c r="CT39" s="61"/>
      <c r="CU39" s="61"/>
      <c r="CV39" s="61"/>
      <c r="CW39" s="60"/>
      <c r="CX39" s="61"/>
      <c r="CY39" s="61"/>
      <c r="CZ39" s="61"/>
      <c r="DA39" s="61"/>
      <c r="DB39" s="61"/>
      <c r="DC39" s="61"/>
      <c r="DD39" s="60"/>
      <c r="DE39" s="61"/>
      <c r="DF39" s="61"/>
      <c r="DG39" s="61"/>
      <c r="DH39" s="61"/>
      <c r="DI39" s="61"/>
      <c r="DJ39" s="61"/>
      <c r="DK39" s="61"/>
      <c r="DL39" s="61"/>
      <c r="DM39" s="60"/>
      <c r="DN39" s="61"/>
      <c r="DO39" s="61"/>
      <c r="DP39" s="61"/>
      <c r="DQ39" s="61"/>
      <c r="DR39" s="61"/>
      <c r="DS39" s="61"/>
      <c r="DT39" s="61"/>
      <c r="DU39" s="66"/>
      <c r="DV39" s="61"/>
      <c r="DW39" s="61"/>
      <c r="DX39" s="61"/>
      <c r="DY39" s="61"/>
      <c r="DZ39" s="61"/>
      <c r="EA39" s="61"/>
      <c r="EB39" s="61"/>
      <c r="EC39" s="61"/>
      <c r="ED39" s="61"/>
      <c r="EE39" s="60"/>
      <c r="EF39" s="61"/>
      <c r="EG39" s="61"/>
      <c r="EH39" s="61"/>
      <c r="EI39" s="61"/>
      <c r="EJ39" s="61"/>
      <c r="EK39" s="61"/>
      <c r="EL39" s="61"/>
      <c r="EM39" s="61"/>
      <c r="EN39" s="67"/>
      <c r="EO39" s="3"/>
    </row>
  </sheetData>
  <mergeCells count="72">
    <mergeCell ref="B2:B5"/>
    <mergeCell ref="C2:Z2"/>
    <mergeCell ref="AA2:AC2"/>
    <mergeCell ref="AD2:AS2"/>
    <mergeCell ref="AT2:CO2"/>
    <mergeCell ref="BR3:BY3"/>
    <mergeCell ref="BZ3:CG3"/>
    <mergeCell ref="CH3:CO3"/>
    <mergeCell ref="C4:C5"/>
    <mergeCell ref="K4:K5"/>
    <mergeCell ref="S4:S5"/>
    <mergeCell ref="AA4:AA5"/>
    <mergeCell ref="AD4:AD5"/>
    <mergeCell ref="BB4:BB5"/>
    <mergeCell ref="DD2:EM2"/>
    <mergeCell ref="C3:J3"/>
    <mergeCell ref="K3:R3"/>
    <mergeCell ref="S3:Z3"/>
    <mergeCell ref="AA3:AC3"/>
    <mergeCell ref="AD3:AK3"/>
    <mergeCell ref="AL3:AS3"/>
    <mergeCell ref="AT3:BA3"/>
    <mergeCell ref="BB3:BI3"/>
    <mergeCell ref="BJ3:BQ3"/>
    <mergeCell ref="CP2:DC2"/>
    <mergeCell ref="CP3:CV3"/>
    <mergeCell ref="EE3:EM3"/>
    <mergeCell ref="CW3:DC3"/>
    <mergeCell ref="DD3:DL3"/>
    <mergeCell ref="DM3:DU3"/>
    <mergeCell ref="DV3:ED3"/>
    <mergeCell ref="AG4:AH4"/>
    <mergeCell ref="AL4:AL5"/>
    <mergeCell ref="AO4:AP4"/>
    <mergeCell ref="AT4:AT5"/>
    <mergeCell ref="AW4:AX4"/>
    <mergeCell ref="DG4:DH4"/>
    <mergeCell ref="BE4:BF4"/>
    <mergeCell ref="BJ4:BJ5"/>
    <mergeCell ref="BM4:BN4"/>
    <mergeCell ref="BU4:BV4"/>
    <mergeCell ref="CC4:CD4"/>
    <mergeCell ref="CK4:CL4"/>
    <mergeCell ref="CP4:CP5"/>
    <mergeCell ref="CS4:CT4"/>
    <mergeCell ref="CW4:CW5"/>
    <mergeCell ref="CZ4:DA4"/>
    <mergeCell ref="DD4:DD5"/>
    <mergeCell ref="EZ4:FA4"/>
    <mergeCell ref="DM4:DM5"/>
    <mergeCell ref="DP4:DQ4"/>
    <mergeCell ref="DY4:DZ4"/>
    <mergeCell ref="EE4:EE5"/>
    <mergeCell ref="EH4:EI4"/>
    <mergeCell ref="EO4:EO5"/>
    <mergeCell ref="EP4:EQ4"/>
    <mergeCell ref="ER4:ES4"/>
    <mergeCell ref="ET4:EU4"/>
    <mergeCell ref="EV4:EW4"/>
    <mergeCell ref="EX4:EY4"/>
    <mergeCell ref="FX4:FY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</mergeCells>
  <conditionalFormatting sqref="D6:D36 T6:T36 L10:L36">
    <cfRule type="cellIs" dxfId="117" priority="3" operator="greaterThan">
      <formula>5</formula>
    </cfRule>
  </conditionalFormatting>
  <conditionalFormatting sqref="F6:F36 N6:N36 V6:V36 X33">
    <cfRule type="cellIs" dxfId="116" priority="2" operator="lessThan">
      <formula>2</formula>
    </cfRule>
  </conditionalFormatting>
  <conditionalFormatting sqref="BA21:BA36">
    <cfRule type="cellIs" dxfId="115" priority="1" operator="greaterThan">
      <formula>10</formula>
    </cfRule>
  </conditionalFormatting>
  <printOptions verticalCentered="1"/>
  <pageMargins left="0.19685039370078741" right="0.19685039370078741" top="0.35433070866141736" bottom="0.35433070866141736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F0BE-45DC-404B-BF8A-9FB79527A357}">
  <dimension ref="A1:GD39"/>
  <sheetViews>
    <sheetView view="pageBreakPreview" zoomScale="60" zoomScaleNormal="74" workbookViewId="0">
      <pane xSplit="2" ySplit="5" topLeftCell="ED6" activePane="bottomRight" state="frozen"/>
      <selection pane="topRight" activeCell="C1" sqref="C1"/>
      <selection pane="bottomLeft" activeCell="A5" sqref="A5"/>
      <selection pane="bottomRight" activeCell="GD12" sqref="GD12"/>
    </sheetView>
  </sheetViews>
  <sheetFormatPr defaultColWidth="8.81640625" defaultRowHeight="14.5" x14ac:dyDescent="0.35"/>
  <cols>
    <col min="1" max="1" width="8.81640625" style="3"/>
    <col min="2" max="2" width="14.81640625" style="3" customWidth="1"/>
    <col min="3" max="3" width="10.7265625" style="2" customWidth="1"/>
    <col min="4" max="10" width="8.90625" style="70" customWidth="1"/>
    <col min="11" max="11" width="11.81640625" style="2" customWidth="1"/>
    <col min="12" max="18" width="8.90625" style="70" customWidth="1"/>
    <col min="19" max="19" width="10.1796875" style="2" customWidth="1"/>
    <col min="20" max="26" width="8.81640625" style="70" customWidth="1"/>
    <col min="27" max="27" width="8.81640625" style="2" customWidth="1"/>
    <col min="28" max="29" width="8.81640625" style="70" customWidth="1"/>
    <col min="30" max="30" width="8.81640625" style="2" customWidth="1"/>
    <col min="31" max="37" width="8.81640625" style="70" customWidth="1"/>
    <col min="38" max="38" width="8.81640625" style="2" customWidth="1"/>
    <col min="39" max="45" width="8.81640625" style="70" customWidth="1"/>
    <col min="46" max="46" width="8.81640625" style="2" customWidth="1"/>
    <col min="47" max="53" width="8.81640625" style="70" customWidth="1"/>
    <col min="54" max="54" width="8.81640625" style="2" customWidth="1"/>
    <col min="55" max="61" width="8.81640625" style="70" customWidth="1"/>
    <col min="62" max="62" width="8.81640625" style="2" customWidth="1"/>
    <col min="63" max="69" width="8.81640625" style="70" customWidth="1"/>
    <col min="70" max="70" width="8.81640625" style="2" customWidth="1"/>
    <col min="71" max="77" width="8.81640625" style="70" customWidth="1"/>
    <col min="78" max="78" width="8.81640625" style="2" customWidth="1"/>
    <col min="79" max="85" width="8.81640625" style="70" customWidth="1"/>
    <col min="86" max="86" width="8.81640625" style="2" customWidth="1"/>
    <col min="87" max="93" width="8.81640625" style="70" customWidth="1"/>
    <col min="94" max="94" width="10.1796875" style="2" customWidth="1"/>
    <col min="95" max="100" width="8.81640625" style="70" customWidth="1"/>
    <col min="101" max="101" width="8.81640625" style="2" customWidth="1"/>
    <col min="102" max="107" width="8.81640625" style="70" customWidth="1"/>
    <col min="108" max="108" width="8.81640625" style="2" customWidth="1"/>
    <col min="109" max="116" width="8.81640625" style="70" customWidth="1"/>
    <col min="117" max="117" width="8.81640625" style="2" customWidth="1"/>
    <col min="118" max="124" width="8.81640625" style="70" customWidth="1"/>
    <col min="125" max="125" width="8.81640625" style="3" customWidth="1"/>
    <col min="126" max="134" width="8.81640625" style="70" customWidth="1"/>
    <col min="135" max="135" width="8.81640625" style="2" customWidth="1"/>
    <col min="136" max="144" width="8.81640625" style="70" customWidth="1"/>
    <col min="145" max="145" width="11.54296875" style="3" bestFit="1" customWidth="1"/>
    <col min="146" max="146" width="11.36328125" style="3" bestFit="1" customWidth="1"/>
    <col min="147" max="147" width="11.1796875" style="3" bestFit="1" customWidth="1"/>
    <col min="148" max="148" width="18.453125" style="3" bestFit="1" customWidth="1"/>
    <col min="149" max="150" width="11.08984375" style="3" bestFit="1" customWidth="1"/>
    <col min="151" max="151" width="18.7265625" style="3" bestFit="1" customWidth="1"/>
    <col min="152" max="153" width="11.1796875" style="3" bestFit="1" customWidth="1"/>
    <col min="154" max="154" width="18.7265625" style="3" bestFit="1" customWidth="1"/>
    <col min="155" max="155" width="10.81640625" style="3" bestFit="1" customWidth="1"/>
    <col min="156" max="156" width="11.08984375" style="3" bestFit="1" customWidth="1"/>
    <col min="157" max="157" width="10.81640625" style="3" bestFit="1" customWidth="1"/>
    <col min="158" max="160" width="11.08984375" style="3" bestFit="1" customWidth="1"/>
    <col min="161" max="167" width="10.81640625" style="3" bestFit="1" customWidth="1"/>
    <col min="168" max="170" width="11.08984375" style="3" bestFit="1" customWidth="1"/>
    <col min="171" max="172" width="8.81640625" style="3"/>
    <col min="173" max="173" width="10.81640625" style="3" bestFit="1" customWidth="1"/>
    <col min="174" max="174" width="11.08984375" style="3" bestFit="1" customWidth="1"/>
    <col min="175" max="175" width="15.08984375" style="3" bestFit="1" customWidth="1"/>
    <col min="176" max="176" width="11.1796875" style="3" bestFit="1" customWidth="1"/>
    <col min="177" max="177" width="11.08984375" style="3" bestFit="1" customWidth="1"/>
    <col min="178" max="178" width="11.08984375" style="3" customWidth="1"/>
    <col min="179" max="180" width="8.81640625" style="3"/>
    <col min="181" max="182" width="11.08984375" style="3" bestFit="1" customWidth="1"/>
    <col min="183" max="16384" width="8.81640625" style="3"/>
  </cols>
  <sheetData>
    <row r="1" spans="2:186" x14ac:dyDescent="0.35">
      <c r="B1" s="3">
        <v>1</v>
      </c>
      <c r="C1" s="2">
        <v>2</v>
      </c>
      <c r="D1" s="3">
        <v>3</v>
      </c>
      <c r="E1" s="2">
        <v>4</v>
      </c>
      <c r="F1" s="3">
        <v>5</v>
      </c>
      <c r="G1" s="2">
        <v>6</v>
      </c>
      <c r="H1" s="3">
        <v>7</v>
      </c>
      <c r="I1" s="2">
        <v>8</v>
      </c>
      <c r="J1" s="3">
        <v>9</v>
      </c>
      <c r="K1" s="2">
        <v>10</v>
      </c>
      <c r="L1" s="3">
        <v>11</v>
      </c>
      <c r="M1" s="2">
        <v>12</v>
      </c>
      <c r="N1" s="3">
        <v>13</v>
      </c>
      <c r="O1" s="2">
        <v>14</v>
      </c>
      <c r="P1" s="3">
        <v>15</v>
      </c>
      <c r="Q1" s="2">
        <v>16</v>
      </c>
      <c r="R1" s="3">
        <v>17</v>
      </c>
      <c r="S1" s="2">
        <v>18</v>
      </c>
      <c r="T1" s="3">
        <v>19</v>
      </c>
      <c r="U1" s="2">
        <v>20</v>
      </c>
      <c r="V1" s="3">
        <v>21</v>
      </c>
      <c r="W1" s="2">
        <v>22</v>
      </c>
      <c r="X1" s="3">
        <v>23</v>
      </c>
      <c r="Y1" s="2">
        <v>24</v>
      </c>
      <c r="Z1" s="3">
        <v>25</v>
      </c>
      <c r="AA1" s="2">
        <v>26</v>
      </c>
      <c r="AB1" s="3">
        <v>27</v>
      </c>
      <c r="AC1" s="2">
        <v>28</v>
      </c>
      <c r="AD1" s="3">
        <v>29</v>
      </c>
      <c r="AE1" s="2">
        <v>30</v>
      </c>
      <c r="AF1" s="3">
        <v>31</v>
      </c>
      <c r="AG1" s="2">
        <v>32</v>
      </c>
      <c r="AH1" s="3">
        <v>33</v>
      </c>
      <c r="AI1" s="2">
        <v>34</v>
      </c>
      <c r="AJ1" s="3">
        <v>35</v>
      </c>
      <c r="AK1" s="2">
        <v>36</v>
      </c>
      <c r="AL1" s="3">
        <v>37</v>
      </c>
      <c r="AM1" s="2">
        <v>38</v>
      </c>
      <c r="AN1" s="3">
        <v>39</v>
      </c>
      <c r="AO1" s="2">
        <v>40</v>
      </c>
      <c r="AP1" s="3">
        <v>41</v>
      </c>
      <c r="AQ1" s="2">
        <v>42</v>
      </c>
      <c r="AR1" s="3">
        <v>43</v>
      </c>
      <c r="AS1" s="2">
        <v>44</v>
      </c>
      <c r="AT1" s="3">
        <v>45</v>
      </c>
      <c r="AU1" s="2">
        <v>46</v>
      </c>
      <c r="AV1" s="3">
        <v>47</v>
      </c>
      <c r="AW1" s="2">
        <v>48</v>
      </c>
      <c r="AX1" s="3">
        <v>49</v>
      </c>
      <c r="AY1" s="2">
        <v>50</v>
      </c>
      <c r="AZ1" s="3">
        <v>51</v>
      </c>
      <c r="BA1" s="2">
        <v>52</v>
      </c>
      <c r="BB1" s="3">
        <v>53</v>
      </c>
      <c r="BC1" s="2">
        <v>54</v>
      </c>
      <c r="BD1" s="3">
        <v>55</v>
      </c>
      <c r="BE1" s="2">
        <v>56</v>
      </c>
      <c r="BF1" s="3">
        <v>57</v>
      </c>
      <c r="BG1" s="2">
        <v>58</v>
      </c>
      <c r="BH1" s="3">
        <v>59</v>
      </c>
      <c r="BI1" s="2">
        <v>60</v>
      </c>
      <c r="BJ1" s="3">
        <v>61</v>
      </c>
      <c r="BK1" s="2">
        <v>62</v>
      </c>
      <c r="BL1" s="3">
        <v>63</v>
      </c>
      <c r="BM1" s="2">
        <v>64</v>
      </c>
      <c r="BN1" s="3">
        <v>65</v>
      </c>
      <c r="BO1" s="2">
        <v>66</v>
      </c>
      <c r="BP1" s="3">
        <v>67</v>
      </c>
      <c r="BQ1" s="2">
        <v>68</v>
      </c>
      <c r="BR1" s="3">
        <v>69</v>
      </c>
      <c r="BS1" s="2">
        <v>70</v>
      </c>
      <c r="BT1" s="3">
        <v>71</v>
      </c>
      <c r="BU1" s="2">
        <v>72</v>
      </c>
      <c r="BV1" s="3">
        <v>73</v>
      </c>
      <c r="BW1" s="2">
        <v>74</v>
      </c>
      <c r="BX1" s="3">
        <v>75</v>
      </c>
      <c r="BY1" s="2">
        <v>76</v>
      </c>
      <c r="BZ1" s="3">
        <v>77</v>
      </c>
      <c r="CA1" s="2">
        <v>78</v>
      </c>
      <c r="CB1" s="3">
        <v>79</v>
      </c>
      <c r="CC1" s="2">
        <v>80</v>
      </c>
      <c r="CD1" s="3">
        <v>81</v>
      </c>
      <c r="CE1" s="2">
        <v>82</v>
      </c>
      <c r="CF1" s="3">
        <v>83</v>
      </c>
      <c r="CG1" s="2">
        <v>84</v>
      </c>
      <c r="CH1" s="3">
        <v>85</v>
      </c>
      <c r="CI1" s="2">
        <v>86</v>
      </c>
      <c r="CJ1" s="3">
        <v>87</v>
      </c>
      <c r="CK1" s="2">
        <v>88</v>
      </c>
      <c r="CL1" s="3">
        <v>89</v>
      </c>
      <c r="CM1" s="2">
        <v>90</v>
      </c>
      <c r="CN1" s="3">
        <v>91</v>
      </c>
      <c r="CO1" s="2">
        <v>92</v>
      </c>
      <c r="CP1" s="3">
        <v>93</v>
      </c>
      <c r="CQ1" s="2">
        <v>94</v>
      </c>
      <c r="CR1" s="3">
        <v>95</v>
      </c>
      <c r="CS1" s="2">
        <v>96</v>
      </c>
      <c r="CT1" s="3">
        <v>97</v>
      </c>
      <c r="CU1" s="2">
        <v>98</v>
      </c>
      <c r="CV1" s="3">
        <v>99</v>
      </c>
      <c r="CW1" s="2">
        <v>100</v>
      </c>
      <c r="CX1" s="3">
        <v>101</v>
      </c>
      <c r="CY1" s="2">
        <v>102</v>
      </c>
      <c r="CZ1" s="3">
        <v>103</v>
      </c>
      <c r="DA1" s="2">
        <v>104</v>
      </c>
      <c r="DB1" s="3">
        <v>105</v>
      </c>
      <c r="DC1" s="2">
        <v>106</v>
      </c>
      <c r="DD1" s="3">
        <v>107</v>
      </c>
      <c r="DE1" s="2">
        <v>108</v>
      </c>
      <c r="DF1" s="3">
        <v>109</v>
      </c>
      <c r="DG1" s="2">
        <v>110</v>
      </c>
      <c r="DH1" s="3">
        <v>111</v>
      </c>
      <c r="DI1" s="2">
        <v>112</v>
      </c>
      <c r="DJ1" s="3">
        <v>113</v>
      </c>
      <c r="DK1" s="2">
        <v>114</v>
      </c>
      <c r="DL1" s="3">
        <v>115</v>
      </c>
      <c r="DM1" s="2">
        <v>116</v>
      </c>
      <c r="DN1" s="3">
        <v>117</v>
      </c>
      <c r="DO1" s="2">
        <v>118</v>
      </c>
      <c r="DP1" s="3">
        <v>119</v>
      </c>
      <c r="DQ1" s="2">
        <v>120</v>
      </c>
      <c r="DR1" s="3">
        <v>121</v>
      </c>
      <c r="DS1" s="2">
        <v>122</v>
      </c>
      <c r="DT1" s="3">
        <v>123</v>
      </c>
      <c r="DU1" s="2">
        <v>124</v>
      </c>
      <c r="DV1" s="3">
        <v>125</v>
      </c>
      <c r="DW1" s="2">
        <v>126</v>
      </c>
      <c r="DX1" s="3">
        <v>127</v>
      </c>
      <c r="DY1" s="2">
        <v>128</v>
      </c>
      <c r="DZ1" s="3">
        <v>129</v>
      </c>
      <c r="EA1" s="2">
        <v>130</v>
      </c>
      <c r="EB1" s="3">
        <v>131</v>
      </c>
      <c r="EC1" s="2">
        <v>132</v>
      </c>
      <c r="ED1" s="3">
        <v>133</v>
      </c>
      <c r="EE1" s="2">
        <v>134</v>
      </c>
      <c r="EF1" s="3">
        <v>135</v>
      </c>
      <c r="EG1" s="2">
        <v>136</v>
      </c>
      <c r="EH1" s="3">
        <v>137</v>
      </c>
      <c r="EI1" s="2">
        <v>138</v>
      </c>
      <c r="EJ1" s="3">
        <v>139</v>
      </c>
      <c r="EK1" s="2">
        <v>140</v>
      </c>
      <c r="EL1" s="3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</row>
    <row r="2" spans="2:186" x14ac:dyDescent="0.35">
      <c r="B2" s="123" t="s">
        <v>1</v>
      </c>
      <c r="C2" s="121" t="s">
        <v>2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2" t="s">
        <v>3</v>
      </c>
      <c r="AB2" s="122"/>
      <c r="AC2" s="122"/>
      <c r="AD2" s="113" t="s">
        <v>4</v>
      </c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1" t="s">
        <v>5</v>
      </c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2" t="s">
        <v>6</v>
      </c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0" t="s">
        <v>7</v>
      </c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2"/>
    </row>
    <row r="3" spans="2:186" x14ac:dyDescent="0.35">
      <c r="B3" s="123"/>
      <c r="C3" s="121" t="s">
        <v>8</v>
      </c>
      <c r="D3" s="121"/>
      <c r="E3" s="121"/>
      <c r="F3" s="121"/>
      <c r="G3" s="121"/>
      <c r="H3" s="121"/>
      <c r="I3" s="121"/>
      <c r="J3" s="121"/>
      <c r="K3" s="121" t="s">
        <v>9</v>
      </c>
      <c r="L3" s="121"/>
      <c r="M3" s="121"/>
      <c r="N3" s="121"/>
      <c r="O3" s="121"/>
      <c r="P3" s="121"/>
      <c r="Q3" s="121"/>
      <c r="R3" s="121"/>
      <c r="S3" s="121" t="s">
        <v>10</v>
      </c>
      <c r="T3" s="121"/>
      <c r="U3" s="121"/>
      <c r="V3" s="121"/>
      <c r="W3" s="121"/>
      <c r="X3" s="121"/>
      <c r="Y3" s="121"/>
      <c r="Z3" s="121"/>
      <c r="AA3" s="122" t="s">
        <v>11</v>
      </c>
      <c r="AB3" s="122"/>
      <c r="AC3" s="122"/>
      <c r="AD3" s="113" t="s">
        <v>12</v>
      </c>
      <c r="AE3" s="113"/>
      <c r="AF3" s="113"/>
      <c r="AG3" s="113"/>
      <c r="AH3" s="113"/>
      <c r="AI3" s="113"/>
      <c r="AJ3" s="113"/>
      <c r="AK3" s="113"/>
      <c r="AL3" s="113" t="s">
        <v>13</v>
      </c>
      <c r="AM3" s="113"/>
      <c r="AN3" s="113"/>
      <c r="AO3" s="113"/>
      <c r="AP3" s="113"/>
      <c r="AQ3" s="113"/>
      <c r="AR3" s="113"/>
      <c r="AS3" s="113"/>
      <c r="AT3" s="111" t="s">
        <v>14</v>
      </c>
      <c r="AU3" s="111"/>
      <c r="AV3" s="111"/>
      <c r="AW3" s="111"/>
      <c r="AX3" s="111"/>
      <c r="AY3" s="111"/>
      <c r="AZ3" s="111"/>
      <c r="BA3" s="111"/>
      <c r="BB3" s="111" t="s">
        <v>15</v>
      </c>
      <c r="BC3" s="111"/>
      <c r="BD3" s="111"/>
      <c r="BE3" s="111"/>
      <c r="BF3" s="111"/>
      <c r="BG3" s="111"/>
      <c r="BH3" s="111"/>
      <c r="BI3" s="111"/>
      <c r="BJ3" s="111" t="s">
        <v>16</v>
      </c>
      <c r="BK3" s="111"/>
      <c r="BL3" s="111"/>
      <c r="BM3" s="111"/>
      <c r="BN3" s="111"/>
      <c r="BO3" s="111"/>
      <c r="BP3" s="111"/>
      <c r="BQ3" s="111"/>
      <c r="BR3" s="111" t="s">
        <v>17</v>
      </c>
      <c r="BS3" s="111"/>
      <c r="BT3" s="111"/>
      <c r="BU3" s="111"/>
      <c r="BV3" s="111"/>
      <c r="BW3" s="111"/>
      <c r="BX3" s="111"/>
      <c r="BY3" s="111"/>
      <c r="BZ3" s="111" t="s">
        <v>18</v>
      </c>
      <c r="CA3" s="111"/>
      <c r="CB3" s="111"/>
      <c r="CC3" s="111"/>
      <c r="CD3" s="111"/>
      <c r="CE3" s="111"/>
      <c r="CF3" s="111"/>
      <c r="CG3" s="111"/>
      <c r="CH3" s="111" t="s">
        <v>19</v>
      </c>
      <c r="CI3" s="111"/>
      <c r="CJ3" s="111"/>
      <c r="CK3" s="111"/>
      <c r="CL3" s="111"/>
      <c r="CM3" s="111"/>
      <c r="CN3" s="111"/>
      <c r="CO3" s="111"/>
      <c r="CP3" s="112" t="s">
        <v>20</v>
      </c>
      <c r="CQ3" s="112"/>
      <c r="CR3" s="112"/>
      <c r="CS3" s="112"/>
      <c r="CT3" s="112"/>
      <c r="CU3" s="112"/>
      <c r="CV3" s="112"/>
      <c r="CW3" s="112" t="s">
        <v>21</v>
      </c>
      <c r="CX3" s="112"/>
      <c r="CY3" s="112"/>
      <c r="CZ3" s="112"/>
      <c r="DA3" s="112"/>
      <c r="DB3" s="112"/>
      <c r="DC3" s="112"/>
      <c r="DD3" s="110" t="s">
        <v>22</v>
      </c>
      <c r="DE3" s="110"/>
      <c r="DF3" s="110"/>
      <c r="DG3" s="110"/>
      <c r="DH3" s="110"/>
      <c r="DI3" s="110"/>
      <c r="DJ3" s="110"/>
      <c r="DK3" s="110"/>
      <c r="DL3" s="110"/>
      <c r="DM3" s="110" t="s">
        <v>23</v>
      </c>
      <c r="DN3" s="110"/>
      <c r="DO3" s="110"/>
      <c r="DP3" s="110"/>
      <c r="DQ3" s="110"/>
      <c r="DR3" s="110"/>
      <c r="DS3" s="110"/>
      <c r="DT3" s="110"/>
      <c r="DU3" s="110"/>
      <c r="DV3" s="114" t="s">
        <v>24</v>
      </c>
      <c r="DW3" s="114"/>
      <c r="DX3" s="114"/>
      <c r="DY3" s="114"/>
      <c r="DZ3" s="114"/>
      <c r="EA3" s="114"/>
      <c r="EB3" s="114"/>
      <c r="EC3" s="114"/>
      <c r="ED3" s="114"/>
      <c r="EE3" s="110" t="s">
        <v>25</v>
      </c>
      <c r="EF3" s="110"/>
      <c r="EG3" s="110"/>
      <c r="EH3" s="110"/>
      <c r="EI3" s="110"/>
      <c r="EJ3" s="110"/>
      <c r="EK3" s="110"/>
      <c r="EL3" s="110"/>
      <c r="EM3" s="110"/>
      <c r="EN3" s="2"/>
    </row>
    <row r="4" spans="2:186" x14ac:dyDescent="0.35">
      <c r="B4" s="123"/>
      <c r="C4" s="10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10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105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105" t="s">
        <v>26</v>
      </c>
      <c r="AB4" s="6" t="s">
        <v>27</v>
      </c>
      <c r="AC4" s="6" t="s">
        <v>34</v>
      </c>
      <c r="AD4" s="105" t="s">
        <v>26</v>
      </c>
      <c r="AE4" s="6" t="s">
        <v>27</v>
      </c>
      <c r="AF4" s="6" t="s">
        <v>34</v>
      </c>
      <c r="AG4" s="108" t="s">
        <v>35</v>
      </c>
      <c r="AH4" s="109"/>
      <c r="AI4" s="6" t="s">
        <v>30</v>
      </c>
      <c r="AJ4" s="6" t="s">
        <v>31</v>
      </c>
      <c r="AK4" s="6" t="s">
        <v>36</v>
      </c>
      <c r="AL4" s="105" t="s">
        <v>26</v>
      </c>
      <c r="AM4" s="6" t="s">
        <v>27</v>
      </c>
      <c r="AN4" s="6" t="s">
        <v>34</v>
      </c>
      <c r="AO4" s="108" t="s">
        <v>35</v>
      </c>
      <c r="AP4" s="109"/>
      <c r="AQ4" s="6" t="s">
        <v>30</v>
      </c>
      <c r="AR4" s="6" t="s">
        <v>31</v>
      </c>
      <c r="AS4" s="6" t="s">
        <v>36</v>
      </c>
      <c r="AT4" s="105" t="s">
        <v>26</v>
      </c>
      <c r="AU4" s="6" t="s">
        <v>27</v>
      </c>
      <c r="AV4" s="6" t="s">
        <v>34</v>
      </c>
      <c r="AW4" s="108" t="s">
        <v>35</v>
      </c>
      <c r="AX4" s="109"/>
      <c r="AY4" s="6" t="s">
        <v>30</v>
      </c>
      <c r="AZ4" s="6" t="s">
        <v>31</v>
      </c>
      <c r="BA4" s="6" t="s">
        <v>37</v>
      </c>
      <c r="BB4" s="105" t="s">
        <v>26</v>
      </c>
      <c r="BC4" s="6" t="s">
        <v>27</v>
      </c>
      <c r="BD4" s="6" t="s">
        <v>34</v>
      </c>
      <c r="BE4" s="108" t="s">
        <v>35</v>
      </c>
      <c r="BF4" s="109"/>
      <c r="BG4" s="6" t="s">
        <v>30</v>
      </c>
      <c r="BH4" s="6" t="s">
        <v>31</v>
      </c>
      <c r="BI4" s="6" t="s">
        <v>37</v>
      </c>
      <c r="BJ4" s="105" t="s">
        <v>26</v>
      </c>
      <c r="BK4" s="6" t="s">
        <v>27</v>
      </c>
      <c r="BL4" s="6" t="s">
        <v>34</v>
      </c>
      <c r="BM4" s="108" t="s">
        <v>35</v>
      </c>
      <c r="BN4" s="109"/>
      <c r="BO4" s="6" t="s">
        <v>30</v>
      </c>
      <c r="BP4" s="6" t="s">
        <v>31</v>
      </c>
      <c r="BQ4" s="6" t="s">
        <v>37</v>
      </c>
      <c r="BR4" s="7" t="s">
        <v>26</v>
      </c>
      <c r="BS4" s="6" t="s">
        <v>27</v>
      </c>
      <c r="BT4" s="6" t="s">
        <v>34</v>
      </c>
      <c r="BU4" s="108" t="s">
        <v>35</v>
      </c>
      <c r="BV4" s="109"/>
      <c r="BW4" s="6" t="s">
        <v>30</v>
      </c>
      <c r="BX4" s="6" t="s">
        <v>31</v>
      </c>
      <c r="BY4" s="6" t="s">
        <v>37</v>
      </c>
      <c r="BZ4" s="7" t="s">
        <v>26</v>
      </c>
      <c r="CA4" s="6" t="s">
        <v>27</v>
      </c>
      <c r="CB4" s="6" t="s">
        <v>34</v>
      </c>
      <c r="CC4" s="108" t="s">
        <v>35</v>
      </c>
      <c r="CD4" s="109"/>
      <c r="CE4" s="6" t="s">
        <v>30</v>
      </c>
      <c r="CF4" s="6" t="s">
        <v>31</v>
      </c>
      <c r="CG4" s="6" t="s">
        <v>37</v>
      </c>
      <c r="CH4" s="7" t="s">
        <v>26</v>
      </c>
      <c r="CI4" s="6" t="s">
        <v>27</v>
      </c>
      <c r="CJ4" s="6" t="s">
        <v>34</v>
      </c>
      <c r="CK4" s="108" t="s">
        <v>35</v>
      </c>
      <c r="CL4" s="109"/>
      <c r="CM4" s="6" t="s">
        <v>30</v>
      </c>
      <c r="CN4" s="6" t="s">
        <v>31</v>
      </c>
      <c r="CO4" s="6" t="s">
        <v>37</v>
      </c>
      <c r="CP4" s="105" t="s">
        <v>26</v>
      </c>
      <c r="CQ4" s="6" t="s">
        <v>27</v>
      </c>
      <c r="CR4" s="6" t="s">
        <v>34</v>
      </c>
      <c r="CS4" s="108" t="s">
        <v>35</v>
      </c>
      <c r="CT4" s="109"/>
      <c r="CU4" s="6" t="s">
        <v>30</v>
      </c>
      <c r="CV4" s="6" t="s">
        <v>31</v>
      </c>
      <c r="CW4" s="105" t="s">
        <v>26</v>
      </c>
      <c r="CX4" s="6" t="s">
        <v>27</v>
      </c>
      <c r="CY4" s="6" t="s">
        <v>34</v>
      </c>
      <c r="CZ4" s="108" t="s">
        <v>35</v>
      </c>
      <c r="DA4" s="109"/>
      <c r="DB4" s="6" t="s">
        <v>30</v>
      </c>
      <c r="DC4" s="6" t="s">
        <v>31</v>
      </c>
      <c r="DD4" s="105" t="s">
        <v>26</v>
      </c>
      <c r="DE4" s="6" t="s">
        <v>27</v>
      </c>
      <c r="DF4" s="6" t="s">
        <v>34</v>
      </c>
      <c r="DG4" s="101" t="s">
        <v>35</v>
      </c>
      <c r="DH4" s="101"/>
      <c r="DI4" s="6" t="s">
        <v>30</v>
      </c>
      <c r="DJ4" s="6" t="s">
        <v>31</v>
      </c>
      <c r="DK4" s="6" t="s">
        <v>37</v>
      </c>
      <c r="DL4" s="6" t="s">
        <v>38</v>
      </c>
      <c r="DM4" s="105" t="s">
        <v>26</v>
      </c>
      <c r="DN4" s="6" t="s">
        <v>27</v>
      </c>
      <c r="DO4" s="6" t="s">
        <v>34</v>
      </c>
      <c r="DP4" s="101" t="s">
        <v>35</v>
      </c>
      <c r="DQ4" s="101"/>
      <c r="DR4" s="6" t="s">
        <v>30</v>
      </c>
      <c r="DS4" s="6" t="s">
        <v>31</v>
      </c>
      <c r="DT4" s="6" t="s">
        <v>37</v>
      </c>
      <c r="DU4" s="8" t="s">
        <v>38</v>
      </c>
      <c r="DV4" s="6" t="s">
        <v>26</v>
      </c>
      <c r="DW4" s="6" t="s">
        <v>27</v>
      </c>
      <c r="DX4" s="6" t="s">
        <v>34</v>
      </c>
      <c r="DY4" s="101" t="s">
        <v>35</v>
      </c>
      <c r="DZ4" s="101"/>
      <c r="EA4" s="6" t="s">
        <v>30</v>
      </c>
      <c r="EB4" s="6" t="s">
        <v>31</v>
      </c>
      <c r="EC4" s="6" t="s">
        <v>37</v>
      </c>
      <c r="ED4" s="6" t="s">
        <v>38</v>
      </c>
      <c r="EE4" s="107" t="s">
        <v>26</v>
      </c>
      <c r="EF4" s="6" t="s">
        <v>27</v>
      </c>
      <c r="EG4" s="6" t="s">
        <v>34</v>
      </c>
      <c r="EH4" s="101" t="s">
        <v>35</v>
      </c>
      <c r="EI4" s="101"/>
      <c r="EJ4" s="6" t="s">
        <v>30</v>
      </c>
      <c r="EK4" s="6" t="s">
        <v>31</v>
      </c>
      <c r="EL4" s="6" t="s">
        <v>37</v>
      </c>
      <c r="EM4" s="6" t="s">
        <v>38</v>
      </c>
      <c r="EN4" s="9"/>
      <c r="EO4" s="102" t="s">
        <v>39</v>
      </c>
      <c r="EP4" s="104" t="s">
        <v>8</v>
      </c>
      <c r="EQ4" s="104"/>
      <c r="ER4" s="104" t="s">
        <v>69</v>
      </c>
      <c r="ES4" s="104" t="s">
        <v>9</v>
      </c>
      <c r="ET4" s="104"/>
      <c r="EU4" s="104" t="s">
        <v>69</v>
      </c>
      <c r="EV4" s="104" t="s">
        <v>10</v>
      </c>
      <c r="EW4" s="104"/>
      <c r="EX4" s="104" t="s">
        <v>69</v>
      </c>
      <c r="EY4" s="100" t="s">
        <v>11</v>
      </c>
      <c r="EZ4" s="100"/>
      <c r="FA4" s="99" t="s">
        <v>12</v>
      </c>
      <c r="FB4" s="99"/>
      <c r="FC4" s="99" t="s">
        <v>13</v>
      </c>
      <c r="FD4" s="99"/>
      <c r="FE4" s="97" t="s">
        <v>14</v>
      </c>
      <c r="FF4" s="97"/>
      <c r="FG4" s="97" t="s">
        <v>15</v>
      </c>
      <c r="FH4" s="97"/>
      <c r="FI4" s="97" t="s">
        <v>16</v>
      </c>
      <c r="FJ4" s="97"/>
      <c r="FK4" s="97" t="s">
        <v>17</v>
      </c>
      <c r="FL4" s="97"/>
      <c r="FM4" s="97" t="s">
        <v>18</v>
      </c>
      <c r="FN4" s="97"/>
      <c r="FO4" s="97" t="s">
        <v>19</v>
      </c>
      <c r="FP4" s="97"/>
      <c r="FQ4" s="98" t="s">
        <v>20</v>
      </c>
      <c r="FR4" s="98"/>
      <c r="FS4" s="98" t="s">
        <v>69</v>
      </c>
      <c r="FT4" s="98" t="s">
        <v>21</v>
      </c>
      <c r="FU4" s="98"/>
      <c r="FV4" s="98" t="s">
        <v>69</v>
      </c>
      <c r="FW4" s="96" t="s">
        <v>40</v>
      </c>
      <c r="FX4" s="96"/>
      <c r="FY4" s="96" t="s">
        <v>41</v>
      </c>
      <c r="FZ4" s="96"/>
      <c r="GA4" s="96" t="s">
        <v>42</v>
      </c>
      <c r="GB4" s="96"/>
      <c r="GC4" s="96" t="s">
        <v>43</v>
      </c>
      <c r="GD4" s="96"/>
    </row>
    <row r="5" spans="2:186" s="22" customFormat="1" x14ac:dyDescent="0.35">
      <c r="B5" s="123"/>
      <c r="C5" s="106"/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44</v>
      </c>
      <c r="J5" s="13" t="s">
        <v>49</v>
      </c>
      <c r="K5" s="106"/>
      <c r="L5" s="13" t="s">
        <v>44</v>
      </c>
      <c r="M5" s="13" t="s">
        <v>45</v>
      </c>
      <c r="N5" s="13" t="s">
        <v>46</v>
      </c>
      <c r="O5" s="13" t="s">
        <v>47</v>
      </c>
      <c r="P5" s="13" t="s">
        <v>48</v>
      </c>
      <c r="Q5" s="13" t="s">
        <v>44</v>
      </c>
      <c r="R5" s="13" t="s">
        <v>49</v>
      </c>
      <c r="S5" s="106"/>
      <c r="T5" s="13" t="s">
        <v>44</v>
      </c>
      <c r="U5" s="13" t="s">
        <v>45</v>
      </c>
      <c r="V5" s="13" t="s">
        <v>46</v>
      </c>
      <c r="W5" s="13" t="s">
        <v>47</v>
      </c>
      <c r="X5" s="13" t="s">
        <v>48</v>
      </c>
      <c r="Y5" s="13" t="s">
        <v>44</v>
      </c>
      <c r="Z5" s="13" t="s">
        <v>49</v>
      </c>
      <c r="AA5" s="106"/>
      <c r="AB5" s="6" t="s">
        <v>50</v>
      </c>
      <c r="AC5" s="6" t="s">
        <v>51</v>
      </c>
      <c r="AD5" s="106"/>
      <c r="AE5" s="6" t="s">
        <v>52</v>
      </c>
      <c r="AF5" s="6" t="s">
        <v>53</v>
      </c>
      <c r="AG5" s="6" t="s">
        <v>54</v>
      </c>
      <c r="AH5" s="6" t="s">
        <v>55</v>
      </c>
      <c r="AI5" s="6" t="s">
        <v>56</v>
      </c>
      <c r="AJ5" s="6"/>
      <c r="AK5" s="6" t="s">
        <v>57</v>
      </c>
      <c r="AL5" s="106"/>
      <c r="AM5" s="6" t="s">
        <v>52</v>
      </c>
      <c r="AN5" s="6" t="s">
        <v>53</v>
      </c>
      <c r="AO5" s="6" t="s">
        <v>54</v>
      </c>
      <c r="AP5" s="6" t="s">
        <v>55</v>
      </c>
      <c r="AQ5" s="6" t="s">
        <v>56</v>
      </c>
      <c r="AR5" s="6"/>
      <c r="AS5" s="6" t="s">
        <v>57</v>
      </c>
      <c r="AT5" s="106"/>
      <c r="AU5" s="6" t="s">
        <v>58</v>
      </c>
      <c r="AV5" s="6" t="s">
        <v>58</v>
      </c>
      <c r="AW5" s="6" t="s">
        <v>54</v>
      </c>
      <c r="AX5" s="6" t="s">
        <v>55</v>
      </c>
      <c r="AY5" s="6" t="s">
        <v>59</v>
      </c>
      <c r="AZ5" s="6"/>
      <c r="BA5" s="14" t="s">
        <v>60</v>
      </c>
      <c r="BB5" s="106"/>
      <c r="BC5" s="6" t="s">
        <v>58</v>
      </c>
      <c r="BD5" s="6" t="s">
        <v>58</v>
      </c>
      <c r="BE5" s="6" t="s">
        <v>54</v>
      </c>
      <c r="BF5" s="6" t="s">
        <v>55</v>
      </c>
      <c r="BG5" s="6" t="s">
        <v>59</v>
      </c>
      <c r="BH5" s="6"/>
      <c r="BI5" s="14" t="s">
        <v>60</v>
      </c>
      <c r="BJ5" s="106"/>
      <c r="BK5" s="6" t="s">
        <v>58</v>
      </c>
      <c r="BL5" s="6" t="s">
        <v>58</v>
      </c>
      <c r="BM5" s="6" t="s">
        <v>54</v>
      </c>
      <c r="BN5" s="6" t="s">
        <v>55</v>
      </c>
      <c r="BO5" s="6" t="s">
        <v>59</v>
      </c>
      <c r="BP5" s="6"/>
      <c r="BQ5" s="14" t="s">
        <v>60</v>
      </c>
      <c r="BR5" s="7"/>
      <c r="BS5" s="6" t="s">
        <v>58</v>
      </c>
      <c r="BT5" s="6" t="s">
        <v>58</v>
      </c>
      <c r="BU5" s="6" t="s">
        <v>54</v>
      </c>
      <c r="BV5" s="6" t="s">
        <v>55</v>
      </c>
      <c r="BW5" s="6" t="s">
        <v>59</v>
      </c>
      <c r="BX5" s="6"/>
      <c r="BY5" s="14" t="s">
        <v>60</v>
      </c>
      <c r="BZ5" s="7"/>
      <c r="CA5" s="6" t="s">
        <v>58</v>
      </c>
      <c r="CB5" s="6" t="s">
        <v>58</v>
      </c>
      <c r="CC5" s="6" t="s">
        <v>54</v>
      </c>
      <c r="CD5" s="6" t="s">
        <v>55</v>
      </c>
      <c r="CE5" s="6" t="s">
        <v>59</v>
      </c>
      <c r="CF5" s="6"/>
      <c r="CG5" s="14" t="s">
        <v>60</v>
      </c>
      <c r="CH5" s="7"/>
      <c r="CI5" s="6" t="s">
        <v>58</v>
      </c>
      <c r="CJ5" s="6" t="s">
        <v>58</v>
      </c>
      <c r="CK5" s="6" t="s">
        <v>54</v>
      </c>
      <c r="CL5" s="6" t="s">
        <v>55</v>
      </c>
      <c r="CM5" s="6" t="s">
        <v>59</v>
      </c>
      <c r="CN5" s="6"/>
      <c r="CO5" s="14" t="s">
        <v>60</v>
      </c>
      <c r="CP5" s="106"/>
      <c r="CQ5" s="6" t="s">
        <v>58</v>
      </c>
      <c r="CR5" s="6" t="s">
        <v>58</v>
      </c>
      <c r="CS5" s="6" t="s">
        <v>54</v>
      </c>
      <c r="CT5" s="6" t="s">
        <v>55</v>
      </c>
      <c r="CU5" s="6" t="s">
        <v>61</v>
      </c>
      <c r="CV5" s="6" t="s">
        <v>51</v>
      </c>
      <c r="CW5" s="106"/>
      <c r="CX5" s="6" t="s">
        <v>58</v>
      </c>
      <c r="CY5" s="6" t="s">
        <v>58</v>
      </c>
      <c r="CZ5" s="6" t="s">
        <v>54</v>
      </c>
      <c r="DA5" s="6" t="s">
        <v>55</v>
      </c>
      <c r="DB5" s="6" t="s">
        <v>61</v>
      </c>
      <c r="DC5" s="6" t="s">
        <v>51</v>
      </c>
      <c r="DD5" s="106"/>
      <c r="DE5" s="6" t="s">
        <v>58</v>
      </c>
      <c r="DF5" s="6" t="s">
        <v>58</v>
      </c>
      <c r="DG5" s="6" t="s">
        <v>62</v>
      </c>
      <c r="DH5" s="6" t="s">
        <v>55</v>
      </c>
      <c r="DI5" s="6" t="s">
        <v>59</v>
      </c>
      <c r="DJ5" s="6"/>
      <c r="DK5" s="6" t="s">
        <v>60</v>
      </c>
      <c r="DL5" s="15" t="s">
        <v>63</v>
      </c>
      <c r="DM5" s="106"/>
      <c r="DN5" s="6" t="s">
        <v>58</v>
      </c>
      <c r="DO5" s="6" t="s">
        <v>58</v>
      </c>
      <c r="DP5" s="6" t="s">
        <v>62</v>
      </c>
      <c r="DQ5" s="6" t="s">
        <v>55</v>
      </c>
      <c r="DR5" s="6" t="s">
        <v>59</v>
      </c>
      <c r="DS5" s="6"/>
      <c r="DT5" s="6" t="s">
        <v>60</v>
      </c>
      <c r="DU5" s="15" t="s">
        <v>63</v>
      </c>
      <c r="DV5" s="6"/>
      <c r="DW5" s="6" t="s">
        <v>58</v>
      </c>
      <c r="DX5" s="6" t="s">
        <v>58</v>
      </c>
      <c r="DY5" s="6" t="s">
        <v>62</v>
      </c>
      <c r="DZ5" s="6" t="s">
        <v>55</v>
      </c>
      <c r="EA5" s="6" t="s">
        <v>59</v>
      </c>
      <c r="EB5" s="6"/>
      <c r="EC5" s="6" t="s">
        <v>60</v>
      </c>
      <c r="ED5" s="15" t="s">
        <v>63</v>
      </c>
      <c r="EE5" s="107"/>
      <c r="EF5" s="6" t="s">
        <v>58</v>
      </c>
      <c r="EG5" s="6" t="s">
        <v>58</v>
      </c>
      <c r="EH5" s="6" t="s">
        <v>62</v>
      </c>
      <c r="EI5" s="6" t="s">
        <v>55</v>
      </c>
      <c r="EJ5" s="6" t="s">
        <v>59</v>
      </c>
      <c r="EK5" s="6"/>
      <c r="EL5" s="6" t="s">
        <v>60</v>
      </c>
      <c r="EM5" s="15" t="s">
        <v>63</v>
      </c>
      <c r="EN5" s="16"/>
      <c r="EO5" s="103"/>
      <c r="EP5" s="17" t="s">
        <v>64</v>
      </c>
      <c r="EQ5" s="17" t="s">
        <v>65</v>
      </c>
      <c r="ER5" s="131"/>
      <c r="ES5" s="17" t="s">
        <v>64</v>
      </c>
      <c r="ET5" s="17" t="s">
        <v>65</v>
      </c>
      <c r="EU5" s="131"/>
      <c r="EV5" s="17" t="s">
        <v>64</v>
      </c>
      <c r="EW5" s="17" t="s">
        <v>65</v>
      </c>
      <c r="EX5" s="131"/>
      <c r="EY5" s="18" t="s">
        <v>64</v>
      </c>
      <c r="EZ5" s="18" t="s">
        <v>65</v>
      </c>
      <c r="FA5" s="19" t="s">
        <v>64</v>
      </c>
      <c r="FB5" s="19" t="s">
        <v>65</v>
      </c>
      <c r="FC5" s="19" t="s">
        <v>64</v>
      </c>
      <c r="FD5" s="19" t="s">
        <v>65</v>
      </c>
      <c r="FE5" s="20" t="s">
        <v>64</v>
      </c>
      <c r="FF5" s="20" t="s">
        <v>65</v>
      </c>
      <c r="FG5" s="20" t="s">
        <v>64</v>
      </c>
      <c r="FH5" s="20" t="s">
        <v>65</v>
      </c>
      <c r="FI5" s="20" t="s">
        <v>64</v>
      </c>
      <c r="FJ5" s="20" t="s">
        <v>65</v>
      </c>
      <c r="FK5" s="20" t="s">
        <v>64</v>
      </c>
      <c r="FL5" s="20" t="s">
        <v>65</v>
      </c>
      <c r="FM5" s="20" t="s">
        <v>64</v>
      </c>
      <c r="FN5" s="20" t="s">
        <v>65</v>
      </c>
      <c r="FO5" s="20" t="s">
        <v>64</v>
      </c>
      <c r="FP5" s="20" t="s">
        <v>65</v>
      </c>
      <c r="FQ5" s="71" t="s">
        <v>64</v>
      </c>
      <c r="FR5" s="71" t="s">
        <v>65</v>
      </c>
      <c r="FS5" s="130"/>
      <c r="FT5" s="71" t="s">
        <v>64</v>
      </c>
      <c r="FU5" s="71" t="s">
        <v>65</v>
      </c>
      <c r="FV5" s="130"/>
      <c r="FW5" s="21" t="s">
        <v>64</v>
      </c>
      <c r="FX5" s="21" t="s">
        <v>65</v>
      </c>
      <c r="FY5" s="21" t="s">
        <v>64</v>
      </c>
      <c r="FZ5" s="21" t="s">
        <v>65</v>
      </c>
      <c r="GA5" s="21" t="s">
        <v>64</v>
      </c>
      <c r="GB5" s="21" t="s">
        <v>65</v>
      </c>
      <c r="GC5" s="21" t="s">
        <v>64</v>
      </c>
      <c r="GD5" s="21" t="s">
        <v>65</v>
      </c>
    </row>
    <row r="6" spans="2:186" x14ac:dyDescent="0.35">
      <c r="B6" s="23">
        <f>[3]Refinery!B6</f>
        <v>46054</v>
      </c>
      <c r="C6" s="24">
        <v>651780</v>
      </c>
      <c r="D6" s="25">
        <v>5.2</v>
      </c>
      <c r="E6" s="25">
        <v>0.27</v>
      </c>
      <c r="F6" s="25">
        <v>1.9</v>
      </c>
      <c r="G6" s="25">
        <v>51.89</v>
      </c>
      <c r="H6" s="25">
        <v>2.33</v>
      </c>
      <c r="I6" s="25">
        <v>2.2000000000000002</v>
      </c>
      <c r="J6" s="25">
        <f>(H6*2)+I6</f>
        <v>6.86</v>
      </c>
      <c r="K6" s="24">
        <v>2525919</v>
      </c>
      <c r="L6" s="25">
        <v>4.8109854591536783</v>
      </c>
      <c r="M6" s="25">
        <v>0.26388943588452368</v>
      </c>
      <c r="N6" s="25">
        <v>1.8914252357260863</v>
      </c>
      <c r="O6" s="25">
        <v>51.89898436964922</v>
      </c>
      <c r="P6" s="25">
        <v>2.1002301736516498</v>
      </c>
      <c r="Q6" s="25">
        <v>2.0002301736516492</v>
      </c>
      <c r="R6" s="25">
        <f>(P6*2)+Q6</f>
        <v>6.2006905209549483</v>
      </c>
      <c r="S6" s="26">
        <v>2573906</v>
      </c>
      <c r="T6" s="25">
        <v>5.0999999999999996</v>
      </c>
      <c r="U6" s="25">
        <v>0.3</v>
      </c>
      <c r="V6" s="25">
        <v>1.9</v>
      </c>
      <c r="W6" s="27">
        <v>51.98</v>
      </c>
      <c r="X6" s="25">
        <v>2.1</v>
      </c>
      <c r="Y6" s="25">
        <v>2</v>
      </c>
      <c r="Z6" s="25">
        <f>(X6*2)+Y6</f>
        <v>6.2</v>
      </c>
      <c r="AA6" s="24">
        <v>246383</v>
      </c>
      <c r="AB6" s="25">
        <v>86.9</v>
      </c>
      <c r="AC6" s="25">
        <v>0.37</v>
      </c>
      <c r="AD6" s="24">
        <v>529521</v>
      </c>
      <c r="AE6" s="33">
        <v>5.5E-2</v>
      </c>
      <c r="AF6" s="25">
        <v>0.04</v>
      </c>
      <c r="AG6" s="34">
        <v>1.8</v>
      </c>
      <c r="AH6" s="35">
        <v>18</v>
      </c>
      <c r="AI6" s="25">
        <v>36.6</v>
      </c>
      <c r="AJ6" s="25"/>
      <c r="AK6" s="25">
        <v>50.2</v>
      </c>
      <c r="AL6" s="24"/>
      <c r="AM6" s="25"/>
      <c r="AN6" s="25"/>
      <c r="AO6" s="25"/>
      <c r="AP6" s="25"/>
      <c r="AQ6" s="25"/>
      <c r="AR6" s="25"/>
      <c r="AS6" s="25"/>
      <c r="AT6" s="24">
        <v>536860</v>
      </c>
      <c r="AU6" s="33">
        <v>7.2999999999999995E-2</v>
      </c>
      <c r="AV6" s="25">
        <v>0.05</v>
      </c>
      <c r="AW6" s="34">
        <v>2.1</v>
      </c>
      <c r="AX6" s="35">
        <v>21</v>
      </c>
      <c r="AY6" s="25">
        <v>56.17</v>
      </c>
      <c r="AZ6" s="25"/>
      <c r="BA6" s="34">
        <v>9.8000000000000007</v>
      </c>
      <c r="BB6" s="24">
        <v>527920</v>
      </c>
      <c r="BC6" s="33">
        <v>5.7000000000000002E-2</v>
      </c>
      <c r="BD6" s="25">
        <v>0.04</v>
      </c>
      <c r="BE6" s="25">
        <v>2.1</v>
      </c>
      <c r="BF6" s="25">
        <v>21</v>
      </c>
      <c r="BG6" s="25">
        <v>57.9</v>
      </c>
      <c r="BH6" s="25"/>
      <c r="BI6" s="25">
        <v>9</v>
      </c>
      <c r="BJ6" s="24">
        <v>508583</v>
      </c>
      <c r="BK6" s="33">
        <v>5.1999999999999998E-2</v>
      </c>
      <c r="BL6" s="25">
        <v>0.04</v>
      </c>
      <c r="BM6" s="25">
        <v>2.1</v>
      </c>
      <c r="BN6" s="25">
        <v>21</v>
      </c>
      <c r="BO6" s="25">
        <v>56.3</v>
      </c>
      <c r="BP6" s="25"/>
      <c r="BQ6" s="25">
        <v>9.8000000000000007</v>
      </c>
      <c r="BR6" s="24">
        <v>379102</v>
      </c>
      <c r="BS6" s="33">
        <v>5.2999999999999999E-2</v>
      </c>
      <c r="BT6" s="25">
        <v>0.04</v>
      </c>
      <c r="BU6" s="25">
        <v>2.2000000000000002</v>
      </c>
      <c r="BV6" s="25">
        <v>22</v>
      </c>
      <c r="BW6" s="25">
        <v>56.48</v>
      </c>
      <c r="BX6" s="25"/>
      <c r="BY6" s="25">
        <v>9.8000000000000007</v>
      </c>
      <c r="BZ6" s="24"/>
      <c r="CA6" s="33"/>
      <c r="CB6" s="25"/>
      <c r="CC6" s="25"/>
      <c r="CD6" s="25"/>
      <c r="CE6" s="25"/>
      <c r="CF6" s="25"/>
      <c r="CG6" s="25"/>
      <c r="CH6" s="24"/>
      <c r="CI6" s="25"/>
      <c r="CJ6" s="25"/>
      <c r="CK6" s="25"/>
      <c r="CL6" s="25"/>
      <c r="CM6" s="25"/>
      <c r="CN6" s="25"/>
      <c r="CO6" s="25"/>
      <c r="CP6" s="24">
        <v>914824</v>
      </c>
      <c r="CQ6" s="33">
        <v>0.05</v>
      </c>
      <c r="CR6" s="25">
        <v>0.04</v>
      </c>
      <c r="CS6" s="25">
        <v>2.2000000000000002</v>
      </c>
      <c r="CT6" s="25">
        <v>22</v>
      </c>
      <c r="CU6" s="25">
        <v>51.91</v>
      </c>
      <c r="CV6" s="25">
        <v>0.3</v>
      </c>
      <c r="CW6" s="24">
        <v>105369</v>
      </c>
      <c r="CX6" s="33">
        <v>5.5E-2</v>
      </c>
      <c r="CY6" s="25">
        <v>0.04</v>
      </c>
      <c r="CZ6" s="34">
        <v>2.1</v>
      </c>
      <c r="DA6" s="35">
        <v>21</v>
      </c>
      <c r="DB6" s="25">
        <v>51.74</v>
      </c>
      <c r="DC6" s="25">
        <v>0.3</v>
      </c>
      <c r="DD6" s="24"/>
      <c r="DE6" s="25"/>
      <c r="DF6" s="25"/>
      <c r="DG6" s="25"/>
      <c r="DH6" s="25"/>
      <c r="DI6" s="25"/>
      <c r="DJ6" s="25"/>
      <c r="DK6" s="25"/>
      <c r="DL6" s="58"/>
      <c r="DM6" s="24"/>
      <c r="DN6" s="33"/>
      <c r="DO6" s="25"/>
      <c r="DP6" s="25"/>
      <c r="DQ6" s="25"/>
      <c r="DR6" s="25"/>
      <c r="DS6" s="25"/>
      <c r="DT6" s="25"/>
      <c r="DU6" s="72"/>
      <c r="DV6" s="25"/>
      <c r="DW6" s="25"/>
      <c r="DX6" s="25"/>
      <c r="DY6" s="25"/>
      <c r="DZ6" s="25"/>
      <c r="EA6" s="25"/>
      <c r="EB6" s="25"/>
      <c r="EC6" s="25"/>
      <c r="ED6" s="56"/>
      <c r="EE6" s="24"/>
      <c r="EF6" s="25"/>
      <c r="EG6" s="25"/>
      <c r="EH6" s="25"/>
      <c r="EI6" s="25"/>
      <c r="EJ6" s="25"/>
      <c r="EK6" s="25"/>
      <c r="EL6" s="25"/>
      <c r="EM6" s="58"/>
      <c r="EN6" s="39"/>
      <c r="EO6" s="40">
        <f>[3]!Table1[[#This Row],[1]]</f>
        <v>46054</v>
      </c>
      <c r="EP6" s="40">
        <v>45978</v>
      </c>
      <c r="EQ6" s="40">
        <v>46001</v>
      </c>
      <c r="ER6" s="40" t="s">
        <v>70</v>
      </c>
      <c r="ES6" s="40">
        <v>45930</v>
      </c>
      <c r="ET6" s="40">
        <v>46052</v>
      </c>
      <c r="EU6" s="40" t="s">
        <v>71</v>
      </c>
      <c r="EV6" s="40">
        <v>45992</v>
      </c>
      <c r="EW6" s="40">
        <v>46029</v>
      </c>
      <c r="EX6" s="40" t="s">
        <v>71</v>
      </c>
      <c r="EY6" s="40">
        <v>45688</v>
      </c>
      <c r="EZ6" s="40">
        <v>46054</v>
      </c>
      <c r="FA6" s="40">
        <v>46038</v>
      </c>
      <c r="FB6" s="40">
        <v>46048</v>
      </c>
      <c r="FC6" s="40"/>
      <c r="FD6" s="40"/>
      <c r="FE6" s="40">
        <v>46037</v>
      </c>
      <c r="FF6" s="40">
        <v>46048</v>
      </c>
      <c r="FG6" s="40">
        <v>46041</v>
      </c>
      <c r="FH6" s="40">
        <v>46044</v>
      </c>
      <c r="FI6" s="40">
        <v>46044</v>
      </c>
      <c r="FJ6" s="40">
        <v>46047</v>
      </c>
      <c r="FK6" s="40">
        <v>46047</v>
      </c>
      <c r="FL6" s="40">
        <v>46048</v>
      </c>
      <c r="FM6" s="40"/>
      <c r="FN6" s="40"/>
      <c r="FO6" s="40"/>
      <c r="FP6" s="40"/>
      <c r="FQ6" s="40">
        <v>46023</v>
      </c>
      <c r="FR6" s="40">
        <v>46048</v>
      </c>
      <c r="FS6" s="40"/>
      <c r="FT6" s="40">
        <v>46022</v>
      </c>
      <c r="FU6" s="40">
        <v>46046</v>
      </c>
      <c r="FV6" s="40"/>
      <c r="FW6" s="40"/>
      <c r="FX6" s="40"/>
      <c r="FY6" s="40"/>
      <c r="FZ6" s="40"/>
      <c r="GA6" s="40"/>
      <c r="GB6" s="40"/>
      <c r="GC6" s="40"/>
      <c r="GD6" s="40"/>
    </row>
    <row r="7" spans="2:186" x14ac:dyDescent="0.35">
      <c r="B7" s="41">
        <f>B6+1</f>
        <v>46055</v>
      </c>
      <c r="C7" s="24">
        <v>508380</v>
      </c>
      <c r="D7" s="25">
        <v>5.22</v>
      </c>
      <c r="E7" s="25">
        <v>0.27</v>
      </c>
      <c r="F7" s="25">
        <v>1.9</v>
      </c>
      <c r="G7" s="25">
        <v>51.89</v>
      </c>
      <c r="H7" s="25">
        <v>2.33</v>
      </c>
      <c r="I7" s="25">
        <v>2.2000000000000002</v>
      </c>
      <c r="J7" s="25">
        <f t="shared" ref="J7:J34" si="0">(H7*2)+I7</f>
        <v>6.86</v>
      </c>
      <c r="K7" s="24">
        <v>2525919</v>
      </c>
      <c r="L7" s="25">
        <v>4.8109854591536783</v>
      </c>
      <c r="M7" s="25">
        <v>0.26388943588452368</v>
      </c>
      <c r="N7" s="25">
        <v>1.8914252357260863</v>
      </c>
      <c r="O7" s="25">
        <v>51.89898436964922</v>
      </c>
      <c r="P7" s="25">
        <v>2.1002301736516498</v>
      </c>
      <c r="Q7" s="25">
        <v>2.0002301736516492</v>
      </c>
      <c r="R7" s="25">
        <f t="shared" ref="R7:R34" si="1">(P7*2)+Q7</f>
        <v>6.2006905209549483</v>
      </c>
      <c r="S7" s="26">
        <v>2573906</v>
      </c>
      <c r="T7" s="25">
        <v>5.0999999999999996</v>
      </c>
      <c r="U7" s="25">
        <v>0.3</v>
      </c>
      <c r="V7" s="25">
        <v>1.9</v>
      </c>
      <c r="W7" s="27">
        <v>51.98</v>
      </c>
      <c r="X7" s="25">
        <v>2.1</v>
      </c>
      <c r="Y7" s="25">
        <v>2</v>
      </c>
      <c r="Z7" s="25">
        <f t="shared" ref="Z7:Z34" si="2">(X7*2)+Y7</f>
        <v>6.2</v>
      </c>
      <c r="AA7" s="24">
        <v>246383</v>
      </c>
      <c r="AB7" s="25">
        <v>86.9</v>
      </c>
      <c r="AC7" s="25">
        <v>0.37</v>
      </c>
      <c r="AD7" s="42">
        <v>529521</v>
      </c>
      <c r="AE7" s="48">
        <v>5.5E-2</v>
      </c>
      <c r="AF7" s="49">
        <v>0.04</v>
      </c>
      <c r="AG7" s="50">
        <v>1.8</v>
      </c>
      <c r="AH7" s="51">
        <v>18</v>
      </c>
      <c r="AI7" s="49">
        <v>36.6</v>
      </c>
      <c r="AJ7" s="49"/>
      <c r="AK7" s="49">
        <v>50.2</v>
      </c>
      <c r="AL7" s="42"/>
      <c r="AM7" s="49"/>
      <c r="AN7" s="49"/>
      <c r="AO7" s="49"/>
      <c r="AP7" s="49"/>
      <c r="AQ7" s="49"/>
      <c r="AR7" s="49"/>
      <c r="AS7" s="49"/>
      <c r="AT7" s="42">
        <v>536860</v>
      </c>
      <c r="AU7" s="48">
        <v>7.2999999999999995E-2</v>
      </c>
      <c r="AV7" s="49">
        <v>0.05</v>
      </c>
      <c r="AW7" s="50">
        <v>2.1</v>
      </c>
      <c r="AX7" s="51">
        <v>21</v>
      </c>
      <c r="AY7" s="49">
        <v>56.17</v>
      </c>
      <c r="AZ7" s="49"/>
      <c r="BA7" s="50">
        <v>9.8000000000000007</v>
      </c>
      <c r="BB7" s="42">
        <v>527920</v>
      </c>
      <c r="BC7" s="48">
        <v>5.7000000000000002E-2</v>
      </c>
      <c r="BD7" s="49">
        <v>0.04</v>
      </c>
      <c r="BE7" s="49">
        <v>2.1</v>
      </c>
      <c r="BF7" s="49">
        <v>21</v>
      </c>
      <c r="BG7" s="49">
        <v>57.9</v>
      </c>
      <c r="BH7" s="49"/>
      <c r="BI7" s="49">
        <v>9</v>
      </c>
      <c r="BJ7" s="42">
        <v>508583</v>
      </c>
      <c r="BK7" s="48">
        <v>5.1999999999999998E-2</v>
      </c>
      <c r="BL7" s="49">
        <v>0.04</v>
      </c>
      <c r="BM7" s="49">
        <v>2.1</v>
      </c>
      <c r="BN7" s="49">
        <v>21</v>
      </c>
      <c r="BO7" s="49">
        <v>56.3</v>
      </c>
      <c r="BP7" s="49"/>
      <c r="BQ7" s="49">
        <v>9.8000000000000007</v>
      </c>
      <c r="BR7" s="42">
        <v>379102</v>
      </c>
      <c r="BS7" s="48">
        <v>5.2999999999999999E-2</v>
      </c>
      <c r="BT7" s="49">
        <v>0.04</v>
      </c>
      <c r="BU7" s="49">
        <v>2.2000000000000002</v>
      </c>
      <c r="BV7" s="49">
        <v>22</v>
      </c>
      <c r="BW7" s="49">
        <v>56.48</v>
      </c>
      <c r="BX7" s="49"/>
      <c r="BY7" s="49">
        <v>9.8000000000000007</v>
      </c>
      <c r="BZ7" s="42"/>
      <c r="CA7" s="48"/>
      <c r="CB7" s="49"/>
      <c r="CC7" s="49"/>
      <c r="CD7" s="49"/>
      <c r="CE7" s="49"/>
      <c r="CF7" s="49"/>
      <c r="CG7" s="49"/>
      <c r="CH7" s="42"/>
      <c r="CI7" s="49"/>
      <c r="CJ7" s="49"/>
      <c r="CK7" s="49"/>
      <c r="CL7" s="49"/>
      <c r="CM7" s="49"/>
      <c r="CN7" s="49"/>
      <c r="CO7" s="49"/>
      <c r="CP7" s="42">
        <v>775939</v>
      </c>
      <c r="CQ7" s="48">
        <v>0.05</v>
      </c>
      <c r="CR7" s="49">
        <v>0.04</v>
      </c>
      <c r="CS7" s="50">
        <v>2.2000000000000002</v>
      </c>
      <c r="CT7" s="51">
        <v>22</v>
      </c>
      <c r="CU7" s="49">
        <v>51.91</v>
      </c>
      <c r="CV7" s="49">
        <v>0.3</v>
      </c>
      <c r="CW7" s="42">
        <v>246417</v>
      </c>
      <c r="CX7" s="33">
        <v>0.04</v>
      </c>
      <c r="CY7" s="25">
        <v>0.04</v>
      </c>
      <c r="CZ7" s="34">
        <v>2.1</v>
      </c>
      <c r="DA7" s="35">
        <v>21</v>
      </c>
      <c r="DB7" s="25">
        <v>51.88</v>
      </c>
      <c r="DC7" s="25">
        <v>0.3</v>
      </c>
      <c r="DD7" s="42"/>
      <c r="DE7" s="49"/>
      <c r="DF7" s="49"/>
      <c r="DG7" s="49"/>
      <c r="DH7" s="49"/>
      <c r="DI7" s="49"/>
      <c r="DJ7" s="49"/>
      <c r="DK7" s="49"/>
      <c r="DL7" s="56"/>
      <c r="DM7" s="24">
        <v>34231</v>
      </c>
      <c r="DN7" s="33">
        <v>4.8000000000000001E-2</v>
      </c>
      <c r="DO7" s="25">
        <v>0.04</v>
      </c>
      <c r="DP7" s="25">
        <v>2.2000000000000002</v>
      </c>
      <c r="DQ7" s="25">
        <v>22</v>
      </c>
      <c r="DR7" s="25">
        <v>58.9</v>
      </c>
      <c r="DS7" s="25"/>
      <c r="DT7" s="25">
        <v>7.6</v>
      </c>
      <c r="DU7" s="57"/>
      <c r="DV7" s="49"/>
      <c r="DW7" s="49"/>
      <c r="DX7" s="49"/>
      <c r="DY7" s="49"/>
      <c r="DZ7" s="49"/>
      <c r="EA7" s="49"/>
      <c r="EB7" s="49"/>
      <c r="EC7" s="49"/>
      <c r="ED7" s="56"/>
      <c r="EE7" s="42"/>
      <c r="EF7" s="49"/>
      <c r="EG7" s="49"/>
      <c r="EH7" s="49"/>
      <c r="EI7" s="49"/>
      <c r="EJ7" s="49"/>
      <c r="EK7" s="49"/>
      <c r="EL7" s="49"/>
      <c r="EM7" s="58"/>
      <c r="EN7" s="39"/>
      <c r="EO7" s="40">
        <f>EO6+1</f>
        <v>46055</v>
      </c>
      <c r="EP7" s="40">
        <v>45978</v>
      </c>
      <c r="EQ7" s="40">
        <v>46001</v>
      </c>
      <c r="ER7" s="40" t="s">
        <v>70</v>
      </c>
      <c r="ES7" s="40">
        <v>45930</v>
      </c>
      <c r="ET7" s="40">
        <v>46053</v>
      </c>
      <c r="EU7" s="40" t="s">
        <v>71</v>
      </c>
      <c r="EV7" s="40">
        <v>45992</v>
      </c>
      <c r="EW7" s="40">
        <v>46029</v>
      </c>
      <c r="EX7" s="40" t="s">
        <v>71</v>
      </c>
      <c r="EY7" s="40">
        <v>45688</v>
      </c>
      <c r="EZ7" s="40">
        <v>46054</v>
      </c>
      <c r="FA7" s="40">
        <v>46038</v>
      </c>
      <c r="FB7" s="40">
        <v>46048</v>
      </c>
      <c r="FC7" s="40">
        <v>46055</v>
      </c>
      <c r="FD7" s="40">
        <v>46055</v>
      </c>
      <c r="FE7" s="40">
        <v>46037</v>
      </c>
      <c r="FF7" s="40">
        <v>46048</v>
      </c>
      <c r="FG7" s="40">
        <v>46041</v>
      </c>
      <c r="FH7" s="40">
        <v>46044</v>
      </c>
      <c r="FI7" s="40">
        <v>46044</v>
      </c>
      <c r="FJ7" s="40">
        <v>46047</v>
      </c>
      <c r="FK7" s="40">
        <v>46047</v>
      </c>
      <c r="FL7" s="40">
        <v>46048</v>
      </c>
      <c r="FM7" s="40"/>
      <c r="FN7" s="40"/>
      <c r="FO7" s="40"/>
      <c r="FP7" s="40"/>
      <c r="FQ7" s="40">
        <v>46023</v>
      </c>
      <c r="FR7" s="40">
        <v>46048</v>
      </c>
      <c r="FS7" s="40" t="s">
        <v>72</v>
      </c>
      <c r="FT7" s="40">
        <v>46022</v>
      </c>
      <c r="FU7" s="40">
        <v>46054</v>
      </c>
      <c r="FV7" s="40"/>
      <c r="FW7" s="40"/>
      <c r="FX7" s="40"/>
      <c r="FY7" s="40">
        <v>46054</v>
      </c>
      <c r="FZ7" s="40">
        <v>46054</v>
      </c>
      <c r="GA7" s="40"/>
      <c r="GB7" s="40"/>
      <c r="GC7" s="40"/>
      <c r="GD7" s="40"/>
    </row>
    <row r="8" spans="2:186" x14ac:dyDescent="0.35">
      <c r="B8" s="41">
        <f t="shared" ref="B8:B37" si="3">B7+1</f>
        <v>46056</v>
      </c>
      <c r="C8" s="24">
        <v>327080</v>
      </c>
      <c r="D8" s="49">
        <v>5.24</v>
      </c>
      <c r="E8" s="49">
        <v>0.27</v>
      </c>
      <c r="F8" s="49">
        <v>1.88</v>
      </c>
      <c r="G8" s="49">
        <v>51.89</v>
      </c>
      <c r="H8" s="25">
        <v>2.33</v>
      </c>
      <c r="I8" s="25">
        <v>2.2000000000000002</v>
      </c>
      <c r="J8" s="25">
        <f t="shared" si="0"/>
        <v>6.86</v>
      </c>
      <c r="K8" s="42">
        <v>2565769</v>
      </c>
      <c r="L8" s="25">
        <v>4.8</v>
      </c>
      <c r="M8" s="25">
        <v>0.26388943588452368</v>
      </c>
      <c r="N8" s="25">
        <v>1.8914252357260863</v>
      </c>
      <c r="O8" s="25">
        <v>51.89898436964922</v>
      </c>
      <c r="P8" s="25">
        <v>2.1002301736516498</v>
      </c>
      <c r="Q8" s="25">
        <v>2.0002301736516492</v>
      </c>
      <c r="R8" s="25">
        <f t="shared" si="1"/>
        <v>6.2006905209549483</v>
      </c>
      <c r="S8" s="26">
        <v>2573906</v>
      </c>
      <c r="T8" s="25">
        <v>5.0999999999999996</v>
      </c>
      <c r="U8" s="25">
        <v>0.3</v>
      </c>
      <c r="V8" s="25">
        <v>1.9</v>
      </c>
      <c r="W8" s="27">
        <v>51.98</v>
      </c>
      <c r="X8" s="25">
        <v>2.1</v>
      </c>
      <c r="Y8" s="25">
        <v>2</v>
      </c>
      <c r="Z8" s="25">
        <f t="shared" si="2"/>
        <v>6.2</v>
      </c>
      <c r="AA8" s="24">
        <v>250276</v>
      </c>
      <c r="AB8" s="25">
        <v>86.75</v>
      </c>
      <c r="AC8" s="25">
        <v>0.37</v>
      </c>
      <c r="AD8" s="42">
        <v>529521</v>
      </c>
      <c r="AE8" s="48">
        <v>5.5E-2</v>
      </c>
      <c r="AF8" s="49">
        <v>0.04</v>
      </c>
      <c r="AG8" s="50">
        <v>1.8</v>
      </c>
      <c r="AH8" s="51">
        <v>18</v>
      </c>
      <c r="AI8" s="49">
        <v>36.6</v>
      </c>
      <c r="AJ8" s="49"/>
      <c r="AK8" s="49">
        <v>50.2</v>
      </c>
      <c r="AL8" s="42">
        <v>44014</v>
      </c>
      <c r="AM8" s="48">
        <v>4.5799999999999993E-2</v>
      </c>
      <c r="AN8" s="49">
        <v>3.5999999999999997E-2</v>
      </c>
      <c r="AO8" s="50">
        <v>1.92</v>
      </c>
      <c r="AP8" s="51">
        <v>19</v>
      </c>
      <c r="AQ8" s="49">
        <v>35.204000000000008</v>
      </c>
      <c r="AR8" s="49"/>
      <c r="AS8" s="49">
        <v>50</v>
      </c>
      <c r="AT8" s="42">
        <v>536860</v>
      </c>
      <c r="AU8" s="48">
        <v>7.3999999999999996E-2</v>
      </c>
      <c r="AV8" s="49">
        <v>0.05</v>
      </c>
      <c r="AW8" s="50">
        <v>2.1</v>
      </c>
      <c r="AX8" s="51">
        <v>21</v>
      </c>
      <c r="AY8" s="49">
        <v>56.17</v>
      </c>
      <c r="AZ8" s="49"/>
      <c r="BA8" s="50">
        <v>9.8000000000000007</v>
      </c>
      <c r="BB8" s="42">
        <v>521428</v>
      </c>
      <c r="BC8" s="48">
        <v>5.8000000000000003E-2</v>
      </c>
      <c r="BD8" s="49">
        <v>0.04</v>
      </c>
      <c r="BE8" s="49">
        <v>2.1</v>
      </c>
      <c r="BF8" s="49">
        <v>21</v>
      </c>
      <c r="BG8" s="49">
        <v>57.9</v>
      </c>
      <c r="BH8" s="49"/>
      <c r="BI8" s="49">
        <v>9</v>
      </c>
      <c r="BJ8" s="24">
        <v>508583</v>
      </c>
      <c r="BK8" s="48">
        <v>5.1999999999999998E-2</v>
      </c>
      <c r="BL8" s="49">
        <v>0.04</v>
      </c>
      <c r="BM8" s="49">
        <v>2.1</v>
      </c>
      <c r="BN8" s="49">
        <v>21</v>
      </c>
      <c r="BO8" s="49">
        <v>56.3</v>
      </c>
      <c r="BP8" s="49"/>
      <c r="BQ8" s="49">
        <v>9.8000000000000007</v>
      </c>
      <c r="BR8" s="42">
        <v>479172</v>
      </c>
      <c r="BS8" s="48">
        <v>5.2999999999999999E-2</v>
      </c>
      <c r="BT8" s="49">
        <v>0.04</v>
      </c>
      <c r="BU8" s="49">
        <v>2.2000000000000002</v>
      </c>
      <c r="BV8" s="49">
        <v>22</v>
      </c>
      <c r="BW8" s="49">
        <v>57.06</v>
      </c>
      <c r="BX8" s="49"/>
      <c r="BY8" s="49">
        <v>9.1999999999999993</v>
      </c>
      <c r="BZ8" s="42"/>
      <c r="CA8" s="48"/>
      <c r="CB8" s="49"/>
      <c r="CC8" s="49"/>
      <c r="CD8" s="49"/>
      <c r="CE8" s="49"/>
      <c r="CF8" s="49"/>
      <c r="CG8" s="49"/>
      <c r="CH8" s="42"/>
      <c r="CI8" s="49"/>
      <c r="CJ8" s="49"/>
      <c r="CK8" s="49"/>
      <c r="CL8" s="49"/>
      <c r="CM8" s="49"/>
      <c r="CN8" s="49"/>
      <c r="CO8" s="49"/>
      <c r="CP8" s="42">
        <v>648521</v>
      </c>
      <c r="CQ8" s="48">
        <v>5.2999999999999999E-2</v>
      </c>
      <c r="CR8" s="49">
        <v>0.04</v>
      </c>
      <c r="CS8" s="50">
        <v>2.2000000000000002</v>
      </c>
      <c r="CT8" s="51">
        <v>22</v>
      </c>
      <c r="CU8" s="49">
        <v>51.91</v>
      </c>
      <c r="CV8" s="49">
        <v>0.3</v>
      </c>
      <c r="CW8" s="42">
        <v>421773</v>
      </c>
      <c r="CX8" s="33">
        <v>4.3999999999999997E-2</v>
      </c>
      <c r="CY8" s="25">
        <v>0.04</v>
      </c>
      <c r="CZ8" s="34">
        <v>2.1</v>
      </c>
      <c r="DA8" s="35">
        <v>21</v>
      </c>
      <c r="DB8" s="25">
        <v>51.85</v>
      </c>
      <c r="DC8" s="25">
        <v>0.3</v>
      </c>
      <c r="DD8" s="42"/>
      <c r="DE8" s="49"/>
      <c r="DF8" s="49"/>
      <c r="DG8" s="49"/>
      <c r="DH8" s="49"/>
      <c r="DI8" s="49"/>
      <c r="DJ8" s="49"/>
      <c r="DK8" s="49"/>
      <c r="DL8" s="56"/>
      <c r="DM8" s="42">
        <v>32951</v>
      </c>
      <c r="DN8" s="33">
        <v>4.8000000000000001E-2</v>
      </c>
      <c r="DO8" s="25">
        <v>0.04</v>
      </c>
      <c r="DP8" s="25">
        <v>2.2000000000000002</v>
      </c>
      <c r="DQ8" s="25">
        <v>22</v>
      </c>
      <c r="DR8" s="25">
        <v>58.9</v>
      </c>
      <c r="DS8" s="25"/>
      <c r="DT8" s="25">
        <v>7.6</v>
      </c>
      <c r="DU8" s="57"/>
      <c r="DV8" s="49"/>
      <c r="DW8" s="49"/>
      <c r="DX8" s="49"/>
      <c r="DY8" s="49"/>
      <c r="DZ8" s="49"/>
      <c r="EA8" s="49"/>
      <c r="EB8" s="49"/>
      <c r="EC8" s="49"/>
      <c r="ED8" s="56"/>
      <c r="EE8" s="42"/>
      <c r="EF8" s="49"/>
      <c r="EG8" s="49"/>
      <c r="EH8" s="49"/>
      <c r="EI8" s="49"/>
      <c r="EJ8" s="49"/>
      <c r="EK8" s="49"/>
      <c r="EL8" s="49"/>
      <c r="EM8" s="58"/>
      <c r="EN8" s="39"/>
      <c r="EO8" s="40">
        <f t="shared" ref="EO8:EO36" si="4">EO7+1</f>
        <v>46056</v>
      </c>
      <c r="EP8" s="40">
        <v>45978</v>
      </c>
      <c r="EQ8" s="40">
        <v>46001</v>
      </c>
      <c r="ER8" s="40" t="s">
        <v>70</v>
      </c>
      <c r="ES8" s="40">
        <v>45930</v>
      </c>
      <c r="ET8" s="40">
        <v>46055</v>
      </c>
      <c r="EU8" s="40" t="s">
        <v>71</v>
      </c>
      <c r="EV8" s="40">
        <v>45992</v>
      </c>
      <c r="EW8" s="40">
        <v>46029</v>
      </c>
      <c r="EX8" s="40" t="s">
        <v>71</v>
      </c>
      <c r="EY8" s="40">
        <v>45688</v>
      </c>
      <c r="EZ8" s="40">
        <v>46055</v>
      </c>
      <c r="FA8" s="40">
        <v>46038</v>
      </c>
      <c r="FB8" s="40">
        <v>46055</v>
      </c>
      <c r="FC8" s="40">
        <v>46055</v>
      </c>
      <c r="FD8" s="40">
        <v>46055</v>
      </c>
      <c r="FE8" s="40">
        <v>46037</v>
      </c>
      <c r="FF8" s="40">
        <v>46048</v>
      </c>
      <c r="FG8" s="40">
        <v>46041</v>
      </c>
      <c r="FH8" s="40">
        <v>46044</v>
      </c>
      <c r="FI8" s="40">
        <v>46044</v>
      </c>
      <c r="FJ8" s="40">
        <v>46047</v>
      </c>
      <c r="FK8" s="40">
        <v>46047</v>
      </c>
      <c r="FL8" s="40">
        <v>46055</v>
      </c>
      <c r="FM8" s="40"/>
      <c r="FN8" s="40"/>
      <c r="FO8" s="40"/>
      <c r="FP8" s="40"/>
      <c r="FQ8" s="40">
        <v>46023</v>
      </c>
      <c r="FR8" s="40">
        <v>46048</v>
      </c>
      <c r="FS8" s="40" t="s">
        <v>72</v>
      </c>
      <c r="FT8" s="40">
        <v>46022</v>
      </c>
      <c r="FU8" s="40">
        <v>46055</v>
      </c>
      <c r="FV8" s="40"/>
      <c r="FW8" s="40"/>
      <c r="FX8" s="40"/>
      <c r="FY8" s="40">
        <v>46054</v>
      </c>
      <c r="FZ8" s="40">
        <v>46054</v>
      </c>
      <c r="GA8" s="40"/>
      <c r="GB8" s="40"/>
      <c r="GC8" s="40"/>
      <c r="GD8" s="40"/>
    </row>
    <row r="9" spans="2:186" x14ac:dyDescent="0.35">
      <c r="B9" s="41">
        <f t="shared" si="3"/>
        <v>46057</v>
      </c>
      <c r="C9" s="24">
        <v>452170</v>
      </c>
      <c r="D9" s="49">
        <v>5.05</v>
      </c>
      <c r="E9" s="49">
        <v>0.27</v>
      </c>
      <c r="F9" s="49">
        <v>1.92</v>
      </c>
      <c r="G9" s="49">
        <v>51.89</v>
      </c>
      <c r="H9" s="25">
        <v>2.2599999999999998</v>
      </c>
      <c r="I9" s="25">
        <v>2.2000000000000002</v>
      </c>
      <c r="J9" s="25">
        <f t="shared" si="0"/>
        <v>6.72</v>
      </c>
      <c r="K9" s="42">
        <v>2577692</v>
      </c>
      <c r="L9" s="25">
        <v>4.8</v>
      </c>
      <c r="M9" s="25">
        <v>0.26388943588452368</v>
      </c>
      <c r="N9" s="25">
        <v>1.8914252357260863</v>
      </c>
      <c r="O9" s="25">
        <v>51.89898436964922</v>
      </c>
      <c r="P9" s="25">
        <v>2.1002301736516498</v>
      </c>
      <c r="Q9" s="25">
        <v>2.0002301736516492</v>
      </c>
      <c r="R9" s="25">
        <f t="shared" si="1"/>
        <v>6.2006905209549483</v>
      </c>
      <c r="S9" s="26">
        <v>2573906</v>
      </c>
      <c r="T9" s="25">
        <v>5.13</v>
      </c>
      <c r="U9" s="25">
        <v>0.3</v>
      </c>
      <c r="V9" s="25">
        <v>1.9</v>
      </c>
      <c r="W9" s="27">
        <v>51.98</v>
      </c>
      <c r="X9" s="25">
        <v>2.1</v>
      </c>
      <c r="Y9" s="25">
        <v>2</v>
      </c>
      <c r="Z9" s="25">
        <f t="shared" si="2"/>
        <v>6.2</v>
      </c>
      <c r="AA9" s="42">
        <v>250276</v>
      </c>
      <c r="AB9" s="49">
        <v>86.55</v>
      </c>
      <c r="AC9" s="25">
        <v>0.37</v>
      </c>
      <c r="AD9" s="42">
        <v>529521</v>
      </c>
      <c r="AE9" s="48">
        <v>5.5E-2</v>
      </c>
      <c r="AF9" s="49">
        <v>0.04</v>
      </c>
      <c r="AG9" s="50">
        <v>1.8</v>
      </c>
      <c r="AH9" s="51">
        <v>18</v>
      </c>
      <c r="AI9" s="49">
        <v>36.6</v>
      </c>
      <c r="AJ9" s="49"/>
      <c r="AK9" s="49">
        <v>50.2</v>
      </c>
      <c r="AL9" s="42">
        <v>44014</v>
      </c>
      <c r="AM9" s="48">
        <v>4.7E-2</v>
      </c>
      <c r="AN9" s="49">
        <v>3.5999999999999997E-2</v>
      </c>
      <c r="AO9" s="50">
        <v>1.92</v>
      </c>
      <c r="AP9" s="51">
        <v>19</v>
      </c>
      <c r="AQ9" s="49">
        <v>35.204000000000008</v>
      </c>
      <c r="AR9" s="49"/>
      <c r="AS9" s="49">
        <v>50</v>
      </c>
      <c r="AT9" s="42">
        <v>536860</v>
      </c>
      <c r="AU9" s="48">
        <v>7.3999999999999996E-2</v>
      </c>
      <c r="AV9" s="49">
        <v>0.05</v>
      </c>
      <c r="AW9" s="50">
        <v>2.1</v>
      </c>
      <c r="AX9" s="51">
        <v>21</v>
      </c>
      <c r="AY9" s="49">
        <v>56.17</v>
      </c>
      <c r="AZ9" s="49"/>
      <c r="BA9" s="50">
        <v>9.8000000000000007</v>
      </c>
      <c r="BB9" s="42">
        <v>521428</v>
      </c>
      <c r="BC9" s="48">
        <v>5.8000000000000003E-2</v>
      </c>
      <c r="BD9" s="49">
        <v>0.04</v>
      </c>
      <c r="BE9" s="49">
        <v>2.1</v>
      </c>
      <c r="BF9" s="49">
        <v>21</v>
      </c>
      <c r="BG9" s="49">
        <v>57.9</v>
      </c>
      <c r="BH9" s="49"/>
      <c r="BI9" s="49">
        <v>9</v>
      </c>
      <c r="BJ9" s="24">
        <v>508583</v>
      </c>
      <c r="BK9" s="48">
        <v>5.2999999999999999E-2</v>
      </c>
      <c r="BL9" s="49">
        <v>0.04</v>
      </c>
      <c r="BM9" s="49">
        <v>2.1</v>
      </c>
      <c r="BN9" s="49">
        <v>21</v>
      </c>
      <c r="BO9" s="49">
        <v>56.3</v>
      </c>
      <c r="BP9" s="49"/>
      <c r="BQ9" s="49">
        <v>9.8000000000000007</v>
      </c>
      <c r="BR9" s="42">
        <v>510730</v>
      </c>
      <c r="BS9" s="48">
        <v>5.1999999999999998E-2</v>
      </c>
      <c r="BT9" s="49">
        <v>0.04</v>
      </c>
      <c r="BU9" s="49">
        <v>2.2000000000000002</v>
      </c>
      <c r="BV9" s="49">
        <v>22</v>
      </c>
      <c r="BW9" s="49">
        <v>56.55</v>
      </c>
      <c r="BX9" s="49"/>
      <c r="BY9" s="49">
        <v>9.6</v>
      </c>
      <c r="BZ9" s="42">
        <v>26023</v>
      </c>
      <c r="CA9" s="48">
        <v>4.4999999999999998E-2</v>
      </c>
      <c r="CB9" s="49">
        <v>0.04</v>
      </c>
      <c r="CC9" s="49">
        <v>2.2999999999999998</v>
      </c>
      <c r="CD9" s="49">
        <v>23</v>
      </c>
      <c r="CE9" s="49">
        <v>57.07</v>
      </c>
      <c r="CF9" s="49"/>
      <c r="CG9" s="49">
        <v>8.6</v>
      </c>
      <c r="CH9" s="42"/>
      <c r="CI9" s="49"/>
      <c r="CJ9" s="49"/>
      <c r="CK9" s="49"/>
      <c r="CL9" s="49"/>
      <c r="CM9" s="49"/>
      <c r="CN9" s="49"/>
      <c r="CO9" s="49"/>
      <c r="CP9" s="42">
        <v>616666</v>
      </c>
      <c r="CQ9" s="48">
        <v>5.3999999999999999E-2</v>
      </c>
      <c r="CR9" s="49">
        <v>0.04</v>
      </c>
      <c r="CS9" s="50">
        <v>2.2000000000000002</v>
      </c>
      <c r="CT9" s="51">
        <v>22</v>
      </c>
      <c r="CU9" s="49">
        <v>51.91</v>
      </c>
      <c r="CV9" s="49">
        <v>0.3</v>
      </c>
      <c r="CW9" s="42">
        <v>505004</v>
      </c>
      <c r="CX9" s="33">
        <v>3.5999999999999997E-2</v>
      </c>
      <c r="CY9" s="25">
        <v>0.04</v>
      </c>
      <c r="CZ9" s="34">
        <v>2.1</v>
      </c>
      <c r="DA9" s="35">
        <v>21</v>
      </c>
      <c r="DB9" s="25">
        <v>51.85</v>
      </c>
      <c r="DC9" s="25">
        <v>0.3</v>
      </c>
      <c r="DD9" s="42"/>
      <c r="DE9" s="49"/>
      <c r="DF9" s="49"/>
      <c r="DG9" s="49"/>
      <c r="DH9" s="49"/>
      <c r="DI9" s="49"/>
      <c r="DJ9" s="49"/>
      <c r="DK9" s="49"/>
      <c r="DL9" s="56"/>
      <c r="DM9" s="42">
        <v>32951</v>
      </c>
      <c r="DN9" s="33">
        <v>4.8000000000000001E-2</v>
      </c>
      <c r="DO9" s="25">
        <v>0.04</v>
      </c>
      <c r="DP9" s="25">
        <v>2.2000000000000002</v>
      </c>
      <c r="DQ9" s="25">
        <v>22</v>
      </c>
      <c r="DR9" s="25">
        <v>58.9</v>
      </c>
      <c r="DS9" s="25"/>
      <c r="DT9" s="25">
        <v>7.6</v>
      </c>
      <c r="DU9" s="57"/>
      <c r="DV9" s="49"/>
      <c r="DW9" s="49"/>
      <c r="DX9" s="49"/>
      <c r="DY9" s="49"/>
      <c r="DZ9" s="49"/>
      <c r="EA9" s="49"/>
      <c r="EB9" s="49"/>
      <c r="EC9" s="49"/>
      <c r="ED9" s="56"/>
      <c r="EE9" s="42"/>
      <c r="EF9" s="49"/>
      <c r="EG9" s="49"/>
      <c r="EH9" s="49"/>
      <c r="EI9" s="49"/>
      <c r="EJ9" s="49"/>
      <c r="EK9" s="49"/>
      <c r="EL9" s="49"/>
      <c r="EM9" s="58"/>
      <c r="EN9" s="39"/>
      <c r="EO9" s="40">
        <f t="shared" si="4"/>
        <v>46057</v>
      </c>
      <c r="EP9" s="40">
        <v>45978</v>
      </c>
      <c r="EQ9" s="40">
        <v>46056</v>
      </c>
      <c r="ER9" s="40" t="s">
        <v>70</v>
      </c>
      <c r="ES9" s="40">
        <v>45930</v>
      </c>
      <c r="ET9" s="40">
        <v>46055</v>
      </c>
      <c r="EU9" s="40" t="s">
        <v>71</v>
      </c>
      <c r="EV9" s="40">
        <v>45992</v>
      </c>
      <c r="EW9" s="40">
        <v>46029</v>
      </c>
      <c r="EX9" s="40" t="s">
        <v>71</v>
      </c>
      <c r="EY9" s="40">
        <v>45688</v>
      </c>
      <c r="EZ9" s="40">
        <v>46055</v>
      </c>
      <c r="FA9" s="40">
        <v>46038</v>
      </c>
      <c r="FB9" s="40">
        <v>46055</v>
      </c>
      <c r="FC9" s="40">
        <v>46055</v>
      </c>
      <c r="FD9" s="40">
        <v>46055</v>
      </c>
      <c r="FE9" s="40">
        <v>46037</v>
      </c>
      <c r="FF9" s="40">
        <v>46048</v>
      </c>
      <c r="FG9" s="40">
        <v>46041</v>
      </c>
      <c r="FH9" s="40">
        <v>46044</v>
      </c>
      <c r="FI9" s="40">
        <v>46044</v>
      </c>
      <c r="FJ9" s="40">
        <v>46047</v>
      </c>
      <c r="FK9" s="40">
        <v>46047</v>
      </c>
      <c r="FL9" s="40">
        <v>46056</v>
      </c>
      <c r="FM9" s="40">
        <v>46056</v>
      </c>
      <c r="FN9" s="40">
        <v>46056</v>
      </c>
      <c r="FO9" s="40"/>
      <c r="FP9" s="40"/>
      <c r="FQ9" s="40">
        <v>46023</v>
      </c>
      <c r="FR9" s="40">
        <v>46048</v>
      </c>
      <c r="FS9" s="40" t="s">
        <v>72</v>
      </c>
      <c r="FT9" s="40">
        <v>46022</v>
      </c>
      <c r="FU9" s="40">
        <v>46056</v>
      </c>
      <c r="FV9" s="40"/>
      <c r="FW9" s="40"/>
      <c r="FX9" s="40"/>
      <c r="FY9" s="40">
        <v>46054</v>
      </c>
      <c r="FZ9" s="40">
        <v>46054</v>
      </c>
      <c r="GA9" s="40"/>
      <c r="GB9" s="40"/>
      <c r="GC9" s="40"/>
      <c r="GD9" s="40"/>
    </row>
    <row r="10" spans="2:186" x14ac:dyDescent="0.35">
      <c r="B10" s="41">
        <f t="shared" si="3"/>
        <v>46058</v>
      </c>
      <c r="C10" s="24">
        <v>718751</v>
      </c>
      <c r="D10" s="49">
        <v>4.88</v>
      </c>
      <c r="E10" s="49">
        <v>0.28000000000000003</v>
      </c>
      <c r="F10" s="49">
        <v>1.95</v>
      </c>
      <c r="G10" s="49">
        <v>51.91</v>
      </c>
      <c r="H10" s="49">
        <v>2.2200000000000002</v>
      </c>
      <c r="I10" s="49">
        <v>2.15</v>
      </c>
      <c r="J10" s="49">
        <f t="shared" si="0"/>
        <v>6.59</v>
      </c>
      <c r="K10" s="42">
        <v>2577692</v>
      </c>
      <c r="L10" s="25">
        <v>4.8</v>
      </c>
      <c r="M10" s="25">
        <v>0.26388943588452368</v>
      </c>
      <c r="N10" s="25">
        <v>1.8914252357260863</v>
      </c>
      <c r="O10" s="25">
        <v>51.89898436964922</v>
      </c>
      <c r="P10" s="25">
        <v>2.1002301736516498</v>
      </c>
      <c r="Q10" s="25">
        <v>2.0002301736516492</v>
      </c>
      <c r="R10" s="25">
        <f t="shared" si="1"/>
        <v>6.2006905209549483</v>
      </c>
      <c r="S10" s="26">
        <v>2573906</v>
      </c>
      <c r="T10" s="25">
        <v>5.17</v>
      </c>
      <c r="U10" s="25">
        <v>0.3</v>
      </c>
      <c r="V10" s="25">
        <v>1.9</v>
      </c>
      <c r="W10" s="27">
        <v>51.98</v>
      </c>
      <c r="X10" s="25">
        <v>2.1</v>
      </c>
      <c r="Y10" s="25">
        <v>2</v>
      </c>
      <c r="Z10" s="25">
        <f t="shared" si="2"/>
        <v>6.2</v>
      </c>
      <c r="AA10" s="42">
        <v>250276</v>
      </c>
      <c r="AB10" s="49">
        <v>86.25</v>
      </c>
      <c r="AC10" s="25">
        <v>0.32</v>
      </c>
      <c r="AD10" s="42">
        <v>529521</v>
      </c>
      <c r="AE10" s="48">
        <v>5.8999999999999997E-2</v>
      </c>
      <c r="AF10" s="49">
        <v>0.04</v>
      </c>
      <c r="AG10" s="50">
        <v>2</v>
      </c>
      <c r="AH10" s="51">
        <v>20</v>
      </c>
      <c r="AI10" s="49">
        <v>36.6</v>
      </c>
      <c r="AJ10" s="49"/>
      <c r="AK10" s="49">
        <v>50.2</v>
      </c>
      <c r="AL10" s="42">
        <v>44014</v>
      </c>
      <c r="AM10" s="48">
        <v>4.8000000000000001E-2</v>
      </c>
      <c r="AN10" s="49">
        <v>3.5999999999999997E-2</v>
      </c>
      <c r="AO10" s="50">
        <v>1.92</v>
      </c>
      <c r="AP10" s="51">
        <v>19</v>
      </c>
      <c r="AQ10" s="49">
        <v>35.204000000000008</v>
      </c>
      <c r="AR10" s="49"/>
      <c r="AS10" s="49">
        <v>50</v>
      </c>
      <c r="AT10" s="42">
        <v>536860</v>
      </c>
      <c r="AU10" s="48">
        <v>7.3999999999999996E-2</v>
      </c>
      <c r="AV10" s="49">
        <v>0.06</v>
      </c>
      <c r="AW10" s="50">
        <v>2.1</v>
      </c>
      <c r="AX10" s="51">
        <v>21</v>
      </c>
      <c r="AY10" s="49">
        <v>56.17</v>
      </c>
      <c r="AZ10" s="49"/>
      <c r="BA10" s="50">
        <v>9.8000000000000007</v>
      </c>
      <c r="BB10" s="42">
        <v>521428</v>
      </c>
      <c r="BC10" s="48">
        <v>0.06</v>
      </c>
      <c r="BD10" s="49">
        <v>0.05</v>
      </c>
      <c r="BE10" s="49">
        <v>2.1</v>
      </c>
      <c r="BF10" s="49">
        <v>21</v>
      </c>
      <c r="BG10" s="49">
        <v>57.9</v>
      </c>
      <c r="BH10" s="49"/>
      <c r="BI10" s="49">
        <v>9</v>
      </c>
      <c r="BJ10" s="24">
        <v>508583</v>
      </c>
      <c r="BK10" s="48">
        <v>5.2999999999999999E-2</v>
      </c>
      <c r="BL10" s="49">
        <v>0.04</v>
      </c>
      <c r="BM10" s="49">
        <v>2.1</v>
      </c>
      <c r="BN10" s="49">
        <v>21</v>
      </c>
      <c r="BO10" s="49">
        <v>56.3</v>
      </c>
      <c r="BP10" s="49"/>
      <c r="BQ10" s="49">
        <v>9.8000000000000007</v>
      </c>
      <c r="BR10" s="42">
        <v>510730</v>
      </c>
      <c r="BS10" s="48">
        <v>5.3999999999999999E-2</v>
      </c>
      <c r="BT10" s="49">
        <v>0.04</v>
      </c>
      <c r="BU10" s="49">
        <v>2.2000000000000002</v>
      </c>
      <c r="BV10" s="49">
        <v>22</v>
      </c>
      <c r="BW10" s="49">
        <v>56.55</v>
      </c>
      <c r="BX10" s="49"/>
      <c r="BY10" s="49">
        <v>9.6</v>
      </c>
      <c r="BZ10" s="42">
        <v>26023</v>
      </c>
      <c r="CA10" s="48">
        <v>5.5E-2</v>
      </c>
      <c r="CB10" s="49">
        <v>0.04</v>
      </c>
      <c r="CC10" s="49">
        <v>2.2999999999999998</v>
      </c>
      <c r="CD10" s="49">
        <v>23</v>
      </c>
      <c r="CE10" s="49">
        <v>57.07</v>
      </c>
      <c r="CF10" s="49"/>
      <c r="CG10" s="49">
        <v>8.6</v>
      </c>
      <c r="CH10" s="42"/>
      <c r="CI10" s="49"/>
      <c r="CJ10" s="49"/>
      <c r="CK10" s="49"/>
      <c r="CL10" s="49"/>
      <c r="CM10" s="49"/>
      <c r="CN10" s="49"/>
      <c r="CO10" s="49"/>
      <c r="CP10" s="42">
        <v>616666</v>
      </c>
      <c r="CQ10" s="48">
        <v>5.3999999999999999E-2</v>
      </c>
      <c r="CR10" s="49">
        <v>0.04</v>
      </c>
      <c r="CS10" s="50">
        <v>2.2000000000000002</v>
      </c>
      <c r="CT10" s="51">
        <v>22</v>
      </c>
      <c r="CU10" s="49">
        <v>51.91</v>
      </c>
      <c r="CV10" s="49">
        <v>0.3</v>
      </c>
      <c r="CW10" s="42">
        <v>505004</v>
      </c>
      <c r="CX10" s="33">
        <v>4.7E-2</v>
      </c>
      <c r="CY10" s="25">
        <v>0.04</v>
      </c>
      <c r="CZ10" s="34">
        <v>2.1</v>
      </c>
      <c r="DA10" s="35">
        <v>21</v>
      </c>
      <c r="DB10" s="25">
        <v>51.85</v>
      </c>
      <c r="DC10" s="25">
        <v>0.3</v>
      </c>
      <c r="DD10" s="42"/>
      <c r="DE10" s="49"/>
      <c r="DF10" s="49"/>
      <c r="DG10" s="49"/>
      <c r="DH10" s="49"/>
      <c r="DI10" s="49"/>
      <c r="DJ10" s="49"/>
      <c r="DK10" s="49"/>
      <c r="DL10" s="56"/>
      <c r="DM10" s="42">
        <v>32951</v>
      </c>
      <c r="DN10" s="33">
        <v>0.05</v>
      </c>
      <c r="DO10" s="25">
        <v>0.05</v>
      </c>
      <c r="DP10" s="25">
        <v>2.2000000000000002</v>
      </c>
      <c r="DQ10" s="25">
        <v>22</v>
      </c>
      <c r="DR10" s="25">
        <v>58.9</v>
      </c>
      <c r="DS10" s="25"/>
      <c r="DT10" s="25">
        <v>7.6</v>
      </c>
      <c r="DU10" s="57"/>
      <c r="DV10" s="49"/>
      <c r="DW10" s="49"/>
      <c r="DX10" s="49"/>
      <c r="DY10" s="49"/>
      <c r="DZ10" s="49"/>
      <c r="EA10" s="49"/>
      <c r="EB10" s="49"/>
      <c r="EC10" s="49"/>
      <c r="ED10" s="56"/>
      <c r="EE10" s="42"/>
      <c r="EF10" s="49"/>
      <c r="EG10" s="49"/>
      <c r="EH10" s="49"/>
      <c r="EI10" s="49"/>
      <c r="EJ10" s="49"/>
      <c r="EK10" s="49"/>
      <c r="EL10" s="49"/>
      <c r="EM10" s="58"/>
      <c r="EN10" s="39"/>
      <c r="EO10" s="40">
        <f t="shared" si="4"/>
        <v>46058</v>
      </c>
      <c r="EP10" s="40">
        <v>45978</v>
      </c>
      <c r="EQ10" s="40">
        <v>46057</v>
      </c>
      <c r="ER10" s="40" t="s">
        <v>70</v>
      </c>
      <c r="ES10" s="40">
        <v>45930</v>
      </c>
      <c r="ET10" s="40">
        <v>46055</v>
      </c>
      <c r="EU10" s="40" t="s">
        <v>71</v>
      </c>
      <c r="EV10" s="40">
        <v>45992</v>
      </c>
      <c r="EW10" s="40">
        <v>46029</v>
      </c>
      <c r="EX10" s="40" t="s">
        <v>71</v>
      </c>
      <c r="EY10" s="40">
        <v>45688</v>
      </c>
      <c r="EZ10" s="40">
        <v>46055</v>
      </c>
      <c r="FA10" s="40">
        <v>46038</v>
      </c>
      <c r="FB10" s="40">
        <v>46055</v>
      </c>
      <c r="FC10" s="40">
        <v>46055</v>
      </c>
      <c r="FD10" s="40">
        <v>46055</v>
      </c>
      <c r="FE10" s="40">
        <v>46037</v>
      </c>
      <c r="FF10" s="40">
        <v>46048</v>
      </c>
      <c r="FG10" s="40">
        <v>46041</v>
      </c>
      <c r="FH10" s="40">
        <v>46044</v>
      </c>
      <c r="FI10" s="40">
        <v>46044</v>
      </c>
      <c r="FJ10" s="40">
        <v>46047</v>
      </c>
      <c r="FK10" s="40">
        <v>46047</v>
      </c>
      <c r="FL10" s="40">
        <v>46056</v>
      </c>
      <c r="FM10" s="40">
        <v>46056</v>
      </c>
      <c r="FN10" s="40">
        <v>46056</v>
      </c>
      <c r="FO10" s="40"/>
      <c r="FP10" s="40"/>
      <c r="FQ10" s="40">
        <v>46023</v>
      </c>
      <c r="FR10" s="40">
        <v>46048</v>
      </c>
      <c r="FS10" s="40"/>
      <c r="FT10" s="40">
        <v>46022</v>
      </c>
      <c r="FU10" s="40">
        <v>46056</v>
      </c>
      <c r="FV10" s="40"/>
      <c r="FW10" s="40"/>
      <c r="FX10" s="40"/>
      <c r="FY10" s="40">
        <v>46054</v>
      </c>
      <c r="FZ10" s="40">
        <v>46054</v>
      </c>
      <c r="GA10" s="40"/>
      <c r="GB10" s="40"/>
      <c r="GC10" s="40"/>
      <c r="GD10" s="40"/>
    </row>
    <row r="11" spans="2:186" x14ac:dyDescent="0.35">
      <c r="B11" s="41">
        <f t="shared" si="3"/>
        <v>46059</v>
      </c>
      <c r="C11" s="24">
        <v>918611</v>
      </c>
      <c r="D11" s="49">
        <v>4.8499999999999996</v>
      </c>
      <c r="E11" s="49">
        <v>0.28000000000000003</v>
      </c>
      <c r="F11" s="49">
        <v>1.95</v>
      </c>
      <c r="G11" s="49">
        <v>51.91</v>
      </c>
      <c r="H11" s="49">
        <v>2.2200000000000002</v>
      </c>
      <c r="I11" s="49">
        <v>2.15</v>
      </c>
      <c r="J11" s="49">
        <f t="shared" si="0"/>
        <v>6.59</v>
      </c>
      <c r="K11" s="42">
        <v>2577692</v>
      </c>
      <c r="L11" s="25">
        <v>4.8099999999999996</v>
      </c>
      <c r="M11" s="25">
        <v>0.26388943588452368</v>
      </c>
      <c r="N11" s="25">
        <v>1.8914252357260863</v>
      </c>
      <c r="O11" s="25">
        <v>51.89898436964922</v>
      </c>
      <c r="P11" s="25">
        <v>2.1002301736516498</v>
      </c>
      <c r="Q11" s="25">
        <v>2.0002301736516492</v>
      </c>
      <c r="R11" s="25">
        <f t="shared" si="1"/>
        <v>6.2006905209549483</v>
      </c>
      <c r="S11" s="26">
        <v>2573906</v>
      </c>
      <c r="T11" s="25">
        <v>5.18</v>
      </c>
      <c r="U11" s="25">
        <v>0.3</v>
      </c>
      <c r="V11" s="25">
        <v>1.9</v>
      </c>
      <c r="W11" s="27">
        <v>51.98</v>
      </c>
      <c r="X11" s="25">
        <v>2.1</v>
      </c>
      <c r="Y11" s="25">
        <v>2</v>
      </c>
      <c r="Z11" s="25">
        <f t="shared" si="2"/>
        <v>6.2</v>
      </c>
      <c r="AA11" s="42">
        <v>250276</v>
      </c>
      <c r="AB11" s="49">
        <v>86.25</v>
      </c>
      <c r="AC11" s="25">
        <v>0.32</v>
      </c>
      <c r="AD11" s="42">
        <v>529521</v>
      </c>
      <c r="AE11" s="48">
        <v>6.0999999999999999E-2</v>
      </c>
      <c r="AF11" s="49">
        <v>0.04</v>
      </c>
      <c r="AG11" s="50">
        <v>2</v>
      </c>
      <c r="AH11" s="51">
        <v>20</v>
      </c>
      <c r="AI11" s="49">
        <v>36.6</v>
      </c>
      <c r="AJ11" s="49"/>
      <c r="AK11" s="49">
        <v>50.2</v>
      </c>
      <c r="AL11" s="42">
        <v>44014</v>
      </c>
      <c r="AM11" s="48">
        <v>4.9000000000000002E-2</v>
      </c>
      <c r="AN11" s="49">
        <v>3.5999999999999997E-2</v>
      </c>
      <c r="AO11" s="50">
        <v>1.92</v>
      </c>
      <c r="AP11" s="51">
        <v>19</v>
      </c>
      <c r="AQ11" s="49">
        <v>35.204000000000008</v>
      </c>
      <c r="AR11" s="49"/>
      <c r="AS11" s="49">
        <v>50</v>
      </c>
      <c r="AT11" s="42">
        <v>536860</v>
      </c>
      <c r="AU11" s="48">
        <v>7.3999999999999996E-2</v>
      </c>
      <c r="AV11" s="49">
        <v>0.06</v>
      </c>
      <c r="AW11" s="50">
        <v>2.1</v>
      </c>
      <c r="AX11" s="51">
        <v>21</v>
      </c>
      <c r="AY11" s="49">
        <v>56.17</v>
      </c>
      <c r="AZ11" s="49"/>
      <c r="BA11" s="50">
        <v>9.8000000000000007</v>
      </c>
      <c r="BB11" s="42">
        <v>521428</v>
      </c>
      <c r="BC11" s="48">
        <v>0.06</v>
      </c>
      <c r="BD11" s="49">
        <v>0.05</v>
      </c>
      <c r="BE11" s="49">
        <v>2.1</v>
      </c>
      <c r="BF11" s="49">
        <v>21</v>
      </c>
      <c r="BG11" s="49">
        <v>57.9</v>
      </c>
      <c r="BH11" s="49"/>
      <c r="BI11" s="49">
        <v>9</v>
      </c>
      <c r="BJ11" s="24">
        <v>508583</v>
      </c>
      <c r="BK11" s="48">
        <v>5.2999999999999999E-2</v>
      </c>
      <c r="BL11" s="49">
        <v>0.04</v>
      </c>
      <c r="BM11" s="49">
        <v>2.1</v>
      </c>
      <c r="BN11" s="49">
        <v>21</v>
      </c>
      <c r="BO11" s="49">
        <v>56.3</v>
      </c>
      <c r="BP11" s="49"/>
      <c r="BQ11" s="49">
        <v>9.8000000000000007</v>
      </c>
      <c r="BR11" s="42">
        <v>510730</v>
      </c>
      <c r="BS11" s="48">
        <v>5.3999999999999999E-2</v>
      </c>
      <c r="BT11" s="49">
        <v>0.04</v>
      </c>
      <c r="BU11" s="49">
        <v>2.2000000000000002</v>
      </c>
      <c r="BV11" s="49">
        <v>22</v>
      </c>
      <c r="BW11" s="49">
        <v>56.55</v>
      </c>
      <c r="BX11" s="49"/>
      <c r="BY11" s="49">
        <v>9.6</v>
      </c>
      <c r="BZ11" s="42">
        <v>26023</v>
      </c>
      <c r="CA11" s="48">
        <v>5.5E-2</v>
      </c>
      <c r="CB11" s="49">
        <v>0.04</v>
      </c>
      <c r="CC11" s="49">
        <v>2.2999999999999998</v>
      </c>
      <c r="CD11" s="49">
        <v>23</v>
      </c>
      <c r="CE11" s="49">
        <v>57.07</v>
      </c>
      <c r="CF11" s="49"/>
      <c r="CG11" s="49">
        <v>8.6</v>
      </c>
      <c r="CH11" s="42"/>
      <c r="CI11" s="49"/>
      <c r="CJ11" s="49"/>
      <c r="CK11" s="49"/>
      <c r="CL11" s="49"/>
      <c r="CM11" s="49"/>
      <c r="CN11" s="49"/>
      <c r="CO11" s="49"/>
      <c r="CP11" s="42">
        <v>616666</v>
      </c>
      <c r="CQ11" s="48">
        <v>5.3999999999999999E-2</v>
      </c>
      <c r="CR11" s="49">
        <v>0.04</v>
      </c>
      <c r="CS11" s="50">
        <v>2.2000000000000002</v>
      </c>
      <c r="CT11" s="51">
        <v>22</v>
      </c>
      <c r="CU11" s="49">
        <v>51.91</v>
      </c>
      <c r="CV11" s="49">
        <v>0.3</v>
      </c>
      <c r="CW11" s="42">
        <v>505004</v>
      </c>
      <c r="CX11" s="33">
        <v>4.7E-2</v>
      </c>
      <c r="CY11" s="25">
        <v>0.04</v>
      </c>
      <c r="CZ11" s="34">
        <v>2.1</v>
      </c>
      <c r="DA11" s="35">
        <v>21</v>
      </c>
      <c r="DB11" s="25">
        <v>51.85</v>
      </c>
      <c r="DC11" s="25">
        <v>0.3</v>
      </c>
      <c r="DD11" s="42"/>
      <c r="DE11" s="49"/>
      <c r="DF11" s="49"/>
      <c r="DG11" s="49"/>
      <c r="DH11" s="49"/>
      <c r="DI11" s="49"/>
      <c r="DJ11" s="49"/>
      <c r="DK11" s="49"/>
      <c r="DL11" s="56"/>
      <c r="DM11" s="42">
        <v>32951</v>
      </c>
      <c r="DN11" s="33">
        <v>0.05</v>
      </c>
      <c r="DO11" s="25">
        <v>0.05</v>
      </c>
      <c r="DP11" s="25">
        <v>2.2000000000000002</v>
      </c>
      <c r="DQ11" s="25">
        <v>22</v>
      </c>
      <c r="DR11" s="25">
        <v>58.9</v>
      </c>
      <c r="DS11" s="25"/>
      <c r="DT11" s="25">
        <v>7.6</v>
      </c>
      <c r="DU11" s="57"/>
      <c r="DV11" s="49"/>
      <c r="DW11" s="49"/>
      <c r="DX11" s="49"/>
      <c r="DY11" s="49"/>
      <c r="DZ11" s="49"/>
      <c r="EA11" s="49"/>
      <c r="EB11" s="49"/>
      <c r="EC11" s="49"/>
      <c r="ED11" s="56"/>
      <c r="EE11" s="42"/>
      <c r="EF11" s="49"/>
      <c r="EG11" s="49"/>
      <c r="EH11" s="49"/>
      <c r="EI11" s="49"/>
      <c r="EJ11" s="49"/>
      <c r="EK11" s="49"/>
      <c r="EL11" s="49"/>
      <c r="EM11" s="58"/>
      <c r="EN11" s="39"/>
      <c r="EO11" s="40">
        <f t="shared" si="4"/>
        <v>46059</v>
      </c>
      <c r="EP11" s="40">
        <v>45978</v>
      </c>
      <c r="EQ11" s="40">
        <v>46058</v>
      </c>
      <c r="ER11" s="40" t="s">
        <v>70</v>
      </c>
      <c r="ES11" s="40">
        <v>45930</v>
      </c>
      <c r="ET11" s="40">
        <v>46055</v>
      </c>
      <c r="EU11" s="40" t="s">
        <v>71</v>
      </c>
      <c r="EV11" s="40">
        <v>45992</v>
      </c>
      <c r="EW11" s="40">
        <v>46029</v>
      </c>
      <c r="EX11" s="40" t="s">
        <v>71</v>
      </c>
      <c r="EY11" s="40">
        <v>45688</v>
      </c>
      <c r="EZ11" s="40">
        <v>46055</v>
      </c>
      <c r="FA11" s="40">
        <v>46038</v>
      </c>
      <c r="FB11" s="40">
        <v>46055</v>
      </c>
      <c r="FC11" s="40">
        <v>46055</v>
      </c>
      <c r="FD11" s="40">
        <v>46055</v>
      </c>
      <c r="FE11" s="40">
        <v>46037</v>
      </c>
      <c r="FF11" s="40">
        <v>46048</v>
      </c>
      <c r="FG11" s="40">
        <v>46041</v>
      </c>
      <c r="FH11" s="40">
        <v>46044</v>
      </c>
      <c r="FI11" s="40">
        <v>46044</v>
      </c>
      <c r="FJ11" s="40">
        <v>46047</v>
      </c>
      <c r="FK11" s="40">
        <v>46047</v>
      </c>
      <c r="FL11" s="40">
        <v>46056</v>
      </c>
      <c r="FM11" s="40">
        <v>46056</v>
      </c>
      <c r="FN11" s="40">
        <v>46056</v>
      </c>
      <c r="FO11" s="40"/>
      <c r="FP11" s="40"/>
      <c r="FQ11" s="40">
        <v>46023</v>
      </c>
      <c r="FR11" s="40">
        <v>46048</v>
      </c>
      <c r="FS11" s="40"/>
      <c r="FT11" s="40">
        <v>46022</v>
      </c>
      <c r="FU11" s="40">
        <v>46056</v>
      </c>
      <c r="FV11" s="40"/>
      <c r="FW11" s="40"/>
      <c r="FX11" s="40"/>
      <c r="FY11" s="40">
        <v>46054</v>
      </c>
      <c r="FZ11" s="40">
        <v>46054</v>
      </c>
      <c r="GA11" s="40"/>
      <c r="GB11" s="40"/>
      <c r="GC11" s="40"/>
      <c r="GD11" s="40"/>
    </row>
    <row r="12" spans="2:186" x14ac:dyDescent="0.35">
      <c r="B12" s="41">
        <f t="shared" si="3"/>
        <v>46060</v>
      </c>
      <c r="C12" s="24">
        <v>1065411</v>
      </c>
      <c r="D12" s="49">
        <v>4.8122747465532072</v>
      </c>
      <c r="E12" s="49">
        <v>0.27876460821222981</v>
      </c>
      <c r="F12" s="49">
        <v>1.9543235896757214</v>
      </c>
      <c r="G12" s="49">
        <v>51.858400758017325</v>
      </c>
      <c r="H12" s="49">
        <v>2.1950083301186116</v>
      </c>
      <c r="I12" s="49">
        <v>2.1237729383308412</v>
      </c>
      <c r="J12" s="49">
        <f t="shared" si="0"/>
        <v>6.5137895985680645</v>
      </c>
      <c r="K12" s="42">
        <v>2577692</v>
      </c>
      <c r="L12" s="25">
        <v>4.8099999999999996</v>
      </c>
      <c r="M12" s="25">
        <v>0.26388943588452368</v>
      </c>
      <c r="N12" s="25">
        <v>1.8914252357260863</v>
      </c>
      <c r="O12" s="25">
        <v>51.89898436964922</v>
      </c>
      <c r="P12" s="25">
        <v>2.1002301736516498</v>
      </c>
      <c r="Q12" s="25">
        <v>2.0002301736516492</v>
      </c>
      <c r="R12" s="25">
        <f t="shared" si="1"/>
        <v>6.2006905209549483</v>
      </c>
      <c r="S12" s="26">
        <v>2573906</v>
      </c>
      <c r="T12" s="25">
        <v>5.18</v>
      </c>
      <c r="U12" s="25">
        <v>0.3</v>
      </c>
      <c r="V12" s="25">
        <v>1.9</v>
      </c>
      <c r="W12" s="27">
        <v>51.98</v>
      </c>
      <c r="X12" s="25">
        <v>2.1</v>
      </c>
      <c r="Y12" s="25">
        <v>2</v>
      </c>
      <c r="Z12" s="25">
        <f t="shared" si="2"/>
        <v>6.2</v>
      </c>
      <c r="AA12" s="42">
        <v>250276</v>
      </c>
      <c r="AB12" s="49">
        <v>86.25</v>
      </c>
      <c r="AC12" s="25">
        <v>0.32</v>
      </c>
      <c r="AD12" s="42">
        <v>529521</v>
      </c>
      <c r="AE12" s="48">
        <v>6.0999999999999999E-2</v>
      </c>
      <c r="AF12" s="49">
        <v>0.04</v>
      </c>
      <c r="AG12" s="50">
        <v>2</v>
      </c>
      <c r="AH12" s="51">
        <v>20</v>
      </c>
      <c r="AI12" s="49">
        <v>36.6</v>
      </c>
      <c r="AJ12" s="49"/>
      <c r="AK12" s="49">
        <v>50.2</v>
      </c>
      <c r="AL12" s="42">
        <v>44014</v>
      </c>
      <c r="AM12" s="48">
        <v>4.9000000000000002E-2</v>
      </c>
      <c r="AN12" s="49">
        <v>3.5999999999999997E-2</v>
      </c>
      <c r="AO12" s="50">
        <v>1.92</v>
      </c>
      <c r="AP12" s="51">
        <v>19</v>
      </c>
      <c r="AQ12" s="49">
        <v>35.204000000000008</v>
      </c>
      <c r="AR12" s="49"/>
      <c r="AS12" s="49">
        <v>50</v>
      </c>
      <c r="AT12" s="42">
        <v>536860</v>
      </c>
      <c r="AU12" s="48">
        <v>7.4999999999999997E-2</v>
      </c>
      <c r="AV12" s="49">
        <v>0.06</v>
      </c>
      <c r="AW12" s="50">
        <v>2.1</v>
      </c>
      <c r="AX12" s="51">
        <v>21</v>
      </c>
      <c r="AY12" s="49">
        <v>56.17</v>
      </c>
      <c r="AZ12" s="49"/>
      <c r="BA12" s="50">
        <v>9.8000000000000007</v>
      </c>
      <c r="BB12" s="42">
        <v>521428</v>
      </c>
      <c r="BC12" s="48">
        <v>6.0999999999999999E-2</v>
      </c>
      <c r="BD12" s="49">
        <v>0.05</v>
      </c>
      <c r="BE12" s="49">
        <v>2.1</v>
      </c>
      <c r="BF12" s="49">
        <v>21</v>
      </c>
      <c r="BG12" s="49">
        <v>57.9</v>
      </c>
      <c r="BH12" s="49"/>
      <c r="BI12" s="49">
        <v>9</v>
      </c>
      <c r="BJ12" s="24">
        <v>508583</v>
      </c>
      <c r="BK12" s="48">
        <v>5.2999999999999999E-2</v>
      </c>
      <c r="BL12" s="49">
        <v>0.04</v>
      </c>
      <c r="BM12" s="49">
        <v>2.1</v>
      </c>
      <c r="BN12" s="49">
        <v>21</v>
      </c>
      <c r="BO12" s="49">
        <v>56.3</v>
      </c>
      <c r="BP12" s="49"/>
      <c r="BQ12" s="49">
        <v>9.8000000000000007</v>
      </c>
      <c r="BR12" s="42">
        <v>510730</v>
      </c>
      <c r="BS12" s="48">
        <v>5.3999999999999999E-2</v>
      </c>
      <c r="BT12" s="49">
        <v>0.04</v>
      </c>
      <c r="BU12" s="49">
        <v>2.2000000000000002</v>
      </c>
      <c r="BV12" s="49">
        <v>22</v>
      </c>
      <c r="BW12" s="49">
        <v>56.55</v>
      </c>
      <c r="BX12" s="49"/>
      <c r="BY12" s="49">
        <v>9.6</v>
      </c>
      <c r="BZ12" s="42">
        <v>26023</v>
      </c>
      <c r="CA12" s="48">
        <v>5.5E-2</v>
      </c>
      <c r="CB12" s="49">
        <v>0.04</v>
      </c>
      <c r="CC12" s="49">
        <v>2.2999999999999998</v>
      </c>
      <c r="CD12" s="49">
        <v>23</v>
      </c>
      <c r="CE12" s="49">
        <v>57.07</v>
      </c>
      <c r="CF12" s="49"/>
      <c r="CG12" s="49">
        <v>8.6</v>
      </c>
      <c r="CH12" s="42"/>
      <c r="CI12" s="49"/>
      <c r="CJ12" s="49"/>
      <c r="CK12" s="49"/>
      <c r="CL12" s="49"/>
      <c r="CM12" s="49"/>
      <c r="CN12" s="49"/>
      <c r="CO12" s="49"/>
      <c r="CP12" s="42">
        <v>616666</v>
      </c>
      <c r="CQ12" s="48">
        <v>5.5E-2</v>
      </c>
      <c r="CR12" s="49">
        <v>0.04</v>
      </c>
      <c r="CS12" s="50">
        <v>2.2000000000000002</v>
      </c>
      <c r="CT12" s="51">
        <v>22</v>
      </c>
      <c r="CU12" s="49">
        <v>51.91</v>
      </c>
      <c r="CV12" s="49">
        <v>0.3</v>
      </c>
      <c r="CW12" s="42">
        <v>505004</v>
      </c>
      <c r="CX12" s="33">
        <v>4.8000000000000001E-2</v>
      </c>
      <c r="CY12" s="25">
        <v>0.04</v>
      </c>
      <c r="CZ12" s="34">
        <v>2.1</v>
      </c>
      <c r="DA12" s="35">
        <v>21</v>
      </c>
      <c r="DB12" s="25">
        <v>51.85</v>
      </c>
      <c r="DC12" s="25">
        <v>0.3</v>
      </c>
      <c r="DD12" s="42"/>
      <c r="DE12" s="49"/>
      <c r="DF12" s="49"/>
      <c r="DG12" s="49"/>
      <c r="DH12" s="49"/>
      <c r="DI12" s="49"/>
      <c r="DJ12" s="49"/>
      <c r="DK12" s="49"/>
      <c r="DL12" s="56"/>
      <c r="DM12" s="42">
        <v>32951</v>
      </c>
      <c r="DN12" s="33">
        <v>0.05</v>
      </c>
      <c r="DO12" s="25">
        <v>0.05</v>
      </c>
      <c r="DP12" s="25">
        <v>2.2000000000000002</v>
      </c>
      <c r="DQ12" s="25">
        <v>22</v>
      </c>
      <c r="DR12" s="25">
        <v>58.9</v>
      </c>
      <c r="DS12" s="25"/>
      <c r="DT12" s="25">
        <v>7.6</v>
      </c>
      <c r="DU12" s="57"/>
      <c r="DV12" s="49"/>
      <c r="DW12" s="49"/>
      <c r="DX12" s="49"/>
      <c r="DY12" s="49"/>
      <c r="DZ12" s="49"/>
      <c r="EA12" s="49"/>
      <c r="EB12" s="49"/>
      <c r="EC12" s="49"/>
      <c r="ED12" s="56"/>
      <c r="EE12" s="42"/>
      <c r="EF12" s="49"/>
      <c r="EG12" s="49"/>
      <c r="EH12" s="49"/>
      <c r="EI12" s="49"/>
      <c r="EJ12" s="49"/>
      <c r="EK12" s="49"/>
      <c r="EL12" s="49"/>
      <c r="EM12" s="58"/>
      <c r="EN12" s="39"/>
      <c r="EO12" s="40">
        <f t="shared" si="4"/>
        <v>46060</v>
      </c>
      <c r="EP12" s="40">
        <v>45978</v>
      </c>
      <c r="EQ12" s="40">
        <v>46059</v>
      </c>
      <c r="ER12" s="40" t="s">
        <v>70</v>
      </c>
      <c r="ES12" s="40">
        <v>45930</v>
      </c>
      <c r="ET12" s="40">
        <v>46055</v>
      </c>
      <c r="EU12" s="40" t="s">
        <v>71</v>
      </c>
      <c r="EV12" s="40">
        <v>45992</v>
      </c>
      <c r="EW12" s="40">
        <v>46029</v>
      </c>
      <c r="EX12" s="40" t="s">
        <v>71</v>
      </c>
      <c r="EY12" s="40">
        <v>45688</v>
      </c>
      <c r="EZ12" s="40">
        <v>46055</v>
      </c>
      <c r="FA12" s="40">
        <v>46038</v>
      </c>
      <c r="FB12" s="40">
        <v>46055</v>
      </c>
      <c r="FC12" s="40">
        <v>46055</v>
      </c>
      <c r="FD12" s="40">
        <v>46055</v>
      </c>
      <c r="FE12" s="40">
        <v>46037</v>
      </c>
      <c r="FF12" s="40">
        <v>46048</v>
      </c>
      <c r="FG12" s="40">
        <v>46041</v>
      </c>
      <c r="FH12" s="40">
        <v>46044</v>
      </c>
      <c r="FI12" s="40">
        <v>46044</v>
      </c>
      <c r="FJ12" s="40">
        <v>46047</v>
      </c>
      <c r="FK12" s="40">
        <v>46047</v>
      </c>
      <c r="FL12" s="40">
        <v>46056</v>
      </c>
      <c r="FM12" s="40">
        <v>46056</v>
      </c>
      <c r="FN12" s="40">
        <v>46056</v>
      </c>
      <c r="FO12" s="40"/>
      <c r="FP12" s="40"/>
      <c r="FQ12" s="40">
        <v>46023</v>
      </c>
      <c r="FR12" s="40">
        <v>46048</v>
      </c>
      <c r="FS12" s="40"/>
      <c r="FT12" s="40">
        <v>46022</v>
      </c>
      <c r="FU12" s="40">
        <v>46056</v>
      </c>
      <c r="FV12" s="40"/>
      <c r="FW12" s="40"/>
      <c r="FX12" s="40"/>
      <c r="FY12" s="40">
        <v>46054</v>
      </c>
      <c r="FZ12" s="40">
        <v>46054</v>
      </c>
      <c r="GA12" s="40"/>
      <c r="GB12" s="40"/>
      <c r="GC12" s="40"/>
      <c r="GD12" s="40"/>
    </row>
    <row r="13" spans="2:186" x14ac:dyDescent="0.35">
      <c r="B13" s="41">
        <f t="shared" si="3"/>
        <v>46061</v>
      </c>
      <c r="C13" s="24">
        <v>1332441</v>
      </c>
      <c r="D13" s="49">
        <v>4.7947637081116534</v>
      </c>
      <c r="E13" s="49">
        <v>0.27864406754220267</v>
      </c>
      <c r="F13" s="49">
        <v>1.959673749156623</v>
      </c>
      <c r="G13" s="49">
        <v>51.790623757449666</v>
      </c>
      <c r="H13" s="49">
        <v>2.1644344627642051</v>
      </c>
      <c r="I13" s="49">
        <v>2.0910744640850885</v>
      </c>
      <c r="J13" s="49">
        <f t="shared" si="0"/>
        <v>6.4199433896134988</v>
      </c>
      <c r="K13" s="42">
        <v>2577692</v>
      </c>
      <c r="L13" s="25">
        <v>4.83</v>
      </c>
      <c r="M13" s="25">
        <v>0.26388943588452368</v>
      </c>
      <c r="N13" s="25">
        <v>1.8914252357260863</v>
      </c>
      <c r="O13" s="25">
        <v>51.89898436964922</v>
      </c>
      <c r="P13" s="25">
        <v>2.15</v>
      </c>
      <c r="Q13" s="25">
        <v>2.0499999999999998</v>
      </c>
      <c r="R13" s="25">
        <f t="shared" si="1"/>
        <v>6.35</v>
      </c>
      <c r="S13" s="26">
        <v>2573906</v>
      </c>
      <c r="T13" s="25">
        <v>5.19</v>
      </c>
      <c r="U13" s="25">
        <v>0.3</v>
      </c>
      <c r="V13" s="25">
        <v>1.9</v>
      </c>
      <c r="W13" s="27">
        <v>51.98</v>
      </c>
      <c r="X13" s="25">
        <v>2.12</v>
      </c>
      <c r="Y13" s="25">
        <v>2.0299999999999998</v>
      </c>
      <c r="Z13" s="25">
        <f t="shared" si="2"/>
        <v>6.27</v>
      </c>
      <c r="AA13" s="42">
        <v>250276</v>
      </c>
      <c r="AB13" s="49">
        <v>86.25</v>
      </c>
      <c r="AC13" s="25">
        <v>0.32</v>
      </c>
      <c r="AD13" s="42">
        <v>529521</v>
      </c>
      <c r="AE13" s="48">
        <v>6.2E-2</v>
      </c>
      <c r="AF13" s="49">
        <v>0.04</v>
      </c>
      <c r="AG13" s="50">
        <v>2</v>
      </c>
      <c r="AH13" s="51">
        <v>20</v>
      </c>
      <c r="AI13" s="49">
        <v>36.6</v>
      </c>
      <c r="AJ13" s="49"/>
      <c r="AK13" s="49">
        <v>50.2</v>
      </c>
      <c r="AL13" s="42">
        <v>44014</v>
      </c>
      <c r="AM13" s="48">
        <v>0.05</v>
      </c>
      <c r="AN13" s="49">
        <v>3.5999999999999997E-2</v>
      </c>
      <c r="AO13" s="50">
        <v>1.92</v>
      </c>
      <c r="AP13" s="51">
        <v>19</v>
      </c>
      <c r="AQ13" s="49">
        <v>35.204000000000008</v>
      </c>
      <c r="AR13" s="49"/>
      <c r="AS13" s="49">
        <v>50</v>
      </c>
      <c r="AT13" s="42">
        <v>536860</v>
      </c>
      <c r="AU13" s="48">
        <v>7.4999999999999997E-2</v>
      </c>
      <c r="AV13" s="49">
        <v>0.06</v>
      </c>
      <c r="AW13" s="50">
        <v>2.1</v>
      </c>
      <c r="AX13" s="51">
        <v>21</v>
      </c>
      <c r="AY13" s="49">
        <v>56.17</v>
      </c>
      <c r="AZ13" s="49"/>
      <c r="BA13" s="50">
        <v>9.8000000000000007</v>
      </c>
      <c r="BB13" s="42">
        <v>521428</v>
      </c>
      <c r="BC13" s="48">
        <v>6.0999999999999999E-2</v>
      </c>
      <c r="BD13" s="49">
        <v>0.05</v>
      </c>
      <c r="BE13" s="49">
        <v>2.1</v>
      </c>
      <c r="BF13" s="49">
        <v>21</v>
      </c>
      <c r="BG13" s="49">
        <v>57.9</v>
      </c>
      <c r="BH13" s="49"/>
      <c r="BI13" s="49">
        <v>9</v>
      </c>
      <c r="BJ13" s="24">
        <v>508583</v>
      </c>
      <c r="BK13" s="48">
        <v>5.2999999999999999E-2</v>
      </c>
      <c r="BL13" s="49">
        <v>0.06</v>
      </c>
      <c r="BM13" s="49">
        <v>2.1</v>
      </c>
      <c r="BN13" s="49">
        <v>21</v>
      </c>
      <c r="BO13" s="49">
        <v>56.3</v>
      </c>
      <c r="BP13" s="49"/>
      <c r="BQ13" s="49">
        <v>9.8000000000000007</v>
      </c>
      <c r="BR13" s="42">
        <v>510730</v>
      </c>
      <c r="BS13" s="48">
        <v>5.7000000000000002E-2</v>
      </c>
      <c r="BT13" s="49">
        <v>0.06</v>
      </c>
      <c r="BU13" s="49">
        <v>2.2000000000000002</v>
      </c>
      <c r="BV13" s="49">
        <v>22</v>
      </c>
      <c r="BW13" s="49">
        <v>56.55</v>
      </c>
      <c r="BX13" s="49"/>
      <c r="BY13" s="49">
        <v>9.6</v>
      </c>
      <c r="BZ13" s="42">
        <v>26023</v>
      </c>
      <c r="CA13" s="48">
        <v>5.5E-2</v>
      </c>
      <c r="CB13" s="49">
        <v>0.05</v>
      </c>
      <c r="CC13" s="49">
        <v>2.2999999999999998</v>
      </c>
      <c r="CD13" s="49">
        <v>23</v>
      </c>
      <c r="CE13" s="49">
        <v>57.07</v>
      </c>
      <c r="CF13" s="49"/>
      <c r="CG13" s="49">
        <v>8.6</v>
      </c>
      <c r="CH13" s="42"/>
      <c r="CI13" s="49"/>
      <c r="CJ13" s="49"/>
      <c r="CK13" s="49"/>
      <c r="CL13" s="49"/>
      <c r="CM13" s="49"/>
      <c r="CN13" s="49"/>
      <c r="CO13" s="49"/>
      <c r="CP13" s="42">
        <v>616666</v>
      </c>
      <c r="CQ13" s="48">
        <v>5.6000000000000001E-2</v>
      </c>
      <c r="CR13" s="49">
        <v>0.05</v>
      </c>
      <c r="CS13" s="50">
        <v>2.2000000000000002</v>
      </c>
      <c r="CT13" s="51">
        <v>22</v>
      </c>
      <c r="CU13" s="49">
        <v>51.91</v>
      </c>
      <c r="CV13" s="49">
        <v>0.3</v>
      </c>
      <c r="CW13" s="42">
        <v>505004</v>
      </c>
      <c r="CX13" s="33">
        <v>4.8000000000000001E-2</v>
      </c>
      <c r="CY13" s="25">
        <v>0.05</v>
      </c>
      <c r="CZ13" s="34">
        <v>2.1</v>
      </c>
      <c r="DA13" s="35">
        <v>21</v>
      </c>
      <c r="DB13" s="25">
        <v>51.85</v>
      </c>
      <c r="DC13" s="25">
        <v>0.3</v>
      </c>
      <c r="DD13" s="42"/>
      <c r="DE13" s="49"/>
      <c r="DF13" s="49"/>
      <c r="DG13" s="49"/>
      <c r="DH13" s="49"/>
      <c r="DI13" s="49"/>
      <c r="DJ13" s="49"/>
      <c r="DK13" s="49"/>
      <c r="DL13" s="56"/>
      <c r="DM13" s="42">
        <v>32951</v>
      </c>
      <c r="DN13" s="33">
        <v>5.2999999999999999E-2</v>
      </c>
      <c r="DO13" s="25">
        <v>0.05</v>
      </c>
      <c r="DP13" s="25">
        <v>2.2000000000000002</v>
      </c>
      <c r="DQ13" s="25">
        <v>22</v>
      </c>
      <c r="DR13" s="25">
        <v>58.9</v>
      </c>
      <c r="DS13" s="25"/>
      <c r="DT13" s="25">
        <v>7.6</v>
      </c>
      <c r="DU13" s="57"/>
      <c r="DV13" s="49"/>
      <c r="DW13" s="49"/>
      <c r="DX13" s="49"/>
      <c r="DY13" s="49"/>
      <c r="DZ13" s="49"/>
      <c r="EA13" s="49"/>
      <c r="EB13" s="49"/>
      <c r="EC13" s="49"/>
      <c r="ED13" s="56"/>
      <c r="EE13" s="42"/>
      <c r="EF13" s="49"/>
      <c r="EG13" s="49"/>
      <c r="EH13" s="49"/>
      <c r="EI13" s="49"/>
      <c r="EJ13" s="49"/>
      <c r="EK13" s="49"/>
      <c r="EL13" s="49"/>
      <c r="EM13" s="58"/>
      <c r="EN13" s="39"/>
      <c r="EO13" s="40">
        <f t="shared" si="4"/>
        <v>46061</v>
      </c>
      <c r="EP13" s="40">
        <v>45978</v>
      </c>
      <c r="EQ13" s="40">
        <v>46060</v>
      </c>
      <c r="ER13" s="40" t="s">
        <v>70</v>
      </c>
      <c r="ES13" s="40">
        <v>45930</v>
      </c>
      <c r="ET13" s="40">
        <v>46055</v>
      </c>
      <c r="EU13" s="40" t="s">
        <v>71</v>
      </c>
      <c r="EV13" s="40">
        <v>45992</v>
      </c>
      <c r="EW13" s="40">
        <v>46029</v>
      </c>
      <c r="EX13" s="40" t="s">
        <v>71</v>
      </c>
      <c r="EY13" s="40">
        <v>45688</v>
      </c>
      <c r="EZ13" s="40">
        <v>46055</v>
      </c>
      <c r="FA13" s="40">
        <v>46038</v>
      </c>
      <c r="FB13" s="40">
        <v>46055</v>
      </c>
      <c r="FC13" s="40">
        <v>46055</v>
      </c>
      <c r="FD13" s="40">
        <v>46055</v>
      </c>
      <c r="FE13" s="40">
        <v>46037</v>
      </c>
      <c r="FF13" s="40">
        <v>46048</v>
      </c>
      <c r="FG13" s="40">
        <v>46041</v>
      </c>
      <c r="FH13" s="40">
        <v>46044</v>
      </c>
      <c r="FI13" s="40">
        <v>46044</v>
      </c>
      <c r="FJ13" s="40">
        <v>46047</v>
      </c>
      <c r="FK13" s="40">
        <v>46047</v>
      </c>
      <c r="FL13" s="40">
        <v>46056</v>
      </c>
      <c r="FM13" s="40">
        <v>46056</v>
      </c>
      <c r="FN13" s="40">
        <v>46056</v>
      </c>
      <c r="FO13" s="40"/>
      <c r="FP13" s="40"/>
      <c r="FQ13" s="40">
        <v>46023</v>
      </c>
      <c r="FR13" s="40">
        <v>46048</v>
      </c>
      <c r="FS13" s="40"/>
      <c r="FT13" s="40">
        <v>46022</v>
      </c>
      <c r="FU13" s="40">
        <v>46056</v>
      </c>
      <c r="FV13" s="40"/>
      <c r="FW13" s="40"/>
      <c r="FX13" s="40"/>
      <c r="FY13" s="40">
        <v>46054</v>
      </c>
      <c r="FZ13" s="40">
        <v>46054</v>
      </c>
      <c r="GA13" s="40"/>
      <c r="GB13" s="40"/>
      <c r="GC13" s="40"/>
      <c r="GD13" s="40"/>
    </row>
    <row r="14" spans="2:186" x14ac:dyDescent="0.35">
      <c r="B14" s="41">
        <f t="shared" si="3"/>
        <v>46062</v>
      </c>
      <c r="C14" s="24">
        <v>1332441</v>
      </c>
      <c r="D14" s="49">
        <v>4.7947637081116534</v>
      </c>
      <c r="E14" s="49">
        <v>0.27864406754220267</v>
      </c>
      <c r="F14" s="49">
        <v>1.959673749156623</v>
      </c>
      <c r="G14" s="49">
        <v>51.790623757449666</v>
      </c>
      <c r="H14" s="49">
        <v>2.1644344627642051</v>
      </c>
      <c r="I14" s="49">
        <v>2.0910744640850885</v>
      </c>
      <c r="J14" s="49">
        <f t="shared" si="0"/>
        <v>6.4199433896134988</v>
      </c>
      <c r="K14" s="42">
        <v>2577692</v>
      </c>
      <c r="L14" s="25">
        <v>4.83</v>
      </c>
      <c r="M14" s="25">
        <v>0.26388943588452368</v>
      </c>
      <c r="N14" s="25">
        <v>1.8914252357260863</v>
      </c>
      <c r="O14" s="25">
        <v>51.89898436964922</v>
      </c>
      <c r="P14" s="25">
        <v>2.15</v>
      </c>
      <c r="Q14" s="25">
        <v>2.0499999999999998</v>
      </c>
      <c r="R14" s="25">
        <f t="shared" si="1"/>
        <v>6.35</v>
      </c>
      <c r="S14" s="26">
        <v>2573906</v>
      </c>
      <c r="T14" s="25">
        <v>5.19</v>
      </c>
      <c r="U14" s="25">
        <v>0.3</v>
      </c>
      <c r="V14" s="25">
        <v>1.9</v>
      </c>
      <c r="W14" s="27">
        <v>51.98</v>
      </c>
      <c r="X14" s="25">
        <v>2.12</v>
      </c>
      <c r="Y14" s="25">
        <v>2.0299999999999998</v>
      </c>
      <c r="Z14" s="25">
        <f t="shared" si="2"/>
        <v>6.27</v>
      </c>
      <c r="AA14" s="42">
        <v>250276</v>
      </c>
      <c r="AB14" s="49">
        <v>86.25</v>
      </c>
      <c r="AC14" s="25">
        <v>0.32</v>
      </c>
      <c r="AD14" s="42">
        <v>529521</v>
      </c>
      <c r="AE14" s="48">
        <v>6.2E-2</v>
      </c>
      <c r="AF14" s="49">
        <v>0.04</v>
      </c>
      <c r="AG14" s="50">
        <v>2</v>
      </c>
      <c r="AH14" s="51">
        <v>20</v>
      </c>
      <c r="AI14" s="49">
        <v>36.6</v>
      </c>
      <c r="AJ14" s="49"/>
      <c r="AK14" s="49">
        <v>50.2</v>
      </c>
      <c r="AL14" s="42">
        <v>44014</v>
      </c>
      <c r="AM14" s="48">
        <v>0.05</v>
      </c>
      <c r="AN14" s="49">
        <v>3.5999999999999997E-2</v>
      </c>
      <c r="AO14" s="50">
        <v>1.92</v>
      </c>
      <c r="AP14" s="51">
        <v>19</v>
      </c>
      <c r="AQ14" s="49">
        <v>35.204000000000008</v>
      </c>
      <c r="AR14" s="49"/>
      <c r="AS14" s="49">
        <v>50</v>
      </c>
      <c r="AT14" s="42">
        <v>536860</v>
      </c>
      <c r="AU14" s="48">
        <v>7.4999999999999997E-2</v>
      </c>
      <c r="AV14" s="49">
        <v>0.06</v>
      </c>
      <c r="AW14" s="50">
        <v>2.1</v>
      </c>
      <c r="AX14" s="51">
        <v>21</v>
      </c>
      <c r="AY14" s="49">
        <v>56.17</v>
      </c>
      <c r="AZ14" s="49"/>
      <c r="BA14" s="50">
        <v>9.8000000000000007</v>
      </c>
      <c r="BB14" s="42">
        <v>521428</v>
      </c>
      <c r="BC14" s="48">
        <v>6.0999999999999999E-2</v>
      </c>
      <c r="BD14" s="49">
        <v>0.05</v>
      </c>
      <c r="BE14" s="49">
        <v>2.1</v>
      </c>
      <c r="BF14" s="49">
        <v>21</v>
      </c>
      <c r="BG14" s="49">
        <v>57.9</v>
      </c>
      <c r="BH14" s="49"/>
      <c r="BI14" s="49">
        <v>9</v>
      </c>
      <c r="BJ14" s="24">
        <v>508583</v>
      </c>
      <c r="BK14" s="48">
        <v>5.2999999999999999E-2</v>
      </c>
      <c r="BL14" s="49">
        <v>0.06</v>
      </c>
      <c r="BM14" s="49">
        <v>2.1</v>
      </c>
      <c r="BN14" s="49">
        <v>21</v>
      </c>
      <c r="BO14" s="49">
        <v>56.3</v>
      </c>
      <c r="BP14" s="49"/>
      <c r="BQ14" s="49">
        <v>9.8000000000000007</v>
      </c>
      <c r="BR14" s="42">
        <v>510730</v>
      </c>
      <c r="BS14" s="48">
        <v>5.7000000000000002E-2</v>
      </c>
      <c r="BT14" s="49">
        <v>0.06</v>
      </c>
      <c r="BU14" s="49">
        <v>2.2000000000000002</v>
      </c>
      <c r="BV14" s="49">
        <v>22</v>
      </c>
      <c r="BW14" s="49">
        <v>56.55</v>
      </c>
      <c r="BX14" s="49"/>
      <c r="BY14" s="49">
        <v>9.6</v>
      </c>
      <c r="BZ14" s="42">
        <v>26023</v>
      </c>
      <c r="CA14" s="48">
        <v>5.5E-2</v>
      </c>
      <c r="CB14" s="49">
        <v>0.05</v>
      </c>
      <c r="CC14" s="49">
        <v>2.2999999999999998</v>
      </c>
      <c r="CD14" s="49">
        <v>23</v>
      </c>
      <c r="CE14" s="49">
        <v>57.07</v>
      </c>
      <c r="CF14" s="49"/>
      <c r="CG14" s="49">
        <v>8.6</v>
      </c>
      <c r="CH14" s="42"/>
      <c r="CI14" s="49"/>
      <c r="CJ14" s="49"/>
      <c r="CK14" s="49"/>
      <c r="CL14" s="49"/>
      <c r="CM14" s="49"/>
      <c r="CN14" s="49"/>
      <c r="CO14" s="49"/>
      <c r="CP14" s="42">
        <v>616666</v>
      </c>
      <c r="CQ14" s="48">
        <v>5.6000000000000001E-2</v>
      </c>
      <c r="CR14" s="49">
        <v>0.05</v>
      </c>
      <c r="CS14" s="50">
        <v>2.2000000000000002</v>
      </c>
      <c r="CT14" s="51">
        <v>22</v>
      </c>
      <c r="CU14" s="49">
        <v>51.91</v>
      </c>
      <c r="CV14" s="49">
        <v>0.3</v>
      </c>
      <c r="CW14" s="42">
        <v>505004</v>
      </c>
      <c r="CX14" s="33">
        <v>4.8000000000000001E-2</v>
      </c>
      <c r="CY14" s="25">
        <v>0.05</v>
      </c>
      <c r="CZ14" s="34">
        <v>2.1</v>
      </c>
      <c r="DA14" s="35">
        <v>21</v>
      </c>
      <c r="DB14" s="25">
        <v>51.85</v>
      </c>
      <c r="DC14" s="25">
        <v>0.3</v>
      </c>
      <c r="DD14" s="42"/>
      <c r="DE14" s="49"/>
      <c r="DF14" s="49"/>
      <c r="DG14" s="49"/>
      <c r="DH14" s="49"/>
      <c r="DI14" s="49"/>
      <c r="DJ14" s="49"/>
      <c r="DK14" s="49"/>
      <c r="DL14" s="56"/>
      <c r="DM14" s="42">
        <v>32951</v>
      </c>
      <c r="DN14" s="33">
        <v>5.2999999999999999E-2</v>
      </c>
      <c r="DO14" s="25">
        <v>0.05</v>
      </c>
      <c r="DP14" s="25">
        <v>2.2000000000000002</v>
      </c>
      <c r="DQ14" s="25">
        <v>22</v>
      </c>
      <c r="DR14" s="25">
        <v>58.9</v>
      </c>
      <c r="DS14" s="25"/>
      <c r="DT14" s="25">
        <v>7.6</v>
      </c>
      <c r="DU14" s="57"/>
      <c r="DV14" s="49"/>
      <c r="DW14" s="49"/>
      <c r="DX14" s="49"/>
      <c r="DY14" s="49"/>
      <c r="DZ14" s="49"/>
      <c r="EA14" s="49"/>
      <c r="EB14" s="49"/>
      <c r="EC14" s="49"/>
      <c r="ED14" s="56"/>
      <c r="EE14" s="42"/>
      <c r="EF14" s="49"/>
      <c r="EG14" s="49"/>
      <c r="EH14" s="49"/>
      <c r="EI14" s="49"/>
      <c r="EJ14" s="49"/>
      <c r="EK14" s="49"/>
      <c r="EL14" s="49"/>
      <c r="EM14" s="58"/>
      <c r="EN14" s="39"/>
      <c r="EO14" s="40">
        <f t="shared" si="4"/>
        <v>46062</v>
      </c>
      <c r="EP14" s="40">
        <v>45978</v>
      </c>
      <c r="EQ14" s="40">
        <v>46060</v>
      </c>
      <c r="ER14" s="40" t="s">
        <v>70</v>
      </c>
      <c r="ES14" s="40">
        <v>45930</v>
      </c>
      <c r="ET14" s="40">
        <v>46055</v>
      </c>
      <c r="EU14" s="40" t="s">
        <v>71</v>
      </c>
      <c r="EV14" s="40">
        <v>45992</v>
      </c>
      <c r="EW14" s="40">
        <v>46029</v>
      </c>
      <c r="EX14" s="40" t="s">
        <v>71</v>
      </c>
      <c r="EY14" s="40">
        <v>45688</v>
      </c>
      <c r="EZ14" s="40">
        <v>46055</v>
      </c>
      <c r="FA14" s="40">
        <v>46038</v>
      </c>
      <c r="FB14" s="40">
        <v>46055</v>
      </c>
      <c r="FC14" s="40">
        <v>46055</v>
      </c>
      <c r="FD14" s="40">
        <v>46055</v>
      </c>
      <c r="FE14" s="40">
        <v>46037</v>
      </c>
      <c r="FF14" s="40">
        <v>46048</v>
      </c>
      <c r="FG14" s="40">
        <v>46041</v>
      </c>
      <c r="FH14" s="40">
        <v>46044</v>
      </c>
      <c r="FI14" s="40">
        <v>46044</v>
      </c>
      <c r="FJ14" s="40">
        <v>46047</v>
      </c>
      <c r="FK14" s="40">
        <v>46047</v>
      </c>
      <c r="FL14" s="40">
        <v>46056</v>
      </c>
      <c r="FM14" s="40">
        <v>46056</v>
      </c>
      <c r="FN14" s="40">
        <v>46056</v>
      </c>
      <c r="FO14" s="40"/>
      <c r="FP14" s="40"/>
      <c r="FQ14" s="40">
        <v>46023</v>
      </c>
      <c r="FR14" s="40">
        <v>46048</v>
      </c>
      <c r="FS14" s="40"/>
      <c r="FT14" s="40">
        <v>46022</v>
      </c>
      <c r="FU14" s="40">
        <v>46056</v>
      </c>
      <c r="FV14" s="40"/>
      <c r="FW14" s="40"/>
      <c r="FX14" s="40"/>
      <c r="FY14" s="40">
        <v>46054</v>
      </c>
      <c r="FZ14" s="40">
        <v>46054</v>
      </c>
      <c r="GA14" s="40"/>
      <c r="GB14" s="40"/>
      <c r="GC14" s="40"/>
      <c r="GD14" s="40"/>
    </row>
    <row r="15" spans="2:186" x14ac:dyDescent="0.35">
      <c r="B15" s="41">
        <f t="shared" si="3"/>
        <v>46063</v>
      </c>
      <c r="C15" s="24">
        <v>1402941</v>
      </c>
      <c r="D15" s="49">
        <v>4.7748407103168979</v>
      </c>
      <c r="E15" s="49">
        <v>0.27719845417210348</v>
      </c>
      <c r="F15" s="49">
        <v>1.9566621248648683</v>
      </c>
      <c r="G15" s="49">
        <v>51.775956511297608</v>
      </c>
      <c r="H15" s="49">
        <v>2.1611825740186608</v>
      </c>
      <c r="I15" s="49">
        <v>2.0864781035031967</v>
      </c>
      <c r="J15" s="49">
        <f t="shared" si="0"/>
        <v>6.4088432515405183</v>
      </c>
      <c r="K15" s="42">
        <v>2577692</v>
      </c>
      <c r="L15" s="25">
        <v>4.83</v>
      </c>
      <c r="M15" s="25">
        <v>0.26388943588452368</v>
      </c>
      <c r="N15" s="25">
        <v>1.8914252357260863</v>
      </c>
      <c r="O15" s="25">
        <v>51.89898436964922</v>
      </c>
      <c r="P15" s="25">
        <v>2.15</v>
      </c>
      <c r="Q15" s="25">
        <v>2.0499999999999998</v>
      </c>
      <c r="R15" s="25">
        <f t="shared" si="1"/>
        <v>6.35</v>
      </c>
      <c r="S15" s="26">
        <v>2573906</v>
      </c>
      <c r="T15" s="25">
        <v>5.2</v>
      </c>
      <c r="U15" s="25">
        <v>0.3</v>
      </c>
      <c r="V15" s="25">
        <v>1.9</v>
      </c>
      <c r="W15" s="27">
        <v>51.98</v>
      </c>
      <c r="X15" s="25">
        <v>2.12</v>
      </c>
      <c r="Y15" s="25">
        <v>2.0299999999999998</v>
      </c>
      <c r="Z15" s="25">
        <f t="shared" si="2"/>
        <v>6.27</v>
      </c>
      <c r="AA15" s="42">
        <v>250276</v>
      </c>
      <c r="AB15" s="49">
        <v>86.25</v>
      </c>
      <c r="AC15" s="25">
        <v>0.32</v>
      </c>
      <c r="AD15" s="42">
        <v>529521</v>
      </c>
      <c r="AE15" s="48">
        <v>6.2E-2</v>
      </c>
      <c r="AF15" s="49">
        <v>0.04</v>
      </c>
      <c r="AG15" s="50">
        <v>2</v>
      </c>
      <c r="AH15" s="51">
        <v>20</v>
      </c>
      <c r="AI15" s="49">
        <v>36.6</v>
      </c>
      <c r="AJ15" s="49"/>
      <c r="AK15" s="49">
        <v>50.2</v>
      </c>
      <c r="AL15" s="42">
        <v>44014</v>
      </c>
      <c r="AM15" s="48">
        <v>0.05</v>
      </c>
      <c r="AN15" s="49">
        <v>3.5999999999999997E-2</v>
      </c>
      <c r="AO15" s="50">
        <v>1.92</v>
      </c>
      <c r="AP15" s="51">
        <v>19</v>
      </c>
      <c r="AQ15" s="49">
        <v>35.204000000000008</v>
      </c>
      <c r="AR15" s="49"/>
      <c r="AS15" s="49">
        <v>50</v>
      </c>
      <c r="AT15" s="42">
        <v>536860</v>
      </c>
      <c r="AU15" s="48">
        <v>7.4999999999999997E-2</v>
      </c>
      <c r="AV15" s="49">
        <v>0.06</v>
      </c>
      <c r="AW15" s="50">
        <v>2.1</v>
      </c>
      <c r="AX15" s="51">
        <v>21</v>
      </c>
      <c r="AY15" s="49">
        <v>56.01</v>
      </c>
      <c r="AZ15" s="49"/>
      <c r="BA15" s="50">
        <v>10</v>
      </c>
      <c r="BB15" s="42">
        <v>521428</v>
      </c>
      <c r="BC15" s="48">
        <v>6.0999999999999999E-2</v>
      </c>
      <c r="BD15" s="49">
        <v>0.05</v>
      </c>
      <c r="BE15" s="49">
        <v>2.1</v>
      </c>
      <c r="BF15" s="49">
        <v>21</v>
      </c>
      <c r="BG15" s="49">
        <v>57.65</v>
      </c>
      <c r="BH15" s="49"/>
      <c r="BI15" s="49">
        <v>9</v>
      </c>
      <c r="BJ15" s="24">
        <v>508583</v>
      </c>
      <c r="BK15" s="48">
        <v>5.2999999999999999E-2</v>
      </c>
      <c r="BL15" s="49">
        <v>0.06</v>
      </c>
      <c r="BM15" s="49">
        <v>2.1</v>
      </c>
      <c r="BN15" s="49">
        <v>21</v>
      </c>
      <c r="BO15" s="49">
        <v>56.55</v>
      </c>
      <c r="BP15" s="49"/>
      <c r="BQ15" s="49">
        <v>9.8000000000000007</v>
      </c>
      <c r="BR15" s="42">
        <v>510730</v>
      </c>
      <c r="BS15" s="48">
        <v>5.7000000000000002E-2</v>
      </c>
      <c r="BT15" s="49">
        <v>0.06</v>
      </c>
      <c r="BU15" s="49">
        <v>2.2000000000000002</v>
      </c>
      <c r="BV15" s="49">
        <v>22</v>
      </c>
      <c r="BW15" s="49">
        <v>56.8</v>
      </c>
      <c r="BX15" s="49"/>
      <c r="BY15" s="49">
        <v>9.4</v>
      </c>
      <c r="BZ15" s="42">
        <v>26023</v>
      </c>
      <c r="CA15" s="48">
        <v>5.5E-2</v>
      </c>
      <c r="CB15" s="49">
        <v>0.06</v>
      </c>
      <c r="CC15" s="49">
        <v>2.2999999999999998</v>
      </c>
      <c r="CD15" s="49">
        <v>23</v>
      </c>
      <c r="CE15" s="49">
        <v>57.5</v>
      </c>
      <c r="CF15" s="49"/>
      <c r="CG15" s="49">
        <v>8.1999999999999993</v>
      </c>
      <c r="CH15" s="42"/>
      <c r="CI15" s="49"/>
      <c r="CJ15" s="49"/>
      <c r="CK15" s="73"/>
      <c r="CL15" s="49"/>
      <c r="CM15" s="49"/>
      <c r="CN15" s="49"/>
      <c r="CO15" s="49"/>
      <c r="CP15" s="42">
        <v>616666</v>
      </c>
      <c r="CQ15" s="48">
        <v>5.6000000000000001E-2</v>
      </c>
      <c r="CR15" s="49">
        <v>0.05</v>
      </c>
      <c r="CS15" s="50">
        <v>2.2000000000000002</v>
      </c>
      <c r="CT15" s="51">
        <v>22</v>
      </c>
      <c r="CU15" s="49">
        <v>51.91</v>
      </c>
      <c r="CV15" s="49">
        <v>0.3</v>
      </c>
      <c r="CW15" s="42">
        <v>505004</v>
      </c>
      <c r="CX15" s="33">
        <v>4.8000000000000001E-2</v>
      </c>
      <c r="CY15" s="25">
        <v>0.05</v>
      </c>
      <c r="CZ15" s="34">
        <v>2.1</v>
      </c>
      <c r="DA15" s="35">
        <v>21</v>
      </c>
      <c r="DB15" s="25">
        <v>51.85</v>
      </c>
      <c r="DC15" s="25">
        <v>0.3</v>
      </c>
      <c r="DD15" s="42"/>
      <c r="DE15" s="49"/>
      <c r="DF15" s="49"/>
      <c r="DG15" s="49"/>
      <c r="DH15" s="49"/>
      <c r="DI15" s="49"/>
      <c r="DJ15" s="49"/>
      <c r="DK15" s="49"/>
      <c r="DL15" s="56"/>
      <c r="DM15" s="42">
        <v>32951</v>
      </c>
      <c r="DN15" s="33">
        <v>5.8999999999999997E-2</v>
      </c>
      <c r="DO15" s="25">
        <v>0.05</v>
      </c>
      <c r="DP15" s="25">
        <v>2.2999999999999998</v>
      </c>
      <c r="DQ15" s="25">
        <v>23</v>
      </c>
      <c r="DR15" s="25">
        <v>58.9</v>
      </c>
      <c r="DS15" s="25"/>
      <c r="DT15" s="25">
        <v>7.6</v>
      </c>
      <c r="DU15" s="57"/>
      <c r="DV15" s="49"/>
      <c r="DW15" s="49"/>
      <c r="DX15" s="49"/>
      <c r="DY15" s="49"/>
      <c r="DZ15" s="49"/>
      <c r="EA15" s="49"/>
      <c r="EB15" s="49"/>
      <c r="EC15" s="49"/>
      <c r="ED15" s="56"/>
      <c r="EE15" s="42"/>
      <c r="EF15" s="49"/>
      <c r="EG15" s="49"/>
      <c r="EH15" s="49"/>
      <c r="EI15" s="49"/>
      <c r="EJ15" s="49"/>
      <c r="EK15" s="49"/>
      <c r="EL15" s="49"/>
      <c r="EM15" s="58"/>
      <c r="EN15" s="39"/>
      <c r="EO15" s="40">
        <f t="shared" si="4"/>
        <v>46063</v>
      </c>
      <c r="EP15" s="40">
        <v>45978</v>
      </c>
      <c r="EQ15" s="40">
        <v>46062</v>
      </c>
      <c r="ER15" s="40" t="s">
        <v>70</v>
      </c>
      <c r="ES15" s="40">
        <v>45930</v>
      </c>
      <c r="ET15" s="40">
        <v>46055</v>
      </c>
      <c r="EU15" s="40" t="s">
        <v>71</v>
      </c>
      <c r="EV15" s="40">
        <v>45992</v>
      </c>
      <c r="EW15" s="40">
        <v>46029</v>
      </c>
      <c r="EX15" s="40" t="s">
        <v>71</v>
      </c>
      <c r="EY15" s="40">
        <v>45688</v>
      </c>
      <c r="EZ15" s="40">
        <v>46055</v>
      </c>
      <c r="FA15" s="40">
        <v>46038</v>
      </c>
      <c r="FB15" s="40">
        <v>46055</v>
      </c>
      <c r="FC15" s="40">
        <v>46055</v>
      </c>
      <c r="FD15" s="40">
        <v>46055</v>
      </c>
      <c r="FE15" s="40">
        <v>46037</v>
      </c>
      <c r="FF15" s="40">
        <v>46048</v>
      </c>
      <c r="FG15" s="40">
        <v>46041</v>
      </c>
      <c r="FH15" s="40">
        <v>46044</v>
      </c>
      <c r="FI15" s="40">
        <v>46044</v>
      </c>
      <c r="FJ15" s="40">
        <v>46047</v>
      </c>
      <c r="FK15" s="40">
        <v>46047</v>
      </c>
      <c r="FL15" s="40">
        <v>46056</v>
      </c>
      <c r="FM15" s="40">
        <v>46056</v>
      </c>
      <c r="FN15" s="40">
        <v>46056</v>
      </c>
      <c r="FO15" s="40"/>
      <c r="FP15" s="40"/>
      <c r="FQ15" s="40">
        <v>46023</v>
      </c>
      <c r="FR15" s="40">
        <v>46048</v>
      </c>
      <c r="FS15" s="40"/>
      <c r="FT15" s="40">
        <v>46022</v>
      </c>
      <c r="FU15" s="40">
        <v>46056</v>
      </c>
      <c r="FV15" s="40"/>
      <c r="FW15" s="40"/>
      <c r="FX15" s="40"/>
      <c r="FY15" s="40">
        <v>46054</v>
      </c>
      <c r="FZ15" s="40">
        <v>46054</v>
      </c>
      <c r="GA15" s="40"/>
      <c r="GB15" s="40"/>
      <c r="GC15" s="40"/>
      <c r="GD15" s="40"/>
    </row>
    <row r="16" spans="2:186" x14ac:dyDescent="0.35">
      <c r="B16" s="41">
        <f t="shared" si="3"/>
        <v>46064</v>
      </c>
      <c r="C16" s="42">
        <v>1576279</v>
      </c>
      <c r="D16" s="49">
        <v>4.8</v>
      </c>
      <c r="E16" s="49">
        <v>0.24</v>
      </c>
      <c r="F16" s="49">
        <v>1.88</v>
      </c>
      <c r="G16" s="49">
        <v>51.75</v>
      </c>
      <c r="H16" s="49">
        <v>2.2000000000000002</v>
      </c>
      <c r="I16" s="49">
        <v>2.12</v>
      </c>
      <c r="J16" s="49">
        <f t="shared" si="0"/>
        <v>6.5200000000000005</v>
      </c>
      <c r="K16" s="42">
        <v>2577692</v>
      </c>
      <c r="L16" s="25">
        <v>4.8499999999999996</v>
      </c>
      <c r="M16" s="25">
        <v>0.26388943588452368</v>
      </c>
      <c r="N16" s="25">
        <v>1.8914252357260863</v>
      </c>
      <c r="O16" s="25">
        <v>51.89898436964922</v>
      </c>
      <c r="P16" s="25">
        <v>2.1800000000000002</v>
      </c>
      <c r="Q16" s="25">
        <v>2.08</v>
      </c>
      <c r="R16" s="25">
        <f t="shared" si="1"/>
        <v>6.44</v>
      </c>
      <c r="S16" s="26">
        <v>2573906</v>
      </c>
      <c r="T16" s="25">
        <v>5.2</v>
      </c>
      <c r="U16" s="25">
        <v>0.3</v>
      </c>
      <c r="V16" s="25">
        <v>1.9</v>
      </c>
      <c r="W16" s="27">
        <v>51.98</v>
      </c>
      <c r="X16" s="25">
        <v>2.12</v>
      </c>
      <c r="Y16" s="25">
        <v>2.0299999999999998</v>
      </c>
      <c r="Z16" s="25">
        <f t="shared" si="2"/>
        <v>6.27</v>
      </c>
      <c r="AA16" s="42">
        <v>250276</v>
      </c>
      <c r="AB16" s="49">
        <v>86.25</v>
      </c>
      <c r="AC16" s="25">
        <v>0.32</v>
      </c>
      <c r="AD16" s="42">
        <v>529521</v>
      </c>
      <c r="AE16" s="48">
        <v>6.3E-2</v>
      </c>
      <c r="AF16" s="49">
        <v>0.04</v>
      </c>
      <c r="AG16" s="50">
        <v>2</v>
      </c>
      <c r="AH16" s="51">
        <v>20</v>
      </c>
      <c r="AI16" s="49">
        <v>36.6</v>
      </c>
      <c r="AJ16" s="49"/>
      <c r="AK16" s="49">
        <v>50.2</v>
      </c>
      <c r="AL16" s="42">
        <v>44014</v>
      </c>
      <c r="AM16" s="48">
        <v>5.1999999999999998E-2</v>
      </c>
      <c r="AN16" s="49">
        <v>3.5999999999999997E-2</v>
      </c>
      <c r="AO16" s="50">
        <v>1.92</v>
      </c>
      <c r="AP16" s="51">
        <v>19</v>
      </c>
      <c r="AQ16" s="49">
        <v>35.204000000000008</v>
      </c>
      <c r="AR16" s="49"/>
      <c r="AS16" s="49">
        <v>50</v>
      </c>
      <c r="AT16" s="42">
        <v>536860</v>
      </c>
      <c r="AU16" s="48">
        <v>7.4999999999999997E-2</v>
      </c>
      <c r="AV16" s="49">
        <v>0.06</v>
      </c>
      <c r="AW16" s="50">
        <v>2.1</v>
      </c>
      <c r="AX16" s="51">
        <v>21</v>
      </c>
      <c r="AY16" s="49">
        <v>56.01</v>
      </c>
      <c r="AZ16" s="49"/>
      <c r="BA16" s="50">
        <v>10</v>
      </c>
      <c r="BB16" s="42">
        <v>509180</v>
      </c>
      <c r="BC16" s="48">
        <v>6.0999999999999999E-2</v>
      </c>
      <c r="BD16" s="49">
        <v>0.05</v>
      </c>
      <c r="BE16" s="49">
        <v>2.1</v>
      </c>
      <c r="BF16" s="49">
        <v>21</v>
      </c>
      <c r="BG16" s="49">
        <v>57.65</v>
      </c>
      <c r="BH16" s="49"/>
      <c r="BI16" s="49">
        <v>9</v>
      </c>
      <c r="BJ16" s="24">
        <v>508583</v>
      </c>
      <c r="BK16" s="48">
        <v>5.2999999999999999E-2</v>
      </c>
      <c r="BL16" s="49">
        <v>0.06</v>
      </c>
      <c r="BM16" s="49">
        <v>2.1</v>
      </c>
      <c r="BN16" s="49">
        <v>21</v>
      </c>
      <c r="BO16" s="49">
        <v>56.55</v>
      </c>
      <c r="BP16" s="49"/>
      <c r="BQ16" s="49">
        <v>9.8000000000000007</v>
      </c>
      <c r="BR16" s="42">
        <v>510730</v>
      </c>
      <c r="BS16" s="48">
        <v>5.7000000000000002E-2</v>
      </c>
      <c r="BT16" s="49">
        <v>0.06</v>
      </c>
      <c r="BU16" s="49">
        <v>2.2000000000000002</v>
      </c>
      <c r="BV16" s="49">
        <v>22</v>
      </c>
      <c r="BW16" s="49">
        <v>56.8</v>
      </c>
      <c r="BX16" s="49"/>
      <c r="BY16" s="49">
        <v>9.4</v>
      </c>
      <c r="BZ16" s="42">
        <v>26023</v>
      </c>
      <c r="CA16" s="48">
        <v>5.5E-2</v>
      </c>
      <c r="CB16" s="49">
        <v>0.06</v>
      </c>
      <c r="CC16" s="49">
        <v>2.2999999999999998</v>
      </c>
      <c r="CD16" s="49">
        <v>23</v>
      </c>
      <c r="CE16" s="49">
        <v>57.5</v>
      </c>
      <c r="CF16" s="49"/>
      <c r="CG16" s="49">
        <v>8.1999999999999993</v>
      </c>
      <c r="CH16" s="42"/>
      <c r="CI16" s="49"/>
      <c r="CJ16" s="49"/>
      <c r="CK16" s="49"/>
      <c r="CL16" s="49"/>
      <c r="CM16" s="49"/>
      <c r="CN16" s="49"/>
      <c r="CO16" s="49"/>
      <c r="CP16" s="42">
        <v>616666</v>
      </c>
      <c r="CQ16" s="48">
        <v>5.8999999999999997E-2</v>
      </c>
      <c r="CR16" s="49">
        <v>0.05</v>
      </c>
      <c r="CS16" s="50">
        <v>2.2000000000000002</v>
      </c>
      <c r="CT16" s="51">
        <v>22</v>
      </c>
      <c r="CU16" s="49">
        <v>51.91</v>
      </c>
      <c r="CV16" s="49">
        <v>0.3</v>
      </c>
      <c r="CW16" s="42">
        <v>505004</v>
      </c>
      <c r="CX16" s="33">
        <v>0.05</v>
      </c>
      <c r="CY16" s="25">
        <v>0.05</v>
      </c>
      <c r="CZ16" s="34">
        <v>2.2000000000000002</v>
      </c>
      <c r="DA16" s="35">
        <v>22</v>
      </c>
      <c r="DB16" s="25">
        <v>51.85</v>
      </c>
      <c r="DC16" s="25">
        <v>0.3</v>
      </c>
      <c r="DD16" s="42"/>
      <c r="DE16" s="49"/>
      <c r="DF16" s="49"/>
      <c r="DG16" s="49"/>
      <c r="DH16" s="49"/>
      <c r="DI16" s="49"/>
      <c r="DJ16" s="49"/>
      <c r="DK16" s="49"/>
      <c r="DL16" s="56"/>
      <c r="DM16" s="42">
        <v>32951</v>
      </c>
      <c r="DN16" s="33">
        <v>5.8999999999999997E-2</v>
      </c>
      <c r="DO16" s="25">
        <v>0.05</v>
      </c>
      <c r="DP16" s="25">
        <v>2.2999999999999998</v>
      </c>
      <c r="DQ16" s="25">
        <v>23</v>
      </c>
      <c r="DR16" s="25">
        <v>58.9</v>
      </c>
      <c r="DS16" s="25"/>
      <c r="DT16" s="25">
        <v>7.6</v>
      </c>
      <c r="DU16" s="57"/>
      <c r="DV16" s="49"/>
      <c r="DW16" s="49"/>
      <c r="DX16" s="49"/>
      <c r="DY16" s="49"/>
      <c r="DZ16" s="49"/>
      <c r="EA16" s="49"/>
      <c r="EB16" s="49"/>
      <c r="EC16" s="49"/>
      <c r="ED16" s="56"/>
      <c r="EE16" s="42"/>
      <c r="EF16" s="49"/>
      <c r="EG16" s="49"/>
      <c r="EH16" s="49"/>
      <c r="EI16" s="49"/>
      <c r="EJ16" s="49"/>
      <c r="EK16" s="49"/>
      <c r="EL16" s="49"/>
      <c r="EM16" s="58"/>
      <c r="EN16" s="39"/>
      <c r="EO16" s="40">
        <f t="shared" si="4"/>
        <v>46064</v>
      </c>
      <c r="EP16" s="40">
        <v>45978</v>
      </c>
      <c r="EQ16" s="40">
        <v>46063</v>
      </c>
      <c r="ER16" s="40" t="s">
        <v>70</v>
      </c>
      <c r="ES16" s="40">
        <v>45930</v>
      </c>
      <c r="ET16" s="40">
        <v>46055</v>
      </c>
      <c r="EU16" s="40" t="s">
        <v>71</v>
      </c>
      <c r="EV16" s="40">
        <v>45992</v>
      </c>
      <c r="EW16" s="40">
        <v>46029</v>
      </c>
      <c r="EX16" s="40" t="s">
        <v>71</v>
      </c>
      <c r="EY16" s="40">
        <v>45688</v>
      </c>
      <c r="EZ16" s="40">
        <v>46055</v>
      </c>
      <c r="FA16" s="40">
        <v>46038</v>
      </c>
      <c r="FB16" s="40">
        <v>46055</v>
      </c>
      <c r="FC16" s="40">
        <v>46055</v>
      </c>
      <c r="FD16" s="40">
        <v>46055</v>
      </c>
      <c r="FE16" s="40">
        <v>46037</v>
      </c>
      <c r="FF16" s="40">
        <v>46048</v>
      </c>
      <c r="FG16" s="40">
        <v>46041</v>
      </c>
      <c r="FH16" s="40">
        <v>46044</v>
      </c>
      <c r="FI16" s="40">
        <v>46044</v>
      </c>
      <c r="FJ16" s="40">
        <v>46047</v>
      </c>
      <c r="FK16" s="40">
        <v>46047</v>
      </c>
      <c r="FL16" s="40">
        <v>46056</v>
      </c>
      <c r="FM16" s="40">
        <v>46056</v>
      </c>
      <c r="FN16" s="40">
        <v>46056</v>
      </c>
      <c r="FO16" s="40"/>
      <c r="FP16" s="40"/>
      <c r="FQ16" s="40">
        <v>46023</v>
      </c>
      <c r="FR16" s="40">
        <v>46048</v>
      </c>
      <c r="FS16" s="40"/>
      <c r="FT16" s="40">
        <v>46022</v>
      </c>
      <c r="FU16" s="40">
        <v>46056</v>
      </c>
      <c r="FV16" s="40"/>
      <c r="FW16" s="40"/>
      <c r="FX16" s="40"/>
      <c r="FY16" s="40">
        <v>46054</v>
      </c>
      <c r="FZ16" s="40">
        <v>46054</v>
      </c>
      <c r="GA16" s="40"/>
      <c r="GB16" s="40"/>
      <c r="GC16" s="40"/>
      <c r="GD16" s="40"/>
    </row>
    <row r="17" spans="2:186" x14ac:dyDescent="0.35">
      <c r="B17" s="41">
        <f t="shared" si="3"/>
        <v>46065</v>
      </c>
      <c r="C17" s="42">
        <v>1836159</v>
      </c>
      <c r="D17" s="49">
        <v>4.78</v>
      </c>
      <c r="E17" s="49">
        <v>0.24</v>
      </c>
      <c r="F17" s="49">
        <v>1.9</v>
      </c>
      <c r="G17" s="49">
        <v>51.8</v>
      </c>
      <c r="H17" s="49">
        <v>2.2200000000000002</v>
      </c>
      <c r="I17" s="49">
        <v>2.15</v>
      </c>
      <c r="J17" s="49">
        <f t="shared" si="0"/>
        <v>6.59</v>
      </c>
      <c r="K17" s="42">
        <v>2577692</v>
      </c>
      <c r="L17" s="25">
        <v>4.8499999999999996</v>
      </c>
      <c r="M17" s="25">
        <v>0.26388943588452368</v>
      </c>
      <c r="N17" s="25">
        <v>1.8914252357260863</v>
      </c>
      <c r="O17" s="25">
        <v>51.89898436964922</v>
      </c>
      <c r="P17" s="25">
        <v>2.1800000000000002</v>
      </c>
      <c r="Q17" s="25">
        <v>2.08</v>
      </c>
      <c r="R17" s="25">
        <f t="shared" si="1"/>
        <v>6.44</v>
      </c>
      <c r="S17" s="26">
        <v>2573906</v>
      </c>
      <c r="T17" s="25">
        <v>5.2</v>
      </c>
      <c r="U17" s="25">
        <v>0.3</v>
      </c>
      <c r="V17" s="25">
        <v>1.9</v>
      </c>
      <c r="W17" s="27">
        <v>51.98</v>
      </c>
      <c r="X17" s="25">
        <v>2.12</v>
      </c>
      <c r="Y17" s="25">
        <v>2.0299999999999998</v>
      </c>
      <c r="Z17" s="25">
        <f t="shared" si="2"/>
        <v>6.27</v>
      </c>
      <c r="AA17" s="42">
        <v>250276</v>
      </c>
      <c r="AB17" s="49">
        <v>86.25</v>
      </c>
      <c r="AC17" s="25">
        <v>0.32</v>
      </c>
      <c r="AD17" s="42">
        <v>529521</v>
      </c>
      <c r="AE17" s="48">
        <v>6.3E-2</v>
      </c>
      <c r="AF17" s="49">
        <v>0.04</v>
      </c>
      <c r="AG17" s="50">
        <v>2</v>
      </c>
      <c r="AH17" s="51">
        <v>20</v>
      </c>
      <c r="AI17" s="49">
        <v>36.6</v>
      </c>
      <c r="AJ17" s="49"/>
      <c r="AK17" s="49">
        <v>50.2</v>
      </c>
      <c r="AL17" s="42">
        <v>44014</v>
      </c>
      <c r="AM17" s="48">
        <v>5.1999999999999998E-2</v>
      </c>
      <c r="AN17" s="49">
        <v>3.5999999999999997E-2</v>
      </c>
      <c r="AO17" s="50">
        <v>1.92</v>
      </c>
      <c r="AP17" s="51">
        <v>19</v>
      </c>
      <c r="AQ17" s="49">
        <v>35.204000000000008</v>
      </c>
      <c r="AR17" s="49"/>
      <c r="AS17" s="49">
        <v>50</v>
      </c>
      <c r="AT17" s="42">
        <v>536860</v>
      </c>
      <c r="AU17" s="48">
        <v>7.4999999999999997E-2</v>
      </c>
      <c r="AV17" s="49">
        <v>0.06</v>
      </c>
      <c r="AW17" s="50">
        <v>2.1</v>
      </c>
      <c r="AX17" s="51">
        <v>21</v>
      </c>
      <c r="AY17" s="49">
        <v>56.01</v>
      </c>
      <c r="AZ17" s="49"/>
      <c r="BA17" s="50">
        <v>10</v>
      </c>
      <c r="BB17" s="42">
        <v>509180</v>
      </c>
      <c r="BC17" s="48">
        <v>6.0999999999999999E-2</v>
      </c>
      <c r="BD17" s="49">
        <v>0.05</v>
      </c>
      <c r="BE17" s="49">
        <v>2.1</v>
      </c>
      <c r="BF17" s="49">
        <v>21</v>
      </c>
      <c r="BG17" s="49">
        <v>57.65</v>
      </c>
      <c r="BH17" s="49"/>
      <c r="BI17" s="49">
        <v>9</v>
      </c>
      <c r="BJ17" s="24">
        <v>508583</v>
      </c>
      <c r="BK17" s="48">
        <v>5.2999999999999999E-2</v>
      </c>
      <c r="BL17" s="49">
        <v>0.06</v>
      </c>
      <c r="BM17" s="49">
        <v>2.1</v>
      </c>
      <c r="BN17" s="49">
        <v>21</v>
      </c>
      <c r="BO17" s="49">
        <v>56.55</v>
      </c>
      <c r="BP17" s="49"/>
      <c r="BQ17" s="49">
        <v>9.8000000000000007</v>
      </c>
      <c r="BR17" s="42">
        <v>510730</v>
      </c>
      <c r="BS17" s="48">
        <v>5.8000000000000003E-2</v>
      </c>
      <c r="BT17" s="49">
        <v>0.06</v>
      </c>
      <c r="BU17" s="49">
        <v>2.2000000000000002</v>
      </c>
      <c r="BV17" s="49">
        <v>22</v>
      </c>
      <c r="BW17" s="49">
        <v>56.8</v>
      </c>
      <c r="BX17" s="49"/>
      <c r="BY17" s="49">
        <v>9.4</v>
      </c>
      <c r="BZ17" s="42">
        <v>26023</v>
      </c>
      <c r="CA17" s="48">
        <v>5.6000000000000001E-2</v>
      </c>
      <c r="CB17" s="49">
        <v>0.06</v>
      </c>
      <c r="CC17" s="49">
        <v>2.2999999999999998</v>
      </c>
      <c r="CD17" s="49">
        <v>23</v>
      </c>
      <c r="CE17" s="49">
        <v>57.5</v>
      </c>
      <c r="CF17" s="49"/>
      <c r="CG17" s="49">
        <v>8.1999999999999993</v>
      </c>
      <c r="CH17" s="42"/>
      <c r="CI17" s="49"/>
      <c r="CJ17" s="49"/>
      <c r="CK17" s="49"/>
      <c r="CL17" s="49"/>
      <c r="CM17" s="49"/>
      <c r="CN17" s="49"/>
      <c r="CO17" s="49"/>
      <c r="CP17" s="42">
        <v>616666</v>
      </c>
      <c r="CQ17" s="48">
        <v>5.8999999999999997E-2</v>
      </c>
      <c r="CR17" s="49">
        <v>0.05</v>
      </c>
      <c r="CS17" s="50">
        <v>2.2000000000000002</v>
      </c>
      <c r="CT17" s="51">
        <v>22</v>
      </c>
      <c r="CU17" s="49">
        <v>51.91</v>
      </c>
      <c r="CV17" s="49">
        <v>0.3</v>
      </c>
      <c r="CW17" s="42">
        <v>505004</v>
      </c>
      <c r="CX17" s="33">
        <v>0.05</v>
      </c>
      <c r="CY17" s="25">
        <v>0.05</v>
      </c>
      <c r="CZ17" s="34">
        <v>2.2000000000000002</v>
      </c>
      <c r="DA17" s="35">
        <v>22</v>
      </c>
      <c r="DB17" s="25">
        <v>51.85</v>
      </c>
      <c r="DC17" s="25">
        <v>0.3</v>
      </c>
      <c r="DD17" s="42"/>
      <c r="DE17" s="49"/>
      <c r="DF17" s="49"/>
      <c r="DG17" s="49"/>
      <c r="DH17" s="49"/>
      <c r="DI17" s="49"/>
      <c r="DJ17" s="49"/>
      <c r="DK17" s="49"/>
      <c r="DL17" s="56"/>
      <c r="DM17" s="42">
        <v>32951</v>
      </c>
      <c r="DN17" s="33">
        <v>5.8999999999999997E-2</v>
      </c>
      <c r="DO17" s="25">
        <v>0.05</v>
      </c>
      <c r="DP17" s="25">
        <v>2.2999999999999998</v>
      </c>
      <c r="DQ17" s="25">
        <v>23</v>
      </c>
      <c r="DR17" s="25">
        <v>58.9</v>
      </c>
      <c r="DS17" s="25"/>
      <c r="DT17" s="25">
        <v>7.6</v>
      </c>
      <c r="DU17" s="57"/>
      <c r="DV17" s="49"/>
      <c r="DW17" s="49"/>
      <c r="DX17" s="49"/>
      <c r="DY17" s="49"/>
      <c r="DZ17" s="49"/>
      <c r="EA17" s="49"/>
      <c r="EB17" s="49"/>
      <c r="EC17" s="49"/>
      <c r="ED17" s="56"/>
      <c r="EE17" s="42"/>
      <c r="EF17" s="49"/>
      <c r="EG17" s="49"/>
      <c r="EH17" s="49"/>
      <c r="EI17" s="49"/>
      <c r="EJ17" s="49"/>
      <c r="EK17" s="49"/>
      <c r="EL17" s="49"/>
      <c r="EM17" s="58"/>
      <c r="EN17" s="39"/>
      <c r="EO17" s="40">
        <f t="shared" si="4"/>
        <v>46065</v>
      </c>
      <c r="EP17" s="40">
        <v>45978</v>
      </c>
      <c r="EQ17" s="40">
        <v>46064</v>
      </c>
      <c r="ER17" s="40" t="s">
        <v>70</v>
      </c>
      <c r="ES17" s="40">
        <v>45930</v>
      </c>
      <c r="ET17" s="40">
        <v>46055</v>
      </c>
      <c r="EU17" s="40" t="s">
        <v>71</v>
      </c>
      <c r="EV17" s="40">
        <v>45992</v>
      </c>
      <c r="EW17" s="40">
        <v>46029</v>
      </c>
      <c r="EX17" s="40" t="s">
        <v>71</v>
      </c>
      <c r="EY17" s="40">
        <v>45688</v>
      </c>
      <c r="EZ17" s="40">
        <v>46055</v>
      </c>
      <c r="FA17" s="40">
        <v>46038</v>
      </c>
      <c r="FB17" s="40">
        <v>46055</v>
      </c>
      <c r="FC17" s="40">
        <v>46055</v>
      </c>
      <c r="FD17" s="40">
        <v>46055</v>
      </c>
      <c r="FE17" s="40">
        <v>46037</v>
      </c>
      <c r="FF17" s="40">
        <v>46048</v>
      </c>
      <c r="FG17" s="40">
        <v>46041</v>
      </c>
      <c r="FH17" s="40">
        <v>46044</v>
      </c>
      <c r="FI17" s="40">
        <v>46044</v>
      </c>
      <c r="FJ17" s="40">
        <v>46047</v>
      </c>
      <c r="FK17" s="40">
        <v>46047</v>
      </c>
      <c r="FL17" s="40">
        <v>46056</v>
      </c>
      <c r="FM17" s="40">
        <v>46056</v>
      </c>
      <c r="FN17" s="40">
        <v>46056</v>
      </c>
      <c r="FO17" s="40"/>
      <c r="FP17" s="40"/>
      <c r="FQ17" s="40">
        <v>46023</v>
      </c>
      <c r="FR17" s="40">
        <v>46048</v>
      </c>
      <c r="FS17" s="40"/>
      <c r="FT17" s="40">
        <v>46022</v>
      </c>
      <c r="FU17" s="40">
        <v>46056</v>
      </c>
      <c r="FV17" s="40"/>
      <c r="FW17" s="40"/>
      <c r="FX17" s="40"/>
      <c r="FY17" s="40">
        <v>46054</v>
      </c>
      <c r="FZ17" s="40">
        <v>46054</v>
      </c>
      <c r="GA17" s="40"/>
      <c r="GB17" s="40"/>
      <c r="GC17" s="40"/>
      <c r="GD17" s="40"/>
    </row>
    <row r="18" spans="2:186" x14ac:dyDescent="0.35">
      <c r="B18" s="41">
        <f t="shared" si="3"/>
        <v>46066</v>
      </c>
      <c r="C18" s="42">
        <v>1864579</v>
      </c>
      <c r="D18" s="49">
        <v>4.7767991702148311</v>
      </c>
      <c r="E18" s="49">
        <v>0.24137178419364369</v>
      </c>
      <c r="F18" s="49">
        <v>1.9003048409319205</v>
      </c>
      <c r="G18" s="49">
        <v>51.796951590680784</v>
      </c>
      <c r="H18" s="49">
        <v>2.2178661134765547</v>
      </c>
      <c r="I18" s="49">
        <v>2.1477136930105938</v>
      </c>
      <c r="J18" s="49">
        <f t="shared" si="0"/>
        <v>6.5834459199637028</v>
      </c>
      <c r="K18" s="42">
        <v>2577692</v>
      </c>
      <c r="L18" s="25">
        <v>4.8499999999999996</v>
      </c>
      <c r="M18" s="25">
        <v>0.26388943588452368</v>
      </c>
      <c r="N18" s="25">
        <v>1.8914252357260863</v>
      </c>
      <c r="O18" s="25">
        <v>51.89898436964922</v>
      </c>
      <c r="P18" s="25">
        <v>2.2000000000000002</v>
      </c>
      <c r="Q18" s="25">
        <v>2.1</v>
      </c>
      <c r="R18" s="25">
        <f t="shared" si="1"/>
        <v>6.5</v>
      </c>
      <c r="S18" s="26">
        <v>2573906</v>
      </c>
      <c r="T18" s="25">
        <v>5.22</v>
      </c>
      <c r="U18" s="25">
        <v>0.3</v>
      </c>
      <c r="V18" s="25">
        <v>1.9</v>
      </c>
      <c r="W18" s="27">
        <v>51.98</v>
      </c>
      <c r="X18" s="25">
        <v>2.15</v>
      </c>
      <c r="Y18" s="25">
        <v>2.0499999999999998</v>
      </c>
      <c r="Z18" s="25">
        <f t="shared" si="2"/>
        <v>6.35</v>
      </c>
      <c r="AA18" s="42">
        <v>250276</v>
      </c>
      <c r="AB18" s="49">
        <v>86.25</v>
      </c>
      <c r="AC18" s="25">
        <v>0.32</v>
      </c>
      <c r="AD18" s="42">
        <v>529521</v>
      </c>
      <c r="AE18" s="48">
        <v>6.8000000000000005E-2</v>
      </c>
      <c r="AF18" s="49">
        <v>0.04</v>
      </c>
      <c r="AG18" s="50">
        <v>2</v>
      </c>
      <c r="AH18" s="51">
        <v>20</v>
      </c>
      <c r="AI18" s="49">
        <v>36.6</v>
      </c>
      <c r="AJ18" s="49"/>
      <c r="AK18" s="49">
        <v>50.2</v>
      </c>
      <c r="AL18" s="42">
        <v>44014</v>
      </c>
      <c r="AM18" s="48">
        <v>5.7000000000000002E-2</v>
      </c>
      <c r="AN18" s="49">
        <v>3.5999999999999997E-2</v>
      </c>
      <c r="AO18" s="50">
        <v>1.92</v>
      </c>
      <c r="AP18" s="51">
        <v>19</v>
      </c>
      <c r="AQ18" s="49">
        <v>35.204000000000008</v>
      </c>
      <c r="AR18" s="49"/>
      <c r="AS18" s="49">
        <v>50</v>
      </c>
      <c r="AT18" s="42">
        <v>536860</v>
      </c>
      <c r="AU18" s="48">
        <v>7.5999999999999998E-2</v>
      </c>
      <c r="AV18" s="49">
        <v>0.06</v>
      </c>
      <c r="AW18" s="50">
        <v>2.1</v>
      </c>
      <c r="AX18" s="51">
        <v>21</v>
      </c>
      <c r="AY18" s="49">
        <v>56.01</v>
      </c>
      <c r="AZ18" s="49"/>
      <c r="BA18" s="50">
        <v>10</v>
      </c>
      <c r="BB18" s="42">
        <v>509180</v>
      </c>
      <c r="BC18" s="48">
        <v>6.3E-2</v>
      </c>
      <c r="BD18" s="49">
        <v>0.05</v>
      </c>
      <c r="BE18" s="49">
        <v>2.1</v>
      </c>
      <c r="BF18" s="49">
        <v>21</v>
      </c>
      <c r="BG18" s="49">
        <v>57.65</v>
      </c>
      <c r="BH18" s="49"/>
      <c r="BI18" s="49">
        <v>9</v>
      </c>
      <c r="BJ18" s="24">
        <v>508583</v>
      </c>
      <c r="BK18" s="48">
        <v>5.5E-2</v>
      </c>
      <c r="BL18" s="49">
        <v>0.06</v>
      </c>
      <c r="BM18" s="49">
        <v>2.1</v>
      </c>
      <c r="BN18" s="49">
        <v>21</v>
      </c>
      <c r="BO18" s="49">
        <v>56.55</v>
      </c>
      <c r="BP18" s="49"/>
      <c r="BQ18" s="49">
        <v>9.8000000000000007</v>
      </c>
      <c r="BR18" s="42">
        <v>510730</v>
      </c>
      <c r="BS18" s="48">
        <v>5.8000000000000003E-2</v>
      </c>
      <c r="BT18" s="49">
        <v>0.06</v>
      </c>
      <c r="BU18" s="49">
        <v>2.2000000000000002</v>
      </c>
      <c r="BV18" s="49">
        <v>22</v>
      </c>
      <c r="BW18" s="49">
        <v>56.8</v>
      </c>
      <c r="BX18" s="49"/>
      <c r="BY18" s="49">
        <v>9.4</v>
      </c>
      <c r="BZ18" s="42">
        <v>26023</v>
      </c>
      <c r="CA18" s="48">
        <v>5.6000000000000001E-2</v>
      </c>
      <c r="CB18" s="49">
        <v>0.06</v>
      </c>
      <c r="CC18" s="49">
        <v>2.2999999999999998</v>
      </c>
      <c r="CD18" s="49">
        <v>23</v>
      </c>
      <c r="CE18" s="49">
        <v>57.5</v>
      </c>
      <c r="CF18" s="49"/>
      <c r="CG18" s="49">
        <v>8.1999999999999993</v>
      </c>
      <c r="CH18" s="42"/>
      <c r="CI18" s="49"/>
      <c r="CJ18" s="49"/>
      <c r="CK18" s="49"/>
      <c r="CL18" s="49"/>
      <c r="CM18" s="49"/>
      <c r="CN18" s="49"/>
      <c r="CO18" s="49"/>
      <c r="CP18" s="42">
        <v>616666</v>
      </c>
      <c r="CQ18" s="48">
        <v>5.8999999999999997E-2</v>
      </c>
      <c r="CR18" s="49">
        <v>0.05</v>
      </c>
      <c r="CS18" s="50">
        <v>2.2000000000000002</v>
      </c>
      <c r="CT18" s="51">
        <v>22</v>
      </c>
      <c r="CU18" s="49">
        <v>51.91</v>
      </c>
      <c r="CV18" s="49">
        <v>0.3</v>
      </c>
      <c r="CW18" s="42">
        <v>505004</v>
      </c>
      <c r="CX18" s="33">
        <v>5.0999999999999997E-2</v>
      </c>
      <c r="CY18" s="25">
        <v>0.05</v>
      </c>
      <c r="CZ18" s="34">
        <v>2.2000000000000002</v>
      </c>
      <c r="DA18" s="35">
        <v>22</v>
      </c>
      <c r="DB18" s="25">
        <v>51.85</v>
      </c>
      <c r="DC18" s="25">
        <v>0.3</v>
      </c>
      <c r="DD18" s="42"/>
      <c r="DE18" s="49"/>
      <c r="DF18" s="49"/>
      <c r="DG18" s="49"/>
      <c r="DH18" s="49"/>
      <c r="DI18" s="49"/>
      <c r="DJ18" s="49"/>
      <c r="DK18" s="49"/>
      <c r="DL18" s="56"/>
      <c r="DM18" s="42">
        <v>32951</v>
      </c>
      <c r="DN18" s="33">
        <v>5.8999999999999997E-2</v>
      </c>
      <c r="DO18" s="25">
        <v>0.05</v>
      </c>
      <c r="DP18" s="25">
        <v>2.2999999999999998</v>
      </c>
      <c r="DQ18" s="25">
        <v>23</v>
      </c>
      <c r="DR18" s="25">
        <v>58.9</v>
      </c>
      <c r="DS18" s="25"/>
      <c r="DT18" s="25">
        <v>7.6</v>
      </c>
      <c r="DU18" s="57"/>
      <c r="DV18" s="49"/>
      <c r="DW18" s="49"/>
      <c r="DX18" s="49"/>
      <c r="DY18" s="49"/>
      <c r="DZ18" s="49"/>
      <c r="EA18" s="49"/>
      <c r="EB18" s="49"/>
      <c r="EC18" s="49"/>
      <c r="ED18" s="56"/>
      <c r="EE18" s="42"/>
      <c r="EF18" s="49"/>
      <c r="EG18" s="49"/>
      <c r="EH18" s="49"/>
      <c r="EI18" s="49"/>
      <c r="EJ18" s="49"/>
      <c r="EK18" s="49"/>
      <c r="EL18" s="49"/>
      <c r="EM18" s="58"/>
      <c r="EN18" s="39"/>
      <c r="EO18" s="40">
        <f t="shared" si="4"/>
        <v>46066</v>
      </c>
      <c r="EP18" s="40">
        <v>45978</v>
      </c>
      <c r="EQ18" s="40">
        <v>46065</v>
      </c>
      <c r="ER18" s="40" t="s">
        <v>70</v>
      </c>
      <c r="ES18" s="40">
        <v>45930</v>
      </c>
      <c r="ET18" s="40">
        <v>46055</v>
      </c>
      <c r="EU18" s="40" t="s">
        <v>71</v>
      </c>
      <c r="EV18" s="40">
        <v>45992</v>
      </c>
      <c r="EW18" s="40">
        <v>46029</v>
      </c>
      <c r="EX18" s="40" t="s">
        <v>71</v>
      </c>
      <c r="EY18" s="40">
        <v>45688</v>
      </c>
      <c r="EZ18" s="40">
        <v>46055</v>
      </c>
      <c r="FA18" s="40">
        <v>46038</v>
      </c>
      <c r="FB18" s="40">
        <v>46055</v>
      </c>
      <c r="FC18" s="40">
        <v>46055</v>
      </c>
      <c r="FD18" s="40">
        <v>46055</v>
      </c>
      <c r="FE18" s="40">
        <v>46037</v>
      </c>
      <c r="FF18" s="40">
        <v>46048</v>
      </c>
      <c r="FG18" s="40">
        <v>46041</v>
      </c>
      <c r="FH18" s="40">
        <v>46044</v>
      </c>
      <c r="FI18" s="40">
        <v>46044</v>
      </c>
      <c r="FJ18" s="40">
        <v>46047</v>
      </c>
      <c r="FK18" s="40">
        <v>46047</v>
      </c>
      <c r="FL18" s="40">
        <v>46056</v>
      </c>
      <c r="FM18" s="40">
        <v>46056</v>
      </c>
      <c r="FN18" s="40">
        <v>46056</v>
      </c>
      <c r="FO18" s="40"/>
      <c r="FP18" s="40"/>
      <c r="FQ18" s="40">
        <v>46023</v>
      </c>
      <c r="FR18" s="40">
        <v>46048</v>
      </c>
      <c r="FS18" s="40"/>
      <c r="FT18" s="40">
        <v>46022</v>
      </c>
      <c r="FU18" s="40">
        <v>46056</v>
      </c>
      <c r="FV18" s="40"/>
      <c r="FW18" s="40"/>
      <c r="FX18" s="40"/>
      <c r="FY18" s="40">
        <v>46054</v>
      </c>
      <c r="FZ18" s="40">
        <v>46054</v>
      </c>
      <c r="GA18" s="40"/>
      <c r="GB18" s="40"/>
      <c r="GC18" s="40"/>
      <c r="GD18" s="40"/>
    </row>
    <row r="19" spans="2:186" x14ac:dyDescent="0.35">
      <c r="B19" s="41">
        <f t="shared" si="3"/>
        <v>46067</v>
      </c>
      <c r="C19" s="42">
        <v>1965159</v>
      </c>
      <c r="D19" s="49">
        <v>4.7625968280429216</v>
      </c>
      <c r="E19" s="49">
        <v>0.24634371061069354</v>
      </c>
      <c r="F19" s="49">
        <v>1.9024936404636976</v>
      </c>
      <c r="G19" s="49">
        <v>51.791264828952762</v>
      </c>
      <c r="H19" s="49">
        <v>2.2084738079717727</v>
      </c>
      <c r="I19" s="49">
        <v>2.1384001243665272</v>
      </c>
      <c r="J19" s="49">
        <f t="shared" si="0"/>
        <v>6.5553477403100722</v>
      </c>
      <c r="K19" s="42">
        <v>2577692</v>
      </c>
      <c r="L19" s="25">
        <v>4.87</v>
      </c>
      <c r="M19" s="25">
        <v>0.26388943588452368</v>
      </c>
      <c r="N19" s="25">
        <v>1.8914252357260863</v>
      </c>
      <c r="O19" s="25">
        <v>51.89898436964922</v>
      </c>
      <c r="P19" s="25">
        <v>2.2000000000000002</v>
      </c>
      <c r="Q19" s="25">
        <v>2.1</v>
      </c>
      <c r="R19" s="25">
        <f t="shared" si="1"/>
        <v>6.5</v>
      </c>
      <c r="S19" s="26">
        <v>2573906</v>
      </c>
      <c r="T19" s="25">
        <v>5.25</v>
      </c>
      <c r="U19" s="25">
        <v>0.3</v>
      </c>
      <c r="V19" s="25">
        <v>1.9</v>
      </c>
      <c r="W19" s="27">
        <v>51.98</v>
      </c>
      <c r="X19" s="25">
        <v>2.15</v>
      </c>
      <c r="Y19" s="25">
        <v>2.0499999999999998</v>
      </c>
      <c r="Z19" s="25">
        <f t="shared" si="2"/>
        <v>6.35</v>
      </c>
      <c r="AA19" s="42">
        <v>250276</v>
      </c>
      <c r="AB19" s="49">
        <v>86.25</v>
      </c>
      <c r="AC19" s="25">
        <v>0.32</v>
      </c>
      <c r="AD19" s="42">
        <v>529521</v>
      </c>
      <c r="AE19" s="48">
        <v>6.8000000000000005E-2</v>
      </c>
      <c r="AF19" s="49">
        <v>0.05</v>
      </c>
      <c r="AG19" s="50">
        <v>2</v>
      </c>
      <c r="AH19" s="51">
        <v>20</v>
      </c>
      <c r="AI19" s="49">
        <v>36.6</v>
      </c>
      <c r="AJ19" s="49"/>
      <c r="AK19" s="49">
        <v>50.2</v>
      </c>
      <c r="AL19" s="42">
        <v>44014</v>
      </c>
      <c r="AM19" s="48">
        <v>5.7000000000000002E-2</v>
      </c>
      <c r="AN19" s="49">
        <v>0.04</v>
      </c>
      <c r="AO19" s="50">
        <v>1.92</v>
      </c>
      <c r="AP19" s="51">
        <v>19</v>
      </c>
      <c r="AQ19" s="49">
        <v>35.204000000000008</v>
      </c>
      <c r="AR19" s="49"/>
      <c r="AS19" s="49">
        <v>50</v>
      </c>
      <c r="AT19" s="42">
        <v>536860</v>
      </c>
      <c r="AU19" s="48">
        <v>7.5999999999999998E-2</v>
      </c>
      <c r="AV19" s="49">
        <v>0.06</v>
      </c>
      <c r="AW19" s="50">
        <v>2.1</v>
      </c>
      <c r="AX19" s="51">
        <v>21</v>
      </c>
      <c r="AY19" s="49">
        <v>56.01</v>
      </c>
      <c r="AZ19" s="49"/>
      <c r="BA19" s="50">
        <v>10</v>
      </c>
      <c r="BB19" s="42">
        <v>481870</v>
      </c>
      <c r="BC19" s="48">
        <v>6.3E-2</v>
      </c>
      <c r="BD19" s="49">
        <v>0.05</v>
      </c>
      <c r="BE19" s="49">
        <v>2.1</v>
      </c>
      <c r="BF19" s="49">
        <v>21</v>
      </c>
      <c r="BG19" s="49">
        <v>57.65</v>
      </c>
      <c r="BH19" s="49"/>
      <c r="BI19" s="49">
        <v>9</v>
      </c>
      <c r="BJ19" s="24">
        <v>508583</v>
      </c>
      <c r="BK19" s="48">
        <v>5.8000000000000003E-2</v>
      </c>
      <c r="BL19" s="49">
        <v>0.06</v>
      </c>
      <c r="BM19" s="49">
        <v>2.1</v>
      </c>
      <c r="BN19" s="49">
        <v>21</v>
      </c>
      <c r="BO19" s="49">
        <v>56.55</v>
      </c>
      <c r="BP19" s="49"/>
      <c r="BQ19" s="49">
        <v>9.8000000000000007</v>
      </c>
      <c r="BR19" s="42">
        <v>510730</v>
      </c>
      <c r="BS19" s="48">
        <v>5.8999999999999997E-2</v>
      </c>
      <c r="BT19" s="49">
        <v>0.06</v>
      </c>
      <c r="BU19" s="49">
        <v>2.2000000000000002</v>
      </c>
      <c r="BV19" s="49">
        <v>22</v>
      </c>
      <c r="BW19" s="49">
        <v>56.8</v>
      </c>
      <c r="BX19" s="49"/>
      <c r="BY19" s="49">
        <v>9.4</v>
      </c>
      <c r="BZ19" s="42">
        <v>26023</v>
      </c>
      <c r="CA19" s="48">
        <v>5.8000000000000003E-2</v>
      </c>
      <c r="CB19" s="49">
        <v>0.06</v>
      </c>
      <c r="CC19" s="49">
        <v>2.2999999999999998</v>
      </c>
      <c r="CD19" s="49">
        <v>23</v>
      </c>
      <c r="CE19" s="49">
        <v>57.5</v>
      </c>
      <c r="CF19" s="49"/>
      <c r="CG19" s="49">
        <v>8.1999999999999993</v>
      </c>
      <c r="CH19" s="42"/>
      <c r="CI19" s="49"/>
      <c r="CJ19" s="49"/>
      <c r="CK19" s="49"/>
      <c r="CL19" s="49"/>
      <c r="CM19" s="49"/>
      <c r="CN19" s="49"/>
      <c r="CO19" s="49"/>
      <c r="CP19" s="42">
        <v>616666</v>
      </c>
      <c r="CQ19" s="48">
        <v>5.8999999999999997E-2</v>
      </c>
      <c r="CR19" s="49">
        <v>0.05</v>
      </c>
      <c r="CS19" s="50">
        <v>2.2000000000000002</v>
      </c>
      <c r="CT19" s="51">
        <v>22</v>
      </c>
      <c r="CU19" s="49">
        <v>51.95</v>
      </c>
      <c r="CV19" s="49">
        <v>0.3</v>
      </c>
      <c r="CW19" s="42">
        <v>505004</v>
      </c>
      <c r="CX19" s="33">
        <v>5.1999999999999998E-2</v>
      </c>
      <c r="CY19" s="25">
        <v>0.05</v>
      </c>
      <c r="CZ19" s="34">
        <v>2.2000000000000002</v>
      </c>
      <c r="DA19" s="35">
        <v>22</v>
      </c>
      <c r="DB19" s="25">
        <v>51.85</v>
      </c>
      <c r="DC19" s="25">
        <v>0.3</v>
      </c>
      <c r="DD19" s="42"/>
      <c r="DE19" s="49"/>
      <c r="DF19" s="49"/>
      <c r="DG19" s="49"/>
      <c r="DH19" s="49"/>
      <c r="DI19" s="49"/>
      <c r="DJ19" s="49"/>
      <c r="DK19" s="49"/>
      <c r="DL19" s="56"/>
      <c r="DM19" s="42">
        <v>32951</v>
      </c>
      <c r="DN19" s="33">
        <v>5.8999999999999997E-2</v>
      </c>
      <c r="DO19" s="25">
        <v>0.05</v>
      </c>
      <c r="DP19" s="25">
        <v>2.2999999999999998</v>
      </c>
      <c r="DQ19" s="25">
        <v>23</v>
      </c>
      <c r="DR19" s="25">
        <v>58.9</v>
      </c>
      <c r="DS19" s="25"/>
      <c r="DT19" s="25">
        <v>7.6</v>
      </c>
      <c r="DU19" s="57"/>
      <c r="DV19" s="49"/>
      <c r="DW19" s="49"/>
      <c r="DX19" s="49"/>
      <c r="DY19" s="49"/>
      <c r="DZ19" s="49"/>
      <c r="EA19" s="49"/>
      <c r="EB19" s="49"/>
      <c r="EC19" s="49"/>
      <c r="ED19" s="56"/>
      <c r="EE19" s="42"/>
      <c r="EF19" s="49"/>
      <c r="EG19" s="49"/>
      <c r="EH19" s="49"/>
      <c r="EI19" s="49"/>
      <c r="EJ19" s="49"/>
      <c r="EK19" s="49"/>
      <c r="EL19" s="49"/>
      <c r="EM19" s="58"/>
      <c r="EN19" s="39"/>
      <c r="EO19" s="40">
        <f t="shared" si="4"/>
        <v>46067</v>
      </c>
      <c r="EP19" s="40">
        <v>45978</v>
      </c>
      <c r="EQ19" s="40">
        <v>46066</v>
      </c>
      <c r="ER19" s="40" t="s">
        <v>70</v>
      </c>
      <c r="ES19" s="40">
        <v>45930</v>
      </c>
      <c r="ET19" s="40">
        <v>46055</v>
      </c>
      <c r="EU19" s="40" t="s">
        <v>71</v>
      </c>
      <c r="EV19" s="40">
        <v>45992</v>
      </c>
      <c r="EW19" s="40">
        <v>46029</v>
      </c>
      <c r="EX19" s="40" t="s">
        <v>71</v>
      </c>
      <c r="EY19" s="40">
        <v>45688</v>
      </c>
      <c r="EZ19" s="40">
        <v>46055</v>
      </c>
      <c r="FA19" s="40">
        <v>46038</v>
      </c>
      <c r="FB19" s="40">
        <v>46055</v>
      </c>
      <c r="FC19" s="40">
        <v>46055</v>
      </c>
      <c r="FD19" s="40">
        <v>46055</v>
      </c>
      <c r="FE19" s="40">
        <v>46037</v>
      </c>
      <c r="FF19" s="40">
        <v>46048</v>
      </c>
      <c r="FG19" s="40">
        <v>46041</v>
      </c>
      <c r="FH19" s="40">
        <v>46044</v>
      </c>
      <c r="FI19" s="40">
        <v>46044</v>
      </c>
      <c r="FJ19" s="40">
        <v>46047</v>
      </c>
      <c r="FK19" s="40">
        <v>46047</v>
      </c>
      <c r="FL19" s="40">
        <v>46056</v>
      </c>
      <c r="FM19" s="40">
        <v>46056</v>
      </c>
      <c r="FN19" s="40">
        <v>46056</v>
      </c>
      <c r="FO19" s="40"/>
      <c r="FP19" s="40"/>
      <c r="FQ19" s="40">
        <v>46023</v>
      </c>
      <c r="FR19" s="40">
        <v>46048</v>
      </c>
      <c r="FS19" s="40"/>
      <c r="FT19" s="40">
        <v>46022</v>
      </c>
      <c r="FU19" s="40">
        <v>46056</v>
      </c>
      <c r="FV19" s="40"/>
      <c r="FW19" s="40"/>
      <c r="FX19" s="40"/>
      <c r="FY19" s="40">
        <v>46054</v>
      </c>
      <c r="FZ19" s="40">
        <v>46054</v>
      </c>
      <c r="GA19" s="40"/>
      <c r="GB19" s="40"/>
      <c r="GC19" s="40"/>
      <c r="GD19" s="40"/>
    </row>
    <row r="20" spans="2:186" x14ac:dyDescent="0.35">
      <c r="B20" s="41">
        <f t="shared" si="3"/>
        <v>46068</v>
      </c>
      <c r="C20" s="42">
        <v>2161939</v>
      </c>
      <c r="D20" s="49">
        <v>4.79</v>
      </c>
      <c r="E20" s="49">
        <v>0.25</v>
      </c>
      <c r="F20" s="49">
        <v>1.91</v>
      </c>
      <c r="G20" s="49">
        <v>51.83</v>
      </c>
      <c r="H20" s="49">
        <v>2.25</v>
      </c>
      <c r="I20" s="49">
        <v>2.1</v>
      </c>
      <c r="J20" s="49">
        <f t="shared" si="0"/>
        <v>6.6</v>
      </c>
      <c r="K20" s="42">
        <v>2577692</v>
      </c>
      <c r="L20" s="25">
        <v>4.88</v>
      </c>
      <c r="M20" s="25">
        <v>0.26388943588452368</v>
      </c>
      <c r="N20" s="25">
        <v>1.8914252357260863</v>
      </c>
      <c r="O20" s="25">
        <v>51.89898436964922</v>
      </c>
      <c r="P20" s="25">
        <v>2.21</v>
      </c>
      <c r="Q20" s="25">
        <v>2.1</v>
      </c>
      <c r="R20" s="25">
        <f t="shared" si="1"/>
        <v>6.52</v>
      </c>
      <c r="S20" s="26">
        <v>2573906</v>
      </c>
      <c r="T20" s="25">
        <v>5.25</v>
      </c>
      <c r="U20" s="25">
        <v>0.3</v>
      </c>
      <c r="V20" s="25">
        <v>1.9</v>
      </c>
      <c r="W20" s="27">
        <v>51.98</v>
      </c>
      <c r="X20" s="25">
        <v>2.15</v>
      </c>
      <c r="Y20" s="25">
        <v>2.0499999999999998</v>
      </c>
      <c r="Z20" s="25">
        <f t="shared" si="2"/>
        <v>6.35</v>
      </c>
      <c r="AA20" s="42">
        <v>250276</v>
      </c>
      <c r="AB20" s="49">
        <v>86.25</v>
      </c>
      <c r="AC20" s="25">
        <v>0.32</v>
      </c>
      <c r="AD20" s="42">
        <v>529521</v>
      </c>
      <c r="AE20" s="48">
        <v>7.0000000000000007E-2</v>
      </c>
      <c r="AF20" s="49">
        <v>0.05</v>
      </c>
      <c r="AG20" s="50">
        <v>2.1</v>
      </c>
      <c r="AH20" s="51">
        <v>21</v>
      </c>
      <c r="AI20" s="49">
        <v>36.6</v>
      </c>
      <c r="AJ20" s="49"/>
      <c r="AK20" s="49">
        <v>50.2</v>
      </c>
      <c r="AL20" s="42">
        <v>44014</v>
      </c>
      <c r="AM20" s="48">
        <v>0.06</v>
      </c>
      <c r="AN20" s="49">
        <v>0.04</v>
      </c>
      <c r="AO20" s="50">
        <v>2.1</v>
      </c>
      <c r="AP20" s="51">
        <v>21</v>
      </c>
      <c r="AQ20" s="49">
        <v>35.204000000000008</v>
      </c>
      <c r="AR20" s="49"/>
      <c r="AS20" s="49">
        <v>50</v>
      </c>
      <c r="AT20" s="42">
        <v>536860</v>
      </c>
      <c r="AU20" s="48">
        <v>7.5999999999999998E-2</v>
      </c>
      <c r="AV20" s="49">
        <v>0.06</v>
      </c>
      <c r="AW20" s="50">
        <v>2.1</v>
      </c>
      <c r="AX20" s="51">
        <v>21</v>
      </c>
      <c r="AY20" s="49">
        <v>56.01</v>
      </c>
      <c r="AZ20" s="49"/>
      <c r="BA20" s="50">
        <v>10</v>
      </c>
      <c r="BB20" s="42">
        <v>463280</v>
      </c>
      <c r="BC20" s="48">
        <v>6.3E-2</v>
      </c>
      <c r="BD20" s="49">
        <v>0.05</v>
      </c>
      <c r="BE20" s="49">
        <v>2.1</v>
      </c>
      <c r="BF20" s="49">
        <v>21</v>
      </c>
      <c r="BG20" s="49">
        <v>57.65</v>
      </c>
      <c r="BH20" s="49"/>
      <c r="BI20" s="49">
        <v>9</v>
      </c>
      <c r="BJ20" s="24">
        <v>508583</v>
      </c>
      <c r="BK20" s="48">
        <v>5.8000000000000003E-2</v>
      </c>
      <c r="BL20" s="49">
        <v>0.06</v>
      </c>
      <c r="BM20" s="49">
        <v>2.1</v>
      </c>
      <c r="BN20" s="49">
        <v>21</v>
      </c>
      <c r="BO20" s="49">
        <v>56.55</v>
      </c>
      <c r="BP20" s="49"/>
      <c r="BQ20" s="49">
        <v>9.8000000000000007</v>
      </c>
      <c r="BR20" s="42">
        <v>510730</v>
      </c>
      <c r="BS20" s="48">
        <v>6.2E-2</v>
      </c>
      <c r="BT20" s="49">
        <v>0.06</v>
      </c>
      <c r="BU20" s="49">
        <v>2.2000000000000002</v>
      </c>
      <c r="BV20" s="49">
        <v>22</v>
      </c>
      <c r="BW20" s="49">
        <v>56.8</v>
      </c>
      <c r="BX20" s="49"/>
      <c r="BY20" s="49">
        <v>9.4</v>
      </c>
      <c r="BZ20" s="42">
        <v>26023</v>
      </c>
      <c r="CA20" s="48">
        <v>5.8000000000000003E-2</v>
      </c>
      <c r="CB20" s="49">
        <v>0.06</v>
      </c>
      <c r="CC20" s="49">
        <v>2.2999999999999998</v>
      </c>
      <c r="CD20" s="49">
        <v>23</v>
      </c>
      <c r="CE20" s="49">
        <v>57.5</v>
      </c>
      <c r="CF20" s="49"/>
      <c r="CG20" s="49">
        <v>8.1999999999999993</v>
      </c>
      <c r="CH20" s="42"/>
      <c r="CI20" s="49"/>
      <c r="CJ20" s="49"/>
      <c r="CK20" s="49"/>
      <c r="CL20" s="49"/>
      <c r="CM20" s="49"/>
      <c r="CN20" s="49"/>
      <c r="CO20" s="49"/>
      <c r="CP20" s="42">
        <v>616666</v>
      </c>
      <c r="CQ20" s="48">
        <v>5.8999999999999997E-2</v>
      </c>
      <c r="CR20" s="49">
        <v>0.05</v>
      </c>
      <c r="CS20" s="50">
        <v>2.2000000000000002</v>
      </c>
      <c r="CT20" s="51">
        <v>22</v>
      </c>
      <c r="CU20" s="49">
        <v>51.95</v>
      </c>
      <c r="CV20" s="49">
        <v>0.3</v>
      </c>
      <c r="CW20" s="42">
        <v>505004</v>
      </c>
      <c r="CX20" s="33">
        <v>5.1999999999999998E-2</v>
      </c>
      <c r="CY20" s="25">
        <v>0.05</v>
      </c>
      <c r="CZ20" s="34">
        <v>2.2000000000000002</v>
      </c>
      <c r="DA20" s="35">
        <v>22</v>
      </c>
      <c r="DB20" s="25">
        <v>51.85</v>
      </c>
      <c r="DC20" s="25">
        <v>0.3</v>
      </c>
      <c r="DD20" s="42"/>
      <c r="DE20" s="49"/>
      <c r="DF20" s="49"/>
      <c r="DG20" s="49"/>
      <c r="DH20" s="49"/>
      <c r="DI20" s="49"/>
      <c r="DJ20" s="49"/>
      <c r="DK20" s="49"/>
      <c r="DL20" s="56"/>
      <c r="DM20" s="42">
        <v>32951</v>
      </c>
      <c r="DN20" s="33">
        <v>5.8999999999999997E-2</v>
      </c>
      <c r="DO20" s="25">
        <v>0.05</v>
      </c>
      <c r="DP20" s="25">
        <v>2.2999999999999998</v>
      </c>
      <c r="DQ20" s="25">
        <v>23</v>
      </c>
      <c r="DR20" s="25">
        <v>58.9</v>
      </c>
      <c r="DS20" s="25"/>
      <c r="DT20" s="25">
        <v>7.6</v>
      </c>
      <c r="DU20" s="57"/>
      <c r="DV20" s="49"/>
      <c r="DW20" s="49"/>
      <c r="DX20" s="49"/>
      <c r="DY20" s="49"/>
      <c r="DZ20" s="49"/>
      <c r="EA20" s="49"/>
      <c r="EB20" s="49"/>
      <c r="EC20" s="49"/>
      <c r="ED20" s="56"/>
      <c r="EE20" s="42"/>
      <c r="EF20" s="49"/>
      <c r="EG20" s="49"/>
      <c r="EH20" s="49"/>
      <c r="EI20" s="49"/>
      <c r="EJ20" s="49"/>
      <c r="EK20" s="49"/>
      <c r="EL20" s="49"/>
      <c r="EM20" s="58"/>
      <c r="EN20" s="39"/>
      <c r="EO20" s="40">
        <f t="shared" si="4"/>
        <v>46068</v>
      </c>
      <c r="EP20" s="40">
        <v>45978</v>
      </c>
      <c r="EQ20" s="40">
        <v>46067</v>
      </c>
      <c r="ER20" s="40" t="s">
        <v>70</v>
      </c>
      <c r="ES20" s="40">
        <v>45930</v>
      </c>
      <c r="ET20" s="40">
        <v>46055</v>
      </c>
      <c r="EU20" s="40" t="s">
        <v>71</v>
      </c>
      <c r="EV20" s="40">
        <v>45992</v>
      </c>
      <c r="EW20" s="40">
        <v>46029</v>
      </c>
      <c r="EX20" s="40" t="s">
        <v>71</v>
      </c>
      <c r="EY20" s="40">
        <v>45688</v>
      </c>
      <c r="EZ20" s="40">
        <v>46055</v>
      </c>
      <c r="FA20" s="40">
        <v>46038</v>
      </c>
      <c r="FB20" s="40">
        <v>46055</v>
      </c>
      <c r="FC20" s="40">
        <v>46055</v>
      </c>
      <c r="FD20" s="40">
        <v>46055</v>
      </c>
      <c r="FE20" s="40">
        <v>46037</v>
      </c>
      <c r="FF20" s="40">
        <v>46048</v>
      </c>
      <c r="FG20" s="40">
        <v>46041</v>
      </c>
      <c r="FH20" s="40">
        <v>46044</v>
      </c>
      <c r="FI20" s="40">
        <v>46044</v>
      </c>
      <c r="FJ20" s="40">
        <v>46047</v>
      </c>
      <c r="FK20" s="40">
        <v>46047</v>
      </c>
      <c r="FL20" s="40">
        <v>46056</v>
      </c>
      <c r="FM20" s="40">
        <v>46056</v>
      </c>
      <c r="FN20" s="40">
        <v>46056</v>
      </c>
      <c r="FO20" s="40"/>
      <c r="FP20" s="40"/>
      <c r="FQ20" s="40">
        <v>46023</v>
      </c>
      <c r="FR20" s="40">
        <v>46048</v>
      </c>
      <c r="FS20" s="40"/>
      <c r="FT20" s="40">
        <v>46022</v>
      </c>
      <c r="FU20" s="40">
        <v>46056</v>
      </c>
      <c r="FV20" s="40"/>
      <c r="FW20" s="40"/>
      <c r="FX20" s="40"/>
      <c r="FY20" s="40">
        <v>46054</v>
      </c>
      <c r="FZ20" s="40">
        <v>46054</v>
      </c>
      <c r="GA20" s="40"/>
      <c r="GB20" s="40"/>
      <c r="GC20" s="40"/>
      <c r="GD20" s="40"/>
    </row>
    <row r="21" spans="2:186" x14ac:dyDescent="0.35">
      <c r="B21" s="41">
        <f t="shared" si="3"/>
        <v>46069</v>
      </c>
      <c r="C21" s="42">
        <v>2161939</v>
      </c>
      <c r="D21" s="49">
        <v>4.79</v>
      </c>
      <c r="E21" s="49">
        <v>0.25</v>
      </c>
      <c r="F21" s="49">
        <v>1.91</v>
      </c>
      <c r="G21" s="49">
        <v>51.83</v>
      </c>
      <c r="H21" s="49">
        <v>2.25</v>
      </c>
      <c r="I21" s="49">
        <v>2.1</v>
      </c>
      <c r="J21" s="49">
        <f t="shared" si="0"/>
        <v>6.6</v>
      </c>
      <c r="K21" s="42">
        <v>2577692</v>
      </c>
      <c r="L21" s="25">
        <v>4.88</v>
      </c>
      <c r="M21" s="25">
        <v>0.26388943588452368</v>
      </c>
      <c r="N21" s="25">
        <v>1.8914252357260863</v>
      </c>
      <c r="O21" s="25">
        <v>51.89898436964922</v>
      </c>
      <c r="P21" s="25">
        <v>2.21</v>
      </c>
      <c r="Q21" s="25">
        <v>2.1</v>
      </c>
      <c r="R21" s="25">
        <f t="shared" si="1"/>
        <v>6.52</v>
      </c>
      <c r="S21" s="26">
        <v>2573906</v>
      </c>
      <c r="T21" s="25">
        <v>5.25</v>
      </c>
      <c r="U21" s="25">
        <v>0.3</v>
      </c>
      <c r="V21" s="25">
        <v>1.9</v>
      </c>
      <c r="W21" s="27">
        <v>51.98</v>
      </c>
      <c r="X21" s="25">
        <v>2.15</v>
      </c>
      <c r="Y21" s="25">
        <v>2.0499999999999998</v>
      </c>
      <c r="Z21" s="25">
        <f t="shared" si="2"/>
        <v>6.35</v>
      </c>
      <c r="AA21" s="42">
        <v>250276</v>
      </c>
      <c r="AB21" s="49">
        <v>86.25</v>
      </c>
      <c r="AC21" s="25">
        <v>0.32</v>
      </c>
      <c r="AD21" s="42">
        <v>529521</v>
      </c>
      <c r="AE21" s="48">
        <v>7.0000000000000007E-2</v>
      </c>
      <c r="AF21" s="49">
        <v>0.05</v>
      </c>
      <c r="AG21" s="50">
        <v>2.1</v>
      </c>
      <c r="AH21" s="51">
        <v>21</v>
      </c>
      <c r="AI21" s="49">
        <v>36.6</v>
      </c>
      <c r="AJ21" s="49"/>
      <c r="AK21" s="49">
        <v>50.2</v>
      </c>
      <c r="AL21" s="42">
        <v>44014</v>
      </c>
      <c r="AM21" s="48">
        <v>0.06</v>
      </c>
      <c r="AN21" s="49">
        <v>0.04</v>
      </c>
      <c r="AO21" s="50">
        <v>2.1</v>
      </c>
      <c r="AP21" s="51">
        <v>21</v>
      </c>
      <c r="AQ21" s="49">
        <v>35.204000000000008</v>
      </c>
      <c r="AR21" s="49"/>
      <c r="AS21" s="49">
        <v>50</v>
      </c>
      <c r="AT21" s="42">
        <v>536860</v>
      </c>
      <c r="AU21" s="48">
        <v>7.8E-2</v>
      </c>
      <c r="AV21" s="49">
        <v>7.0000000000000007E-2</v>
      </c>
      <c r="AW21" s="50">
        <v>2.2000000000000002</v>
      </c>
      <c r="AX21" s="51">
        <v>22</v>
      </c>
      <c r="AY21" s="49">
        <v>56.01</v>
      </c>
      <c r="AZ21" s="49"/>
      <c r="BA21" s="50">
        <v>10</v>
      </c>
      <c r="BB21" s="42">
        <v>463280</v>
      </c>
      <c r="BC21" s="48">
        <v>6.4000000000000001E-2</v>
      </c>
      <c r="BD21" s="49">
        <v>0.05</v>
      </c>
      <c r="BE21" s="49">
        <v>2.1</v>
      </c>
      <c r="BF21" s="49">
        <v>21</v>
      </c>
      <c r="BG21" s="49">
        <v>57.65</v>
      </c>
      <c r="BH21" s="49"/>
      <c r="BI21" s="49">
        <v>9</v>
      </c>
      <c r="BJ21" s="24">
        <v>508583</v>
      </c>
      <c r="BK21" s="48">
        <v>5.8000000000000003E-2</v>
      </c>
      <c r="BL21" s="49">
        <v>0.06</v>
      </c>
      <c r="BM21" s="49">
        <v>2.1</v>
      </c>
      <c r="BN21" s="49">
        <v>21</v>
      </c>
      <c r="BO21" s="49">
        <v>56.55</v>
      </c>
      <c r="BP21" s="49"/>
      <c r="BQ21" s="49">
        <v>9.8000000000000007</v>
      </c>
      <c r="BR21" s="42">
        <v>510730</v>
      </c>
      <c r="BS21" s="48">
        <v>6.4000000000000001E-2</v>
      </c>
      <c r="BT21" s="49">
        <v>0.06</v>
      </c>
      <c r="BU21" s="49">
        <v>2.2000000000000002</v>
      </c>
      <c r="BV21" s="49">
        <v>22</v>
      </c>
      <c r="BW21" s="49">
        <v>56.8</v>
      </c>
      <c r="BX21" s="49"/>
      <c r="BY21" s="49">
        <v>9.4</v>
      </c>
      <c r="BZ21" s="42">
        <v>26023</v>
      </c>
      <c r="CA21" s="48">
        <v>5.8000000000000003E-2</v>
      </c>
      <c r="CB21" s="49">
        <v>0.06</v>
      </c>
      <c r="CC21" s="49">
        <v>2.2999999999999998</v>
      </c>
      <c r="CD21" s="49">
        <v>23</v>
      </c>
      <c r="CE21" s="49">
        <v>57.5</v>
      </c>
      <c r="CF21" s="49"/>
      <c r="CG21" s="49">
        <v>8.1999999999999993</v>
      </c>
      <c r="CH21" s="42"/>
      <c r="CI21" s="49"/>
      <c r="CJ21" s="49"/>
      <c r="CK21" s="49"/>
      <c r="CL21" s="49"/>
      <c r="CM21" s="49"/>
      <c r="CN21" s="49"/>
      <c r="CO21" s="49"/>
      <c r="CP21" s="42">
        <v>616666</v>
      </c>
      <c r="CQ21" s="48">
        <v>0.06</v>
      </c>
      <c r="CR21" s="49">
        <v>0.05</v>
      </c>
      <c r="CS21" s="50">
        <v>2.2000000000000002</v>
      </c>
      <c r="CT21" s="51">
        <v>22</v>
      </c>
      <c r="CU21" s="49">
        <v>51.95</v>
      </c>
      <c r="CV21" s="49">
        <v>0.3</v>
      </c>
      <c r="CW21" s="42">
        <v>505004</v>
      </c>
      <c r="CX21" s="33">
        <v>5.1999999999999998E-2</v>
      </c>
      <c r="CY21" s="25">
        <v>0.05</v>
      </c>
      <c r="CZ21" s="34">
        <v>2.2000000000000002</v>
      </c>
      <c r="DA21" s="35">
        <v>22</v>
      </c>
      <c r="DB21" s="25">
        <v>51.85</v>
      </c>
      <c r="DC21" s="25">
        <v>0.3</v>
      </c>
      <c r="DD21" s="42"/>
      <c r="DE21" s="49"/>
      <c r="DF21" s="49"/>
      <c r="DG21" s="49"/>
      <c r="DH21" s="49"/>
      <c r="DI21" s="49"/>
      <c r="DJ21" s="49"/>
      <c r="DK21" s="49"/>
      <c r="DL21" s="56"/>
      <c r="DM21" s="42">
        <v>32951</v>
      </c>
      <c r="DN21" s="33">
        <v>5.8999999999999997E-2</v>
      </c>
      <c r="DO21" s="25">
        <v>0.05</v>
      </c>
      <c r="DP21" s="25">
        <v>2.2999999999999998</v>
      </c>
      <c r="DQ21" s="25">
        <v>23</v>
      </c>
      <c r="DR21" s="25">
        <v>58.9</v>
      </c>
      <c r="DS21" s="25"/>
      <c r="DT21" s="25">
        <v>7.6</v>
      </c>
      <c r="DU21" s="57"/>
      <c r="DV21" s="49"/>
      <c r="DW21" s="49"/>
      <c r="DX21" s="49"/>
      <c r="DY21" s="49"/>
      <c r="DZ21" s="49"/>
      <c r="EA21" s="49"/>
      <c r="EB21" s="49"/>
      <c r="EC21" s="49"/>
      <c r="ED21" s="56"/>
      <c r="EE21" s="42"/>
      <c r="EF21" s="49"/>
      <c r="EG21" s="49"/>
      <c r="EH21" s="49"/>
      <c r="EI21" s="49"/>
      <c r="EJ21" s="49"/>
      <c r="EK21" s="49"/>
      <c r="EL21" s="49"/>
      <c r="EM21" s="58"/>
      <c r="EN21" s="39"/>
      <c r="EO21" s="40">
        <f t="shared" si="4"/>
        <v>46069</v>
      </c>
      <c r="EP21" s="40">
        <v>45978</v>
      </c>
      <c r="EQ21" s="40">
        <v>46067</v>
      </c>
      <c r="ER21" s="40" t="s">
        <v>70</v>
      </c>
      <c r="ES21" s="40">
        <v>45930</v>
      </c>
      <c r="ET21" s="40">
        <v>46055</v>
      </c>
      <c r="EU21" s="40" t="s">
        <v>71</v>
      </c>
      <c r="EV21" s="40">
        <v>45992</v>
      </c>
      <c r="EW21" s="40">
        <v>46029</v>
      </c>
      <c r="EX21" s="40" t="s">
        <v>71</v>
      </c>
      <c r="EY21" s="40">
        <v>45688</v>
      </c>
      <c r="EZ21" s="40">
        <v>46055</v>
      </c>
      <c r="FA21" s="40">
        <v>46038</v>
      </c>
      <c r="FB21" s="40">
        <v>46055</v>
      </c>
      <c r="FC21" s="40">
        <v>46055</v>
      </c>
      <c r="FD21" s="40">
        <v>46055</v>
      </c>
      <c r="FE21" s="40">
        <v>46037</v>
      </c>
      <c r="FF21" s="40">
        <v>46048</v>
      </c>
      <c r="FG21" s="40">
        <v>46041</v>
      </c>
      <c r="FH21" s="40">
        <v>46044</v>
      </c>
      <c r="FI21" s="40">
        <v>46044</v>
      </c>
      <c r="FJ21" s="40">
        <v>46047</v>
      </c>
      <c r="FK21" s="40">
        <v>46047</v>
      </c>
      <c r="FL21" s="40">
        <v>46056</v>
      </c>
      <c r="FM21" s="40">
        <v>46056</v>
      </c>
      <c r="FN21" s="40">
        <v>46056</v>
      </c>
      <c r="FO21" s="40"/>
      <c r="FP21" s="40"/>
      <c r="FQ21" s="40">
        <v>46023</v>
      </c>
      <c r="FR21" s="40">
        <v>46048</v>
      </c>
      <c r="FS21" s="40"/>
      <c r="FT21" s="40">
        <v>46022</v>
      </c>
      <c r="FU21" s="40">
        <v>46056</v>
      </c>
      <c r="FV21" s="40"/>
      <c r="FW21" s="40"/>
      <c r="FX21" s="40"/>
      <c r="FY21" s="40">
        <v>46054</v>
      </c>
      <c r="FZ21" s="40">
        <v>46054</v>
      </c>
      <c r="GA21" s="40"/>
      <c r="GB21" s="40"/>
      <c r="GC21" s="40"/>
      <c r="GD21" s="40"/>
    </row>
    <row r="22" spans="2:186" x14ac:dyDescent="0.35">
      <c r="B22" s="41">
        <f t="shared" si="3"/>
        <v>46070</v>
      </c>
      <c r="C22" s="42">
        <v>2219339</v>
      </c>
      <c r="D22" s="49">
        <v>4.6900000000000004</v>
      </c>
      <c r="E22" s="49">
        <v>0.24</v>
      </c>
      <c r="F22" s="49">
        <v>1.9</v>
      </c>
      <c r="G22" s="49">
        <v>51.8</v>
      </c>
      <c r="H22" s="49">
        <v>2.2000000000000002</v>
      </c>
      <c r="I22" s="49">
        <v>2.04</v>
      </c>
      <c r="J22" s="49">
        <f t="shared" si="0"/>
        <v>6.44</v>
      </c>
      <c r="K22" s="42">
        <v>2577692</v>
      </c>
      <c r="L22" s="25">
        <v>4.9000000000000004</v>
      </c>
      <c r="M22" s="25">
        <v>0.27</v>
      </c>
      <c r="N22" s="25">
        <v>1.85</v>
      </c>
      <c r="O22" s="25">
        <v>51.89898436964922</v>
      </c>
      <c r="P22" s="25">
        <v>2.25</v>
      </c>
      <c r="Q22" s="25">
        <v>2.13</v>
      </c>
      <c r="R22" s="25">
        <f t="shared" si="1"/>
        <v>6.63</v>
      </c>
      <c r="S22" s="26">
        <v>2573906</v>
      </c>
      <c r="T22" s="25">
        <v>5.28</v>
      </c>
      <c r="U22" s="25">
        <v>0.3</v>
      </c>
      <c r="V22" s="25">
        <v>1.88</v>
      </c>
      <c r="W22" s="27">
        <v>51.98</v>
      </c>
      <c r="X22" s="25">
        <v>2.15</v>
      </c>
      <c r="Y22" s="25">
        <v>2.0499999999999998</v>
      </c>
      <c r="Z22" s="25">
        <f t="shared" si="2"/>
        <v>6.35</v>
      </c>
      <c r="AA22" s="42">
        <v>250276</v>
      </c>
      <c r="AB22" s="49">
        <v>86.25</v>
      </c>
      <c r="AC22" s="25">
        <v>0.32</v>
      </c>
      <c r="AD22" s="42">
        <v>529521</v>
      </c>
      <c r="AE22" s="48">
        <v>7.1999999999999995E-2</v>
      </c>
      <c r="AF22" s="49">
        <v>0.05</v>
      </c>
      <c r="AG22" s="50">
        <v>2.1</v>
      </c>
      <c r="AH22" s="51">
        <v>21</v>
      </c>
      <c r="AI22" s="49">
        <v>36.6</v>
      </c>
      <c r="AJ22" s="49"/>
      <c r="AK22" s="49">
        <v>50.2</v>
      </c>
      <c r="AL22" s="42">
        <v>44014</v>
      </c>
      <c r="AM22" s="48">
        <v>6.4000000000000001E-2</v>
      </c>
      <c r="AN22" s="49">
        <v>0.04</v>
      </c>
      <c r="AO22" s="50">
        <v>2.2000000000000002</v>
      </c>
      <c r="AP22" s="51">
        <v>22</v>
      </c>
      <c r="AQ22" s="49">
        <v>35.204000000000008</v>
      </c>
      <c r="AR22" s="49"/>
      <c r="AS22" s="49">
        <v>50</v>
      </c>
      <c r="AT22" s="42">
        <v>536860</v>
      </c>
      <c r="AU22" s="48">
        <v>7.8E-2</v>
      </c>
      <c r="AV22" s="49">
        <v>7.0000000000000007E-2</v>
      </c>
      <c r="AW22" s="50">
        <v>2.2000000000000002</v>
      </c>
      <c r="AX22" s="51">
        <v>22</v>
      </c>
      <c r="AY22" s="49">
        <v>56.01</v>
      </c>
      <c r="AZ22" s="49"/>
      <c r="BA22" s="50">
        <v>10</v>
      </c>
      <c r="BB22" s="42">
        <v>444920</v>
      </c>
      <c r="BC22" s="48">
        <v>6.4000000000000001E-2</v>
      </c>
      <c r="BD22" s="49">
        <v>0.05</v>
      </c>
      <c r="BE22" s="49">
        <v>2.1</v>
      </c>
      <c r="BF22" s="49">
        <v>21</v>
      </c>
      <c r="BG22" s="49">
        <v>57.65</v>
      </c>
      <c r="BH22" s="49"/>
      <c r="BI22" s="49">
        <v>9</v>
      </c>
      <c r="BJ22" s="24">
        <v>508583</v>
      </c>
      <c r="BK22" s="48">
        <v>5.8000000000000003E-2</v>
      </c>
      <c r="BL22" s="49">
        <v>0.06</v>
      </c>
      <c r="BM22" s="49">
        <v>2.1</v>
      </c>
      <c r="BN22" s="49">
        <v>21</v>
      </c>
      <c r="BO22" s="49">
        <v>56.55</v>
      </c>
      <c r="BP22" s="49"/>
      <c r="BQ22" s="49">
        <v>9.8000000000000007</v>
      </c>
      <c r="BR22" s="42">
        <v>510730</v>
      </c>
      <c r="BS22" s="48">
        <v>6.4000000000000001E-2</v>
      </c>
      <c r="BT22" s="49">
        <v>0.06</v>
      </c>
      <c r="BU22" s="49">
        <v>2.2000000000000002</v>
      </c>
      <c r="BV22" s="49">
        <v>22</v>
      </c>
      <c r="BW22" s="49">
        <v>56.8</v>
      </c>
      <c r="BX22" s="49"/>
      <c r="BY22" s="49">
        <v>9.4</v>
      </c>
      <c r="BZ22" s="42">
        <v>26023</v>
      </c>
      <c r="CA22" s="48">
        <v>5.8000000000000003E-2</v>
      </c>
      <c r="CB22" s="49">
        <v>0.06</v>
      </c>
      <c r="CC22" s="49">
        <v>2.2999999999999998</v>
      </c>
      <c r="CD22" s="49">
        <v>23</v>
      </c>
      <c r="CE22" s="49">
        <v>57.5</v>
      </c>
      <c r="CF22" s="49"/>
      <c r="CG22" s="49">
        <v>8.1999999999999993</v>
      </c>
      <c r="CH22" s="42"/>
      <c r="CI22" s="49"/>
      <c r="CJ22" s="49"/>
      <c r="CK22" s="49"/>
      <c r="CL22" s="49"/>
      <c r="CM22" s="49"/>
      <c r="CN22" s="49"/>
      <c r="CO22" s="49"/>
      <c r="CP22" s="42">
        <v>616666</v>
      </c>
      <c r="CQ22" s="48">
        <v>0.06</v>
      </c>
      <c r="CR22" s="49">
        <v>0.05</v>
      </c>
      <c r="CS22" s="50">
        <v>2.2000000000000002</v>
      </c>
      <c r="CT22" s="51">
        <v>22</v>
      </c>
      <c r="CU22" s="49">
        <v>51.95</v>
      </c>
      <c r="CV22" s="49">
        <v>0.3</v>
      </c>
      <c r="CW22" s="42">
        <v>505004</v>
      </c>
      <c r="CX22" s="33">
        <v>5.1999999999999998E-2</v>
      </c>
      <c r="CY22" s="25">
        <v>0.05</v>
      </c>
      <c r="CZ22" s="34">
        <v>2.2000000000000002</v>
      </c>
      <c r="DA22" s="35">
        <v>22</v>
      </c>
      <c r="DB22" s="25">
        <v>51.85</v>
      </c>
      <c r="DC22" s="25">
        <v>0.3</v>
      </c>
      <c r="DD22" s="42"/>
      <c r="DE22" s="49"/>
      <c r="DF22" s="49"/>
      <c r="DG22" s="49"/>
      <c r="DH22" s="49"/>
      <c r="DI22" s="49"/>
      <c r="DJ22" s="49"/>
      <c r="DK22" s="49"/>
      <c r="DL22" s="56"/>
      <c r="DM22" s="42">
        <v>32951</v>
      </c>
      <c r="DN22" s="33">
        <v>5.8999999999999997E-2</v>
      </c>
      <c r="DO22" s="25">
        <v>0.05</v>
      </c>
      <c r="DP22" s="25">
        <v>2.2999999999999998</v>
      </c>
      <c r="DQ22" s="25">
        <v>23</v>
      </c>
      <c r="DR22" s="25">
        <v>58.9</v>
      </c>
      <c r="DS22" s="25"/>
      <c r="DT22" s="25">
        <v>7.6</v>
      </c>
      <c r="DU22" s="57"/>
      <c r="DV22" s="49"/>
      <c r="DW22" s="49"/>
      <c r="DX22" s="49"/>
      <c r="DY22" s="49"/>
      <c r="DZ22" s="49"/>
      <c r="EA22" s="49"/>
      <c r="EB22" s="49"/>
      <c r="EC22" s="49"/>
      <c r="ED22" s="56"/>
      <c r="EE22" s="42"/>
      <c r="EF22" s="49"/>
      <c r="EG22" s="49"/>
      <c r="EH22" s="49"/>
      <c r="EI22" s="49"/>
      <c r="EJ22" s="49"/>
      <c r="EK22" s="49"/>
      <c r="EL22" s="49"/>
      <c r="EM22" s="58"/>
      <c r="EN22" s="39"/>
      <c r="EO22" s="40">
        <f t="shared" si="4"/>
        <v>46070</v>
      </c>
      <c r="EP22" s="40">
        <v>45978</v>
      </c>
      <c r="EQ22" s="40">
        <v>46069</v>
      </c>
      <c r="ER22" s="40" t="s">
        <v>70</v>
      </c>
      <c r="ES22" s="40">
        <v>45930</v>
      </c>
      <c r="ET22" s="40">
        <v>46055</v>
      </c>
      <c r="EU22" s="40" t="s">
        <v>71</v>
      </c>
      <c r="EV22" s="40">
        <v>45992</v>
      </c>
      <c r="EW22" s="40">
        <v>46029</v>
      </c>
      <c r="EX22" s="40" t="s">
        <v>71</v>
      </c>
      <c r="EY22" s="40">
        <v>45688</v>
      </c>
      <c r="EZ22" s="40">
        <v>46055</v>
      </c>
      <c r="FA22" s="40">
        <v>46038</v>
      </c>
      <c r="FB22" s="40">
        <v>46055</v>
      </c>
      <c r="FC22" s="40">
        <v>46055</v>
      </c>
      <c r="FD22" s="40">
        <v>46055</v>
      </c>
      <c r="FE22" s="40">
        <v>46037</v>
      </c>
      <c r="FF22" s="40">
        <v>46048</v>
      </c>
      <c r="FG22" s="40">
        <v>46041</v>
      </c>
      <c r="FH22" s="40">
        <v>46044</v>
      </c>
      <c r="FI22" s="40">
        <v>46044</v>
      </c>
      <c r="FJ22" s="40">
        <v>46047</v>
      </c>
      <c r="FK22" s="40">
        <v>46047</v>
      </c>
      <c r="FL22" s="40">
        <v>46056</v>
      </c>
      <c r="FM22" s="40">
        <v>46056</v>
      </c>
      <c r="FN22" s="40">
        <v>46056</v>
      </c>
      <c r="FO22" s="40"/>
      <c r="FP22" s="40"/>
      <c r="FQ22" s="40">
        <v>46023</v>
      </c>
      <c r="FR22" s="40">
        <v>46048</v>
      </c>
      <c r="FS22" s="40"/>
      <c r="FT22" s="40">
        <v>46022</v>
      </c>
      <c r="FU22" s="40">
        <v>46056</v>
      </c>
      <c r="FV22" s="40"/>
      <c r="FW22" s="40"/>
      <c r="FX22" s="40"/>
      <c r="FY22" s="40">
        <v>46054</v>
      </c>
      <c r="FZ22" s="40">
        <v>46054</v>
      </c>
      <c r="GA22" s="40"/>
      <c r="GB22" s="40"/>
      <c r="GC22" s="40"/>
      <c r="GD22" s="40"/>
    </row>
    <row r="23" spans="2:186" x14ac:dyDescent="0.35">
      <c r="B23" s="41">
        <f t="shared" si="3"/>
        <v>46071</v>
      </c>
      <c r="C23" s="42">
        <v>2219339</v>
      </c>
      <c r="D23" s="49">
        <v>4.6900000000000004</v>
      </c>
      <c r="E23" s="49">
        <v>0.24</v>
      </c>
      <c r="F23" s="49">
        <v>1.9</v>
      </c>
      <c r="G23" s="49">
        <v>51.8</v>
      </c>
      <c r="H23" s="49">
        <v>2.2000000000000002</v>
      </c>
      <c r="I23" s="49">
        <v>2.04</v>
      </c>
      <c r="J23" s="49">
        <f t="shared" si="0"/>
        <v>6.44</v>
      </c>
      <c r="K23" s="42">
        <v>2577692</v>
      </c>
      <c r="L23" s="25">
        <v>4.9000000000000004</v>
      </c>
      <c r="M23" s="25">
        <v>0.27</v>
      </c>
      <c r="N23" s="25">
        <v>1.85</v>
      </c>
      <c r="O23" s="25">
        <v>51.89898436964922</v>
      </c>
      <c r="P23" s="25">
        <v>2.25</v>
      </c>
      <c r="Q23" s="25">
        <v>2.13</v>
      </c>
      <c r="R23" s="25">
        <f t="shared" si="1"/>
        <v>6.63</v>
      </c>
      <c r="S23" s="26">
        <v>2573906</v>
      </c>
      <c r="T23" s="25">
        <v>5.28</v>
      </c>
      <c r="U23" s="25">
        <v>0.3</v>
      </c>
      <c r="V23" s="25">
        <v>1.88</v>
      </c>
      <c r="W23" s="27">
        <v>51.98</v>
      </c>
      <c r="X23" s="25">
        <v>2.15</v>
      </c>
      <c r="Y23" s="25">
        <v>2.0499999999999998</v>
      </c>
      <c r="Z23" s="25">
        <f t="shared" si="2"/>
        <v>6.35</v>
      </c>
      <c r="AA23" s="42">
        <v>250276</v>
      </c>
      <c r="AB23" s="49">
        <v>86.25</v>
      </c>
      <c r="AC23" s="25">
        <v>0.32</v>
      </c>
      <c r="AD23" s="42">
        <v>529521</v>
      </c>
      <c r="AE23" s="48">
        <v>7.1999999999999995E-2</v>
      </c>
      <c r="AF23" s="49">
        <v>0.05</v>
      </c>
      <c r="AG23" s="50">
        <v>2.1</v>
      </c>
      <c r="AH23" s="51">
        <v>21</v>
      </c>
      <c r="AI23" s="49">
        <v>36.6</v>
      </c>
      <c r="AJ23" s="49"/>
      <c r="AK23" s="49">
        <v>50.2</v>
      </c>
      <c r="AL23" s="42">
        <v>44014</v>
      </c>
      <c r="AM23" s="48">
        <v>6.4000000000000001E-2</v>
      </c>
      <c r="AN23" s="49">
        <v>0.04</v>
      </c>
      <c r="AO23" s="50">
        <v>2.2000000000000002</v>
      </c>
      <c r="AP23" s="51">
        <v>22</v>
      </c>
      <c r="AQ23" s="49">
        <v>35.204000000000008</v>
      </c>
      <c r="AR23" s="49"/>
      <c r="AS23" s="49">
        <v>50</v>
      </c>
      <c r="AT23" s="42">
        <v>536860</v>
      </c>
      <c r="AU23" s="48">
        <v>7.8E-2</v>
      </c>
      <c r="AV23" s="49">
        <v>7.0000000000000007E-2</v>
      </c>
      <c r="AW23" s="50">
        <v>2.2000000000000002</v>
      </c>
      <c r="AX23" s="51">
        <v>22</v>
      </c>
      <c r="AY23" s="49">
        <v>56.01</v>
      </c>
      <c r="AZ23" s="49"/>
      <c r="BA23" s="50">
        <v>10</v>
      </c>
      <c r="BB23" s="42">
        <v>444920</v>
      </c>
      <c r="BC23" s="48">
        <v>6.6000000000000003E-2</v>
      </c>
      <c r="BD23" s="49">
        <v>0.05</v>
      </c>
      <c r="BE23" s="49">
        <v>2.1</v>
      </c>
      <c r="BF23" s="49">
        <v>21</v>
      </c>
      <c r="BG23" s="49">
        <v>57.65</v>
      </c>
      <c r="BH23" s="49"/>
      <c r="BI23" s="49">
        <v>9</v>
      </c>
      <c r="BJ23" s="24">
        <v>508583</v>
      </c>
      <c r="BK23" s="48">
        <v>5.8000000000000003E-2</v>
      </c>
      <c r="BL23" s="49">
        <v>0.06</v>
      </c>
      <c r="BM23" s="49">
        <v>2.1</v>
      </c>
      <c r="BN23" s="49">
        <v>21</v>
      </c>
      <c r="BO23" s="49">
        <v>56.55</v>
      </c>
      <c r="BP23" s="49"/>
      <c r="BQ23" s="49">
        <v>9.8000000000000007</v>
      </c>
      <c r="BR23" s="42">
        <v>510730</v>
      </c>
      <c r="BS23" s="48">
        <v>6.6000000000000003E-2</v>
      </c>
      <c r="BT23" s="49">
        <v>0.06</v>
      </c>
      <c r="BU23" s="49">
        <v>2.2000000000000002</v>
      </c>
      <c r="BV23" s="49">
        <v>22</v>
      </c>
      <c r="BW23" s="49">
        <v>56.8</v>
      </c>
      <c r="BX23" s="49"/>
      <c r="BY23" s="49">
        <v>9.4</v>
      </c>
      <c r="BZ23" s="42">
        <v>26023</v>
      </c>
      <c r="CA23" s="48">
        <v>5.8000000000000003E-2</v>
      </c>
      <c r="CB23" s="49">
        <v>0.06</v>
      </c>
      <c r="CC23" s="49">
        <v>2.2999999999999998</v>
      </c>
      <c r="CD23" s="49">
        <v>23</v>
      </c>
      <c r="CE23" s="49">
        <v>57.5</v>
      </c>
      <c r="CF23" s="49"/>
      <c r="CG23" s="49">
        <v>8.1999999999999993</v>
      </c>
      <c r="CH23" s="42"/>
      <c r="CI23" s="49"/>
      <c r="CJ23" s="49"/>
      <c r="CK23" s="49"/>
      <c r="CL23" s="49"/>
      <c r="CM23" s="49"/>
      <c r="CN23" s="49"/>
      <c r="CO23" s="49"/>
      <c r="CP23" s="42">
        <v>616666</v>
      </c>
      <c r="CQ23" s="48">
        <v>0.06</v>
      </c>
      <c r="CR23" s="49">
        <v>0.05</v>
      </c>
      <c r="CS23" s="50">
        <v>2.2000000000000002</v>
      </c>
      <c r="CT23" s="51">
        <v>22</v>
      </c>
      <c r="CU23" s="49">
        <v>51.95</v>
      </c>
      <c r="CV23" s="49">
        <v>0.3</v>
      </c>
      <c r="CW23" s="42">
        <v>505004</v>
      </c>
      <c r="CX23" s="33">
        <v>5.3999999999999999E-2</v>
      </c>
      <c r="CY23" s="25">
        <v>0.05</v>
      </c>
      <c r="CZ23" s="34">
        <v>2.2000000000000002</v>
      </c>
      <c r="DA23" s="35">
        <v>22</v>
      </c>
      <c r="DB23" s="25">
        <v>51.85</v>
      </c>
      <c r="DC23" s="25">
        <v>0.3</v>
      </c>
      <c r="DD23" s="42"/>
      <c r="DE23" s="49"/>
      <c r="DF23" s="49"/>
      <c r="DG23" s="49"/>
      <c r="DH23" s="49"/>
      <c r="DI23" s="49"/>
      <c r="DJ23" s="49"/>
      <c r="DK23" s="49"/>
      <c r="DL23" s="56"/>
      <c r="DM23" s="42">
        <v>32951</v>
      </c>
      <c r="DN23" s="33">
        <v>5.8999999999999997E-2</v>
      </c>
      <c r="DO23" s="25">
        <v>0.05</v>
      </c>
      <c r="DP23" s="25">
        <v>2.2999999999999998</v>
      </c>
      <c r="DQ23" s="25">
        <v>23</v>
      </c>
      <c r="DR23" s="25">
        <v>58.9</v>
      </c>
      <c r="DS23" s="25"/>
      <c r="DT23" s="25">
        <v>7.6</v>
      </c>
      <c r="DU23" s="57"/>
      <c r="DV23" s="49"/>
      <c r="DW23" s="49"/>
      <c r="DX23" s="49"/>
      <c r="DY23" s="49"/>
      <c r="DZ23" s="49"/>
      <c r="EA23" s="49"/>
      <c r="EB23" s="49"/>
      <c r="EC23" s="49"/>
      <c r="ED23" s="56"/>
      <c r="EE23" s="42"/>
      <c r="EF23" s="49"/>
      <c r="EG23" s="49"/>
      <c r="EH23" s="49"/>
      <c r="EI23" s="49"/>
      <c r="EJ23" s="49"/>
      <c r="EK23" s="49"/>
      <c r="EL23" s="49"/>
      <c r="EM23" s="58"/>
      <c r="EN23" s="39"/>
      <c r="EO23" s="40">
        <f t="shared" si="4"/>
        <v>46071</v>
      </c>
      <c r="EP23" s="40">
        <v>45978</v>
      </c>
      <c r="EQ23" s="40">
        <v>46069</v>
      </c>
      <c r="ER23" s="40" t="s">
        <v>70</v>
      </c>
      <c r="ES23" s="40">
        <v>45930</v>
      </c>
      <c r="ET23" s="40">
        <v>46055</v>
      </c>
      <c r="EU23" s="40" t="s">
        <v>71</v>
      </c>
      <c r="EV23" s="40">
        <v>45992</v>
      </c>
      <c r="EW23" s="40">
        <v>46029</v>
      </c>
      <c r="EX23" s="40" t="s">
        <v>71</v>
      </c>
      <c r="EY23" s="40">
        <v>45688</v>
      </c>
      <c r="EZ23" s="40">
        <v>46055</v>
      </c>
      <c r="FA23" s="40">
        <v>46038</v>
      </c>
      <c r="FB23" s="40">
        <v>46055</v>
      </c>
      <c r="FC23" s="40">
        <v>46055</v>
      </c>
      <c r="FD23" s="40">
        <v>46055</v>
      </c>
      <c r="FE23" s="40">
        <v>46037</v>
      </c>
      <c r="FF23" s="40">
        <v>46048</v>
      </c>
      <c r="FG23" s="40">
        <v>46041</v>
      </c>
      <c r="FH23" s="40">
        <v>46044</v>
      </c>
      <c r="FI23" s="40">
        <v>46044</v>
      </c>
      <c r="FJ23" s="40">
        <v>46047</v>
      </c>
      <c r="FK23" s="40">
        <v>46047</v>
      </c>
      <c r="FL23" s="40">
        <v>46056</v>
      </c>
      <c r="FM23" s="40">
        <v>46056</v>
      </c>
      <c r="FN23" s="40">
        <v>46056</v>
      </c>
      <c r="FO23" s="40"/>
      <c r="FP23" s="40"/>
      <c r="FQ23" s="40">
        <v>46023</v>
      </c>
      <c r="FR23" s="40">
        <v>46048</v>
      </c>
      <c r="FS23" s="40"/>
      <c r="FT23" s="40">
        <v>46022</v>
      </c>
      <c r="FU23" s="40">
        <v>46056</v>
      </c>
      <c r="FV23" s="40"/>
      <c r="FW23" s="40"/>
      <c r="FX23" s="40"/>
      <c r="FY23" s="40">
        <v>46054</v>
      </c>
      <c r="FZ23" s="40">
        <v>46054</v>
      </c>
      <c r="GA23" s="40"/>
      <c r="GB23" s="40"/>
      <c r="GC23" s="40"/>
      <c r="GD23" s="40"/>
    </row>
    <row r="24" spans="2:186" x14ac:dyDescent="0.35">
      <c r="B24" s="41">
        <f t="shared" si="3"/>
        <v>46072</v>
      </c>
      <c r="C24" s="42">
        <v>2276769</v>
      </c>
      <c r="D24" s="49">
        <v>4.72</v>
      </c>
      <c r="E24" s="49">
        <v>0.27</v>
      </c>
      <c r="F24" s="49">
        <v>1.9</v>
      </c>
      <c r="G24" s="49">
        <v>51.8</v>
      </c>
      <c r="H24" s="49">
        <v>2.2000000000000002</v>
      </c>
      <c r="I24" s="49">
        <v>2.04</v>
      </c>
      <c r="J24" s="49">
        <f t="shared" si="0"/>
        <v>6.44</v>
      </c>
      <c r="K24" s="42">
        <v>2577692</v>
      </c>
      <c r="L24" s="25">
        <v>4.9000000000000004</v>
      </c>
      <c r="M24" s="25">
        <v>0.27</v>
      </c>
      <c r="N24" s="25">
        <v>1.85</v>
      </c>
      <c r="O24" s="25">
        <v>51.89898436964922</v>
      </c>
      <c r="P24" s="25">
        <v>2.25</v>
      </c>
      <c r="Q24" s="25">
        <v>2.13</v>
      </c>
      <c r="R24" s="25">
        <f t="shared" si="1"/>
        <v>6.63</v>
      </c>
      <c r="S24" s="26">
        <v>2573906</v>
      </c>
      <c r="T24" s="25">
        <v>5.28</v>
      </c>
      <c r="U24" s="25">
        <v>0.3</v>
      </c>
      <c r="V24" s="25">
        <v>1.88</v>
      </c>
      <c r="W24" s="27">
        <v>51.98</v>
      </c>
      <c r="X24" s="25">
        <v>2.15</v>
      </c>
      <c r="Y24" s="25">
        <v>2.0499999999999998</v>
      </c>
      <c r="Z24" s="25">
        <f t="shared" si="2"/>
        <v>6.35</v>
      </c>
      <c r="AA24" s="42">
        <v>250276</v>
      </c>
      <c r="AB24" s="49">
        <v>86.25</v>
      </c>
      <c r="AC24" s="25">
        <v>0.32</v>
      </c>
      <c r="AD24" s="42">
        <v>529521</v>
      </c>
      <c r="AE24" s="48">
        <v>8.4000000000000005E-2</v>
      </c>
      <c r="AF24" s="49">
        <v>0.05</v>
      </c>
      <c r="AG24" s="50">
        <v>2.2000000000000002</v>
      </c>
      <c r="AH24" s="51">
        <v>22</v>
      </c>
      <c r="AI24" s="49">
        <v>36.6</v>
      </c>
      <c r="AJ24" s="49"/>
      <c r="AK24" s="49">
        <v>50.2</v>
      </c>
      <c r="AL24" s="42">
        <v>44014</v>
      </c>
      <c r="AM24" s="48">
        <v>7.8E-2</v>
      </c>
      <c r="AN24" s="49">
        <v>0.04</v>
      </c>
      <c r="AO24" s="50">
        <v>2.2000000000000002</v>
      </c>
      <c r="AP24" s="51">
        <v>22</v>
      </c>
      <c r="AQ24" s="49">
        <v>35.204000000000008</v>
      </c>
      <c r="AR24" s="49"/>
      <c r="AS24" s="49">
        <v>50</v>
      </c>
      <c r="AT24" s="42">
        <v>536860</v>
      </c>
      <c r="AU24" s="48">
        <v>7.9000000000000001E-2</v>
      </c>
      <c r="AV24" s="49">
        <v>7.0000000000000007E-2</v>
      </c>
      <c r="AW24" s="50">
        <v>2.2000000000000002</v>
      </c>
      <c r="AX24" s="51">
        <v>22</v>
      </c>
      <c r="AY24" s="49">
        <v>56.01</v>
      </c>
      <c r="AZ24" s="49"/>
      <c r="BA24" s="50">
        <v>10</v>
      </c>
      <c r="BB24" s="42">
        <v>435830</v>
      </c>
      <c r="BC24" s="48">
        <v>6.7000000000000004E-2</v>
      </c>
      <c r="BD24" s="49">
        <v>0.05</v>
      </c>
      <c r="BE24" s="49">
        <v>2.1</v>
      </c>
      <c r="BF24" s="49">
        <v>21</v>
      </c>
      <c r="BG24" s="49">
        <v>57.65</v>
      </c>
      <c r="BH24" s="49"/>
      <c r="BI24" s="49">
        <v>9</v>
      </c>
      <c r="BJ24" s="24">
        <v>508583</v>
      </c>
      <c r="BK24" s="48">
        <v>5.8000000000000003E-2</v>
      </c>
      <c r="BL24" s="49">
        <v>0.06</v>
      </c>
      <c r="BM24" s="49">
        <v>2.2000000000000002</v>
      </c>
      <c r="BN24" s="49">
        <v>22</v>
      </c>
      <c r="BO24" s="49">
        <v>56.55</v>
      </c>
      <c r="BP24" s="49"/>
      <c r="BQ24" s="49">
        <v>9.8000000000000007</v>
      </c>
      <c r="BR24" s="42">
        <v>510730</v>
      </c>
      <c r="BS24" s="48">
        <v>6.7000000000000004E-2</v>
      </c>
      <c r="BT24" s="49">
        <v>0.06</v>
      </c>
      <c r="BU24" s="49">
        <v>2.2000000000000002</v>
      </c>
      <c r="BV24" s="49">
        <v>22</v>
      </c>
      <c r="BW24" s="49">
        <v>56.8</v>
      </c>
      <c r="BX24" s="49"/>
      <c r="BY24" s="49">
        <v>9.4</v>
      </c>
      <c r="BZ24" s="42">
        <v>26023</v>
      </c>
      <c r="CA24" s="48">
        <v>6.0999999999999999E-2</v>
      </c>
      <c r="CB24" s="49">
        <v>0.06</v>
      </c>
      <c r="CC24" s="49">
        <v>2.2999999999999998</v>
      </c>
      <c r="CD24" s="49">
        <v>23</v>
      </c>
      <c r="CE24" s="49">
        <v>57.5</v>
      </c>
      <c r="CF24" s="49"/>
      <c r="CG24" s="49">
        <v>8.1999999999999993</v>
      </c>
      <c r="CH24" s="42"/>
      <c r="CI24" s="49"/>
      <c r="CJ24" s="49"/>
      <c r="CK24" s="49"/>
      <c r="CL24" s="49"/>
      <c r="CM24" s="49"/>
      <c r="CN24" s="49"/>
      <c r="CO24" s="49"/>
      <c r="CP24" s="42">
        <v>616666</v>
      </c>
      <c r="CQ24" s="48">
        <v>6.0999999999999999E-2</v>
      </c>
      <c r="CR24" s="49">
        <v>0.05</v>
      </c>
      <c r="CS24" s="50">
        <v>2.2000000000000002</v>
      </c>
      <c r="CT24" s="51">
        <v>22</v>
      </c>
      <c r="CU24" s="49">
        <v>51.95</v>
      </c>
      <c r="CV24" s="49">
        <v>0.3</v>
      </c>
      <c r="CW24" s="42">
        <v>505004</v>
      </c>
      <c r="CX24" s="33">
        <v>5.3999999999999999E-2</v>
      </c>
      <c r="CY24" s="25">
        <v>0.05</v>
      </c>
      <c r="CZ24" s="34">
        <v>2.2000000000000002</v>
      </c>
      <c r="DA24" s="35">
        <v>22</v>
      </c>
      <c r="DB24" s="25">
        <v>51.85</v>
      </c>
      <c r="DC24" s="25">
        <v>0.3</v>
      </c>
      <c r="DD24" s="42"/>
      <c r="DE24" s="49"/>
      <c r="DF24" s="49"/>
      <c r="DG24" s="49"/>
      <c r="DH24" s="49"/>
      <c r="DI24" s="49"/>
      <c r="DJ24" s="49"/>
      <c r="DK24" s="49"/>
      <c r="DL24" s="56"/>
      <c r="DM24" s="42">
        <v>32951</v>
      </c>
      <c r="DN24" s="33">
        <v>5.8999999999999997E-2</v>
      </c>
      <c r="DO24" s="25">
        <v>0.05</v>
      </c>
      <c r="DP24" s="25">
        <v>2.2999999999999998</v>
      </c>
      <c r="DQ24" s="25">
        <v>23</v>
      </c>
      <c r="DR24" s="25">
        <v>58.9</v>
      </c>
      <c r="DS24" s="25"/>
      <c r="DT24" s="25">
        <v>7.6</v>
      </c>
      <c r="DU24" s="57"/>
      <c r="DV24" s="49"/>
      <c r="DW24" s="49"/>
      <c r="DX24" s="49"/>
      <c r="DY24" s="49"/>
      <c r="DZ24" s="49"/>
      <c r="EA24" s="49"/>
      <c r="EB24" s="49"/>
      <c r="EC24" s="49"/>
      <c r="ED24" s="56"/>
      <c r="EE24" s="42"/>
      <c r="EF24" s="49"/>
      <c r="EG24" s="49"/>
      <c r="EH24" s="49"/>
      <c r="EI24" s="49"/>
      <c r="EJ24" s="49"/>
      <c r="EK24" s="49"/>
      <c r="EL24" s="49"/>
      <c r="EM24" s="58"/>
      <c r="EN24" s="39"/>
      <c r="EO24" s="40">
        <f t="shared" si="4"/>
        <v>46072</v>
      </c>
      <c r="EP24" s="40">
        <v>45978</v>
      </c>
      <c r="EQ24" s="40">
        <v>46071</v>
      </c>
      <c r="ER24" s="40" t="s">
        <v>70</v>
      </c>
      <c r="ES24" s="40">
        <v>45930</v>
      </c>
      <c r="ET24" s="40">
        <v>46055</v>
      </c>
      <c r="EU24" s="40" t="s">
        <v>71</v>
      </c>
      <c r="EV24" s="40">
        <v>45992</v>
      </c>
      <c r="EW24" s="40">
        <v>46029</v>
      </c>
      <c r="EX24" s="40" t="s">
        <v>71</v>
      </c>
      <c r="EY24" s="40">
        <v>45688</v>
      </c>
      <c r="EZ24" s="40">
        <v>46055</v>
      </c>
      <c r="FA24" s="40">
        <v>46038</v>
      </c>
      <c r="FB24" s="40">
        <v>46055</v>
      </c>
      <c r="FC24" s="40">
        <v>46055</v>
      </c>
      <c r="FD24" s="40">
        <v>46055</v>
      </c>
      <c r="FE24" s="40">
        <v>46037</v>
      </c>
      <c r="FF24" s="40">
        <v>46048</v>
      </c>
      <c r="FG24" s="40">
        <v>46041</v>
      </c>
      <c r="FH24" s="40">
        <v>46044</v>
      </c>
      <c r="FI24" s="40">
        <v>46044</v>
      </c>
      <c r="FJ24" s="40">
        <v>46047</v>
      </c>
      <c r="FK24" s="40">
        <v>46047</v>
      </c>
      <c r="FL24" s="40">
        <v>46056</v>
      </c>
      <c r="FM24" s="40">
        <v>46056</v>
      </c>
      <c r="FN24" s="40">
        <v>46056</v>
      </c>
      <c r="FO24" s="40"/>
      <c r="FP24" s="40"/>
      <c r="FQ24" s="40">
        <v>46023</v>
      </c>
      <c r="FR24" s="40">
        <v>46048</v>
      </c>
      <c r="FS24" s="40"/>
      <c r="FT24" s="40">
        <v>46022</v>
      </c>
      <c r="FU24" s="40">
        <v>46056</v>
      </c>
      <c r="FV24" s="40"/>
      <c r="FW24" s="40"/>
      <c r="FX24" s="40"/>
      <c r="FY24" s="40">
        <v>46054</v>
      </c>
      <c r="FZ24" s="40">
        <v>46054</v>
      </c>
      <c r="GA24" s="40"/>
      <c r="GB24" s="40"/>
      <c r="GC24" s="40"/>
      <c r="GD24" s="40"/>
    </row>
    <row r="25" spans="2:186" x14ac:dyDescent="0.35">
      <c r="B25" s="41">
        <f t="shared" si="3"/>
        <v>46073</v>
      </c>
      <c r="C25" s="42">
        <v>2391439</v>
      </c>
      <c r="D25" s="49">
        <v>4.7300000000000004</v>
      </c>
      <c r="E25" s="49">
        <v>0.27</v>
      </c>
      <c r="F25" s="49">
        <v>1.9</v>
      </c>
      <c r="G25" s="49">
        <v>51.8</v>
      </c>
      <c r="H25" s="49">
        <v>2.2000000000000002</v>
      </c>
      <c r="I25" s="49">
        <v>2.04</v>
      </c>
      <c r="J25" s="49">
        <f t="shared" si="0"/>
        <v>6.44</v>
      </c>
      <c r="K25" s="42">
        <v>2577692</v>
      </c>
      <c r="L25" s="25">
        <v>4.9000000000000004</v>
      </c>
      <c r="M25" s="25">
        <v>0.27</v>
      </c>
      <c r="N25" s="25">
        <v>1.85</v>
      </c>
      <c r="O25" s="25">
        <v>51.89898436964922</v>
      </c>
      <c r="P25" s="25">
        <v>2.25</v>
      </c>
      <c r="Q25" s="25">
        <v>2.13</v>
      </c>
      <c r="R25" s="25">
        <f t="shared" si="1"/>
        <v>6.63</v>
      </c>
      <c r="S25" s="26">
        <v>2489406</v>
      </c>
      <c r="T25" s="25">
        <v>5.3</v>
      </c>
      <c r="U25" s="25">
        <v>0.3</v>
      </c>
      <c r="V25" s="25">
        <v>1.88</v>
      </c>
      <c r="W25" s="27">
        <v>51.98</v>
      </c>
      <c r="X25" s="25">
        <v>2.1800000000000002</v>
      </c>
      <c r="Y25" s="25">
        <v>2.1</v>
      </c>
      <c r="Z25" s="25">
        <f t="shared" si="2"/>
        <v>6.4600000000000009</v>
      </c>
      <c r="AA25" s="42">
        <v>253776</v>
      </c>
      <c r="AB25" s="49">
        <v>86.25</v>
      </c>
      <c r="AC25" s="25">
        <v>0.32</v>
      </c>
      <c r="AD25" s="42">
        <v>529521</v>
      </c>
      <c r="AE25" s="48">
        <v>8.8999999999999996E-2</v>
      </c>
      <c r="AF25" s="49">
        <v>0.05</v>
      </c>
      <c r="AG25" s="50">
        <v>2.2000000000000002</v>
      </c>
      <c r="AH25" s="51">
        <v>22</v>
      </c>
      <c r="AI25" s="49">
        <v>36.6</v>
      </c>
      <c r="AJ25" s="49"/>
      <c r="AK25" s="49">
        <v>50.2</v>
      </c>
      <c r="AL25" s="42">
        <v>44014</v>
      </c>
      <c r="AM25" s="48">
        <v>0.08</v>
      </c>
      <c r="AN25" s="49">
        <v>0.04</v>
      </c>
      <c r="AO25" s="50">
        <v>2.2000000000000002</v>
      </c>
      <c r="AP25" s="51">
        <v>22</v>
      </c>
      <c r="AQ25" s="49">
        <v>35.204000000000008</v>
      </c>
      <c r="AR25" s="49"/>
      <c r="AS25" s="49">
        <v>50</v>
      </c>
      <c r="AT25" s="42">
        <v>536860</v>
      </c>
      <c r="AU25" s="48">
        <v>7.9000000000000001E-2</v>
      </c>
      <c r="AV25" s="49">
        <v>7.0000000000000007E-2</v>
      </c>
      <c r="AW25" s="50">
        <v>2.2000000000000002</v>
      </c>
      <c r="AX25" s="51">
        <v>22</v>
      </c>
      <c r="AY25" s="49">
        <v>56.01</v>
      </c>
      <c r="AZ25" s="49"/>
      <c r="BA25" s="50">
        <v>10</v>
      </c>
      <c r="BB25" s="42">
        <v>435830</v>
      </c>
      <c r="BC25" s="48">
        <v>6.7000000000000004E-2</v>
      </c>
      <c r="BD25" s="49">
        <v>0.05</v>
      </c>
      <c r="BE25" s="49">
        <v>2.1</v>
      </c>
      <c r="BF25" s="49">
        <v>21</v>
      </c>
      <c r="BG25" s="49">
        <v>57.65</v>
      </c>
      <c r="BH25" s="49"/>
      <c r="BI25" s="49">
        <v>9</v>
      </c>
      <c r="BJ25" s="24">
        <v>508583</v>
      </c>
      <c r="BK25" s="48">
        <v>5.8000000000000003E-2</v>
      </c>
      <c r="BL25" s="49">
        <v>0.06</v>
      </c>
      <c r="BM25" s="49">
        <v>2.2000000000000002</v>
      </c>
      <c r="BN25" s="49">
        <v>22</v>
      </c>
      <c r="BO25" s="49">
        <v>56.55</v>
      </c>
      <c r="BP25" s="49"/>
      <c r="BQ25" s="49">
        <v>9.8000000000000007</v>
      </c>
      <c r="BR25" s="42">
        <v>510730</v>
      </c>
      <c r="BS25" s="48">
        <v>6.7000000000000004E-2</v>
      </c>
      <c r="BT25" s="49">
        <v>0.06</v>
      </c>
      <c r="BU25" s="49">
        <v>2.2000000000000002</v>
      </c>
      <c r="BV25" s="49">
        <v>22</v>
      </c>
      <c r="BW25" s="49">
        <v>56.8</v>
      </c>
      <c r="BX25" s="49"/>
      <c r="BY25" s="49">
        <v>9.4</v>
      </c>
      <c r="BZ25" s="42">
        <v>26023</v>
      </c>
      <c r="CA25" s="48">
        <v>6.0999999999999999E-2</v>
      </c>
      <c r="CB25" s="49">
        <v>0.06</v>
      </c>
      <c r="CC25" s="49">
        <v>2.2999999999999998</v>
      </c>
      <c r="CD25" s="49">
        <v>23</v>
      </c>
      <c r="CE25" s="49">
        <v>57.5</v>
      </c>
      <c r="CF25" s="49"/>
      <c r="CG25" s="49">
        <v>8.1999999999999993</v>
      </c>
      <c r="CH25" s="42"/>
      <c r="CI25" s="49"/>
      <c r="CJ25" s="49"/>
      <c r="CK25" s="49"/>
      <c r="CL25" s="49"/>
      <c r="CM25" s="49"/>
      <c r="CN25" s="49"/>
      <c r="CO25" s="49"/>
      <c r="CP25" s="42">
        <v>677361</v>
      </c>
      <c r="CQ25" s="48">
        <v>5.8000000000000003E-2</v>
      </c>
      <c r="CR25" s="49">
        <v>0.05</v>
      </c>
      <c r="CS25" s="50">
        <v>2.2000000000000002</v>
      </c>
      <c r="CT25" s="51">
        <v>22</v>
      </c>
      <c r="CU25" s="49">
        <v>51.95</v>
      </c>
      <c r="CV25" s="49">
        <v>0.3</v>
      </c>
      <c r="CW25" s="42">
        <v>505004</v>
      </c>
      <c r="CX25" s="33">
        <v>5.3999999999999999E-2</v>
      </c>
      <c r="CY25" s="25">
        <v>0.05</v>
      </c>
      <c r="CZ25" s="34">
        <v>2.2000000000000002</v>
      </c>
      <c r="DA25" s="35">
        <v>22</v>
      </c>
      <c r="DB25" s="25">
        <v>51.85</v>
      </c>
      <c r="DC25" s="25">
        <v>0.3</v>
      </c>
      <c r="DD25" s="42"/>
      <c r="DE25" s="49"/>
      <c r="DF25" s="49"/>
      <c r="DG25" s="49"/>
      <c r="DH25" s="49"/>
      <c r="DI25" s="49"/>
      <c r="DJ25" s="49"/>
      <c r="DK25" s="49"/>
      <c r="DL25" s="56"/>
      <c r="DM25" s="42">
        <v>32951</v>
      </c>
      <c r="DN25" s="33">
        <v>5.8999999999999997E-2</v>
      </c>
      <c r="DO25" s="25">
        <v>0.05</v>
      </c>
      <c r="DP25" s="25">
        <v>2.2999999999999998</v>
      </c>
      <c r="DQ25" s="25">
        <v>23</v>
      </c>
      <c r="DR25" s="25">
        <v>58.9</v>
      </c>
      <c r="DS25" s="25"/>
      <c r="DT25" s="25">
        <v>7.6</v>
      </c>
      <c r="DU25" s="57"/>
      <c r="DV25" s="49"/>
      <c r="DW25" s="49"/>
      <c r="DX25" s="49"/>
      <c r="DY25" s="49"/>
      <c r="DZ25" s="49"/>
      <c r="EA25" s="49"/>
      <c r="EB25" s="49"/>
      <c r="EC25" s="49"/>
      <c r="ED25" s="56"/>
      <c r="EE25" s="42"/>
      <c r="EF25" s="49"/>
      <c r="EG25" s="49"/>
      <c r="EH25" s="49"/>
      <c r="EI25" s="49"/>
      <c r="EJ25" s="49"/>
      <c r="EK25" s="49"/>
      <c r="EL25" s="49"/>
      <c r="EM25" s="58"/>
      <c r="EN25" s="39"/>
      <c r="EO25" s="40">
        <f t="shared" si="4"/>
        <v>46073</v>
      </c>
      <c r="EP25" s="40">
        <v>45978</v>
      </c>
      <c r="EQ25" s="40">
        <v>46072</v>
      </c>
      <c r="ER25" s="40" t="s">
        <v>70</v>
      </c>
      <c r="ES25" s="40">
        <v>45930</v>
      </c>
      <c r="ET25" s="40">
        <v>46055</v>
      </c>
      <c r="EU25" s="40" t="s">
        <v>71</v>
      </c>
      <c r="EV25" s="40">
        <v>45992</v>
      </c>
      <c r="EW25" s="40">
        <v>46029</v>
      </c>
      <c r="EX25" s="40" t="s">
        <v>71</v>
      </c>
      <c r="EY25" s="40">
        <v>45688</v>
      </c>
      <c r="EZ25" s="40">
        <v>46072</v>
      </c>
      <c r="FA25" s="40">
        <v>46038</v>
      </c>
      <c r="FB25" s="40">
        <v>46055</v>
      </c>
      <c r="FC25" s="40">
        <v>46055</v>
      </c>
      <c r="FD25" s="40">
        <v>46055</v>
      </c>
      <c r="FE25" s="40">
        <v>46037</v>
      </c>
      <c r="FF25" s="40">
        <v>46048</v>
      </c>
      <c r="FG25" s="40">
        <v>46041</v>
      </c>
      <c r="FH25" s="40">
        <v>46044</v>
      </c>
      <c r="FI25" s="40">
        <v>46044</v>
      </c>
      <c r="FJ25" s="40">
        <v>46047</v>
      </c>
      <c r="FK25" s="40">
        <v>46047</v>
      </c>
      <c r="FL25" s="40">
        <v>46056</v>
      </c>
      <c r="FM25" s="40">
        <v>46056</v>
      </c>
      <c r="FN25" s="40">
        <v>46056</v>
      </c>
      <c r="FO25" s="40"/>
      <c r="FP25" s="40"/>
      <c r="FQ25" s="40">
        <v>46023</v>
      </c>
      <c r="FR25" s="40">
        <v>46072</v>
      </c>
      <c r="FS25" s="40"/>
      <c r="FT25" s="40">
        <v>46022</v>
      </c>
      <c r="FU25" s="40">
        <v>46056</v>
      </c>
      <c r="FV25" s="40"/>
      <c r="FW25" s="40"/>
      <c r="FX25" s="40"/>
      <c r="FY25" s="40">
        <v>46054</v>
      </c>
      <c r="FZ25" s="40">
        <v>46054</v>
      </c>
      <c r="GA25" s="40"/>
      <c r="GB25" s="40"/>
      <c r="GC25" s="40"/>
      <c r="GD25" s="40"/>
    </row>
    <row r="26" spans="2:186" x14ac:dyDescent="0.35">
      <c r="B26" s="41">
        <f t="shared" si="3"/>
        <v>46074</v>
      </c>
      <c r="C26" s="42">
        <v>2448829</v>
      </c>
      <c r="D26" s="49">
        <v>4.76</v>
      </c>
      <c r="E26" s="49">
        <v>0.26953128617800592</v>
      </c>
      <c r="F26" s="49">
        <v>1.91</v>
      </c>
      <c r="G26" s="49">
        <v>51.801406141465982</v>
      </c>
      <c r="H26" s="49">
        <v>2.2400000000000002</v>
      </c>
      <c r="I26" s="49">
        <v>2.08</v>
      </c>
      <c r="J26" s="49">
        <f t="shared" si="0"/>
        <v>6.5600000000000005</v>
      </c>
      <c r="K26" s="42">
        <v>2577692</v>
      </c>
      <c r="L26" s="25">
        <v>4.9000000000000004</v>
      </c>
      <c r="M26" s="25">
        <v>0.27</v>
      </c>
      <c r="N26" s="25">
        <v>1.85</v>
      </c>
      <c r="O26" s="25">
        <v>51.89898436964922</v>
      </c>
      <c r="P26" s="25">
        <v>2.25</v>
      </c>
      <c r="Q26" s="25">
        <v>2.13</v>
      </c>
      <c r="R26" s="25">
        <f t="shared" si="1"/>
        <v>6.63</v>
      </c>
      <c r="S26" s="26">
        <v>2181606</v>
      </c>
      <c r="T26" s="25">
        <v>5.33</v>
      </c>
      <c r="U26" s="25">
        <v>0.3</v>
      </c>
      <c r="V26" s="25">
        <v>1.87</v>
      </c>
      <c r="W26" s="27">
        <v>51.98</v>
      </c>
      <c r="X26" s="25">
        <v>2.1800000000000002</v>
      </c>
      <c r="Y26" s="25">
        <v>2.1</v>
      </c>
      <c r="Z26" s="25">
        <f t="shared" si="2"/>
        <v>6.4600000000000009</v>
      </c>
      <c r="AA26" s="42">
        <v>261289</v>
      </c>
      <c r="AB26" s="49">
        <v>84.88</v>
      </c>
      <c r="AC26" s="49">
        <v>0.25</v>
      </c>
      <c r="AD26" s="42">
        <v>529521</v>
      </c>
      <c r="AE26" s="48">
        <v>9.1999999999999998E-2</v>
      </c>
      <c r="AF26" s="49">
        <v>0.05</v>
      </c>
      <c r="AG26" s="50">
        <v>2.2000000000000002</v>
      </c>
      <c r="AH26" s="51">
        <v>22</v>
      </c>
      <c r="AI26" s="49">
        <v>36.6</v>
      </c>
      <c r="AJ26" s="49"/>
      <c r="AK26" s="49">
        <v>50.2</v>
      </c>
      <c r="AL26" s="42">
        <v>44014</v>
      </c>
      <c r="AM26" s="48">
        <v>8.5000000000000006E-2</v>
      </c>
      <c r="AN26" s="49">
        <v>0.04</v>
      </c>
      <c r="AO26" s="50">
        <v>2.2000000000000002</v>
      </c>
      <c r="AP26" s="51">
        <v>22</v>
      </c>
      <c r="AQ26" s="49">
        <v>35.204000000000008</v>
      </c>
      <c r="AR26" s="49"/>
      <c r="AS26" s="49">
        <v>50</v>
      </c>
      <c r="AT26" s="42">
        <v>536860</v>
      </c>
      <c r="AU26" s="48">
        <v>7.9000000000000001E-2</v>
      </c>
      <c r="AV26" s="49">
        <v>7.0000000000000007E-2</v>
      </c>
      <c r="AW26" s="50">
        <v>2.2000000000000002</v>
      </c>
      <c r="AX26" s="51">
        <v>22</v>
      </c>
      <c r="AY26" s="49">
        <v>56.01</v>
      </c>
      <c r="AZ26" s="49"/>
      <c r="BA26" s="50">
        <v>10</v>
      </c>
      <c r="BB26" s="42">
        <v>435830</v>
      </c>
      <c r="BC26" s="48">
        <v>6.8000000000000005E-2</v>
      </c>
      <c r="BD26" s="49">
        <v>0.05</v>
      </c>
      <c r="BE26" s="49">
        <v>2.1</v>
      </c>
      <c r="BF26" s="49">
        <v>21</v>
      </c>
      <c r="BG26" s="49">
        <v>57.65</v>
      </c>
      <c r="BH26" s="49"/>
      <c r="BI26" s="49">
        <v>9</v>
      </c>
      <c r="BJ26" s="24">
        <v>508583</v>
      </c>
      <c r="BK26" s="48">
        <v>5.8999999999999997E-2</v>
      </c>
      <c r="BL26" s="49">
        <v>0.06</v>
      </c>
      <c r="BM26" s="49">
        <v>2.2000000000000002</v>
      </c>
      <c r="BN26" s="49">
        <v>22</v>
      </c>
      <c r="BO26" s="49">
        <v>56.55</v>
      </c>
      <c r="BP26" s="49"/>
      <c r="BQ26" s="49">
        <v>9.8000000000000007</v>
      </c>
      <c r="BR26" s="42">
        <v>510730</v>
      </c>
      <c r="BS26" s="48">
        <v>6.7000000000000004E-2</v>
      </c>
      <c r="BT26" s="49">
        <v>0.06</v>
      </c>
      <c r="BU26" s="49">
        <v>2.2000000000000002</v>
      </c>
      <c r="BV26" s="49">
        <v>22</v>
      </c>
      <c r="BW26" s="49">
        <v>56.8</v>
      </c>
      <c r="BX26" s="49"/>
      <c r="BY26" s="49">
        <v>9.4</v>
      </c>
      <c r="BZ26" s="42">
        <v>26023</v>
      </c>
      <c r="CA26" s="48">
        <v>6.4000000000000001E-2</v>
      </c>
      <c r="CB26" s="49">
        <v>0.06</v>
      </c>
      <c r="CC26" s="49">
        <v>2.2999999999999998</v>
      </c>
      <c r="CD26" s="49">
        <v>23</v>
      </c>
      <c r="CE26" s="49">
        <v>57.5</v>
      </c>
      <c r="CF26" s="49"/>
      <c r="CG26" s="49">
        <v>8.1999999999999993</v>
      </c>
      <c r="CH26" s="42"/>
      <c r="CI26" s="49"/>
      <c r="CJ26" s="49"/>
      <c r="CK26" s="49"/>
      <c r="CL26" s="49"/>
      <c r="CM26" s="49"/>
      <c r="CN26" s="49"/>
      <c r="CO26" s="49"/>
      <c r="CP26" s="42">
        <v>966237</v>
      </c>
      <c r="CQ26" s="48">
        <v>4.8000000000000001E-2</v>
      </c>
      <c r="CR26" s="49">
        <v>0.04</v>
      </c>
      <c r="CS26" s="50">
        <v>2.1</v>
      </c>
      <c r="CT26" s="51">
        <v>21</v>
      </c>
      <c r="CU26" s="49">
        <v>51.99</v>
      </c>
      <c r="CV26" s="49">
        <v>0.3</v>
      </c>
      <c r="CW26" s="42">
        <v>505004</v>
      </c>
      <c r="CX26" s="33">
        <v>5.3999999999999999E-2</v>
      </c>
      <c r="CY26" s="25">
        <v>0.05</v>
      </c>
      <c r="CZ26" s="34">
        <v>2.2000000000000002</v>
      </c>
      <c r="DA26" s="35">
        <v>22</v>
      </c>
      <c r="DB26" s="25">
        <v>51.85</v>
      </c>
      <c r="DC26" s="25">
        <v>0.3</v>
      </c>
      <c r="DD26" s="42"/>
      <c r="DE26" s="49"/>
      <c r="DF26" s="49"/>
      <c r="DG26" s="49"/>
      <c r="DH26" s="49"/>
      <c r="DI26" s="49"/>
      <c r="DJ26" s="49"/>
      <c r="DK26" s="49"/>
      <c r="DL26" s="56"/>
      <c r="DM26" s="42">
        <v>32951</v>
      </c>
      <c r="DN26" s="33">
        <v>5.8999999999999997E-2</v>
      </c>
      <c r="DO26" s="25">
        <v>0.05</v>
      </c>
      <c r="DP26" s="25">
        <v>2.2999999999999998</v>
      </c>
      <c r="DQ26" s="25">
        <v>23</v>
      </c>
      <c r="DR26" s="25">
        <v>58.9</v>
      </c>
      <c r="DS26" s="25"/>
      <c r="DT26" s="25">
        <v>7.6</v>
      </c>
      <c r="DU26" s="57"/>
      <c r="DV26" s="49"/>
      <c r="DW26" s="49"/>
      <c r="DX26" s="49"/>
      <c r="DY26" s="49"/>
      <c r="DZ26" s="49"/>
      <c r="EA26" s="49"/>
      <c r="EB26" s="49"/>
      <c r="EC26" s="49"/>
      <c r="ED26" s="56"/>
      <c r="EE26" s="42"/>
      <c r="EF26" s="49"/>
      <c r="EG26" s="49"/>
      <c r="EH26" s="49"/>
      <c r="EI26" s="49"/>
      <c r="EJ26" s="49"/>
      <c r="EK26" s="49"/>
      <c r="EL26" s="49"/>
      <c r="EM26" s="58"/>
      <c r="EN26" s="39"/>
      <c r="EO26" s="40">
        <f t="shared" si="4"/>
        <v>46074</v>
      </c>
      <c r="EP26" s="40">
        <v>45978</v>
      </c>
      <c r="EQ26" s="40">
        <v>46073</v>
      </c>
      <c r="ER26" s="40" t="s">
        <v>70</v>
      </c>
      <c r="ES26" s="40">
        <v>45930</v>
      </c>
      <c r="ET26" s="40">
        <v>46055</v>
      </c>
      <c r="EU26" s="40" t="s">
        <v>71</v>
      </c>
      <c r="EV26" s="40">
        <v>45992</v>
      </c>
      <c r="EW26" s="40">
        <v>46029</v>
      </c>
      <c r="EX26" s="40" t="s">
        <v>71</v>
      </c>
      <c r="EY26" s="40">
        <v>45688</v>
      </c>
      <c r="EZ26" s="40">
        <v>46073</v>
      </c>
      <c r="FA26" s="40">
        <v>46038</v>
      </c>
      <c r="FB26" s="40">
        <v>46055</v>
      </c>
      <c r="FC26" s="40">
        <v>46055</v>
      </c>
      <c r="FD26" s="40">
        <v>46055</v>
      </c>
      <c r="FE26" s="40">
        <v>46037</v>
      </c>
      <c r="FF26" s="40">
        <v>46048</v>
      </c>
      <c r="FG26" s="40">
        <v>46041</v>
      </c>
      <c r="FH26" s="40">
        <v>46044</v>
      </c>
      <c r="FI26" s="40">
        <v>46044</v>
      </c>
      <c r="FJ26" s="40">
        <v>46047</v>
      </c>
      <c r="FK26" s="40">
        <v>46047</v>
      </c>
      <c r="FL26" s="40">
        <v>46056</v>
      </c>
      <c r="FM26" s="40">
        <v>46056</v>
      </c>
      <c r="FN26" s="40">
        <v>46056</v>
      </c>
      <c r="FO26" s="40"/>
      <c r="FP26" s="40"/>
      <c r="FQ26" s="40">
        <v>46023</v>
      </c>
      <c r="FR26" s="40">
        <v>46073</v>
      </c>
      <c r="FS26" s="40"/>
      <c r="FT26" s="40">
        <v>46022</v>
      </c>
      <c r="FU26" s="40">
        <v>46056</v>
      </c>
      <c r="FV26" s="40"/>
      <c r="FW26" s="40"/>
      <c r="FX26" s="40"/>
      <c r="FY26" s="40">
        <v>46054</v>
      </c>
      <c r="FZ26" s="40">
        <v>46054</v>
      </c>
      <c r="GA26" s="40"/>
      <c r="GB26" s="40"/>
      <c r="GC26" s="40"/>
      <c r="GD26" s="40"/>
    </row>
    <row r="27" spans="2:186" x14ac:dyDescent="0.35">
      <c r="B27" s="41">
        <f t="shared" si="3"/>
        <v>46075</v>
      </c>
      <c r="C27" s="42">
        <v>2506149</v>
      </c>
      <c r="D27" s="49">
        <v>4.75</v>
      </c>
      <c r="E27" s="49">
        <v>0.27</v>
      </c>
      <c r="F27" s="49">
        <v>1.91</v>
      </c>
      <c r="G27" s="49">
        <v>51.8</v>
      </c>
      <c r="H27" s="49">
        <v>2.23</v>
      </c>
      <c r="I27" s="49">
        <v>2.08</v>
      </c>
      <c r="J27" s="49">
        <f t="shared" si="0"/>
        <v>6.54</v>
      </c>
      <c r="K27" s="42">
        <v>2577692</v>
      </c>
      <c r="L27" s="25">
        <v>4.93</v>
      </c>
      <c r="M27" s="25">
        <v>0.27</v>
      </c>
      <c r="N27" s="25">
        <v>1.85</v>
      </c>
      <c r="O27" s="25">
        <v>51.89898436964922</v>
      </c>
      <c r="P27" s="25">
        <v>2.27</v>
      </c>
      <c r="Q27" s="25">
        <v>2.17</v>
      </c>
      <c r="R27" s="25">
        <f t="shared" si="1"/>
        <v>6.71</v>
      </c>
      <c r="S27" s="42">
        <v>1878406</v>
      </c>
      <c r="T27" s="49">
        <v>5.4</v>
      </c>
      <c r="U27" s="49">
        <v>0.3</v>
      </c>
      <c r="V27" s="49">
        <v>1.84</v>
      </c>
      <c r="W27" s="49">
        <v>51.98</v>
      </c>
      <c r="X27" s="49">
        <v>2.2000000000000002</v>
      </c>
      <c r="Y27" s="49">
        <v>2.13</v>
      </c>
      <c r="Z27" s="49">
        <f t="shared" si="2"/>
        <v>6.53</v>
      </c>
      <c r="AA27" s="42">
        <v>268861</v>
      </c>
      <c r="AB27" s="49">
        <v>84.88</v>
      </c>
      <c r="AC27" s="49">
        <v>0.25</v>
      </c>
      <c r="AD27" s="42">
        <v>529521</v>
      </c>
      <c r="AE27" s="48">
        <v>9.6000000000000002E-2</v>
      </c>
      <c r="AF27" s="49">
        <v>0.05</v>
      </c>
      <c r="AG27" s="50">
        <v>2.2000000000000002</v>
      </c>
      <c r="AH27" s="51">
        <v>22</v>
      </c>
      <c r="AI27" s="49">
        <v>36.6</v>
      </c>
      <c r="AJ27" s="49"/>
      <c r="AK27" s="49">
        <v>50.2</v>
      </c>
      <c r="AL27" s="42">
        <v>44014</v>
      </c>
      <c r="AM27" s="48">
        <v>8.8999999999999996E-2</v>
      </c>
      <c r="AN27" s="49">
        <v>0.04</v>
      </c>
      <c r="AO27" s="50">
        <v>2.2000000000000002</v>
      </c>
      <c r="AP27" s="51">
        <v>22</v>
      </c>
      <c r="AQ27" s="49">
        <v>35.204000000000008</v>
      </c>
      <c r="AR27" s="49"/>
      <c r="AS27" s="49">
        <v>50</v>
      </c>
      <c r="AT27" s="42">
        <v>536860</v>
      </c>
      <c r="AU27" s="48">
        <v>8.1000000000000003E-2</v>
      </c>
      <c r="AV27" s="49">
        <v>7.0000000000000007E-2</v>
      </c>
      <c r="AW27" s="50">
        <v>2.2000000000000002</v>
      </c>
      <c r="AX27" s="51">
        <v>22</v>
      </c>
      <c r="AY27" s="49">
        <v>56.01</v>
      </c>
      <c r="AZ27" s="49"/>
      <c r="BA27" s="50">
        <v>10</v>
      </c>
      <c r="BB27" s="42">
        <v>408650</v>
      </c>
      <c r="BC27" s="48">
        <v>7.0999999999999994E-2</v>
      </c>
      <c r="BD27" s="49">
        <v>0.05</v>
      </c>
      <c r="BE27" s="49">
        <v>2.1</v>
      </c>
      <c r="BF27" s="49">
        <v>21</v>
      </c>
      <c r="BG27" s="49">
        <v>57.65</v>
      </c>
      <c r="BH27" s="49"/>
      <c r="BI27" s="49">
        <v>9</v>
      </c>
      <c r="BJ27" s="24">
        <v>508583</v>
      </c>
      <c r="BK27" s="48">
        <v>6.0999999999999999E-2</v>
      </c>
      <c r="BL27" s="49">
        <v>0.06</v>
      </c>
      <c r="BM27" s="49">
        <v>2.2000000000000002</v>
      </c>
      <c r="BN27" s="49">
        <v>22</v>
      </c>
      <c r="BO27" s="49">
        <v>56.55</v>
      </c>
      <c r="BP27" s="49"/>
      <c r="BQ27" s="49">
        <v>9.8000000000000007</v>
      </c>
      <c r="BR27" s="42">
        <v>510730</v>
      </c>
      <c r="BS27" s="48">
        <v>6.8000000000000005E-2</v>
      </c>
      <c r="BT27" s="49">
        <v>0.06</v>
      </c>
      <c r="BU27" s="49">
        <v>2.2000000000000002</v>
      </c>
      <c r="BV27" s="49">
        <v>22</v>
      </c>
      <c r="BW27" s="49">
        <v>56.8</v>
      </c>
      <c r="BX27" s="49"/>
      <c r="BY27" s="49">
        <v>9.4</v>
      </c>
      <c r="BZ27" s="42">
        <v>26023</v>
      </c>
      <c r="CA27" s="48">
        <v>6.5000000000000002E-2</v>
      </c>
      <c r="CB27" s="49">
        <v>0.06</v>
      </c>
      <c r="CC27" s="49">
        <v>2.2999999999999998</v>
      </c>
      <c r="CD27" s="49">
        <v>23</v>
      </c>
      <c r="CE27" s="49">
        <v>57.5</v>
      </c>
      <c r="CF27" s="49"/>
      <c r="CG27" s="49">
        <v>8.1999999999999993</v>
      </c>
      <c r="CH27" s="42"/>
      <c r="CI27" s="49"/>
      <c r="CJ27" s="49"/>
      <c r="CK27" s="49"/>
      <c r="CL27" s="49"/>
      <c r="CM27" s="49"/>
      <c r="CN27" s="49"/>
      <c r="CO27" s="49"/>
      <c r="CP27" s="42">
        <v>1164563</v>
      </c>
      <c r="CQ27" s="48">
        <v>5.1999999999999998E-2</v>
      </c>
      <c r="CR27" s="49">
        <v>0.05</v>
      </c>
      <c r="CS27" s="50">
        <v>2.1</v>
      </c>
      <c r="CT27" s="51">
        <v>21</v>
      </c>
      <c r="CU27" s="49">
        <v>51.99</v>
      </c>
      <c r="CV27" s="49">
        <v>0.3</v>
      </c>
      <c r="CW27" s="42">
        <v>588903</v>
      </c>
      <c r="CX27" s="33">
        <v>5.3999999999999999E-2</v>
      </c>
      <c r="CY27" s="25">
        <v>0.05</v>
      </c>
      <c r="CZ27" s="34">
        <v>2.2000000000000002</v>
      </c>
      <c r="DA27" s="35">
        <v>22</v>
      </c>
      <c r="DB27" s="25">
        <v>51.85</v>
      </c>
      <c r="DC27" s="25">
        <v>0.3</v>
      </c>
      <c r="DD27" s="42"/>
      <c r="DE27" s="49"/>
      <c r="DF27" s="49"/>
      <c r="DG27" s="49"/>
      <c r="DH27" s="49"/>
      <c r="DI27" s="49"/>
      <c r="DJ27" s="49"/>
      <c r="DK27" s="49"/>
      <c r="DL27" s="56"/>
      <c r="DM27" s="42">
        <v>32951</v>
      </c>
      <c r="DN27" s="33">
        <v>5.8999999999999997E-2</v>
      </c>
      <c r="DO27" s="25">
        <v>0.05</v>
      </c>
      <c r="DP27" s="25">
        <v>2.2999999999999998</v>
      </c>
      <c r="DQ27" s="25">
        <v>23</v>
      </c>
      <c r="DR27" s="25">
        <v>58.9</v>
      </c>
      <c r="DS27" s="25"/>
      <c r="DT27" s="25">
        <v>7.6</v>
      </c>
      <c r="DU27" s="57"/>
      <c r="DV27" s="49"/>
      <c r="DW27" s="49"/>
      <c r="DX27" s="49"/>
      <c r="DY27" s="49"/>
      <c r="DZ27" s="49"/>
      <c r="EA27" s="49"/>
      <c r="EB27" s="49"/>
      <c r="EC27" s="49"/>
      <c r="ED27" s="56"/>
      <c r="EE27" s="42"/>
      <c r="EF27" s="49"/>
      <c r="EG27" s="49"/>
      <c r="EH27" s="49"/>
      <c r="EI27" s="49"/>
      <c r="EJ27" s="49"/>
      <c r="EK27" s="49"/>
      <c r="EL27" s="49"/>
      <c r="EM27" s="58"/>
      <c r="EN27" s="39"/>
      <c r="EO27" s="40">
        <f t="shared" si="4"/>
        <v>46075</v>
      </c>
      <c r="EP27" s="40">
        <v>45978</v>
      </c>
      <c r="EQ27" s="40">
        <v>46074</v>
      </c>
      <c r="ER27" s="40" t="s">
        <v>70</v>
      </c>
      <c r="ES27" s="40">
        <v>45930</v>
      </c>
      <c r="ET27" s="40">
        <v>46055</v>
      </c>
      <c r="EU27" s="40" t="s">
        <v>71</v>
      </c>
      <c r="EV27" s="40">
        <v>45992</v>
      </c>
      <c r="EW27" s="40">
        <v>46029</v>
      </c>
      <c r="EX27" s="40" t="s">
        <v>71</v>
      </c>
      <c r="EY27" s="40">
        <v>45688</v>
      </c>
      <c r="EZ27" s="40">
        <v>46074</v>
      </c>
      <c r="FA27" s="40">
        <v>46038</v>
      </c>
      <c r="FB27" s="40">
        <v>46055</v>
      </c>
      <c r="FC27" s="40">
        <v>46055</v>
      </c>
      <c r="FD27" s="40">
        <v>46055</v>
      </c>
      <c r="FE27" s="40">
        <v>46037</v>
      </c>
      <c r="FF27" s="40">
        <v>46048</v>
      </c>
      <c r="FG27" s="40">
        <v>46041</v>
      </c>
      <c r="FH27" s="40">
        <v>46044</v>
      </c>
      <c r="FI27" s="40">
        <v>46044</v>
      </c>
      <c r="FJ27" s="40">
        <v>46047</v>
      </c>
      <c r="FK27" s="40">
        <v>46047</v>
      </c>
      <c r="FL27" s="40">
        <v>46056</v>
      </c>
      <c r="FM27" s="40">
        <v>46056</v>
      </c>
      <c r="FN27" s="40">
        <v>46056</v>
      </c>
      <c r="FO27" s="40"/>
      <c r="FP27" s="40"/>
      <c r="FQ27" s="40">
        <v>46023</v>
      </c>
      <c r="FR27" s="40">
        <v>46074</v>
      </c>
      <c r="FS27" s="40"/>
      <c r="FT27" s="40">
        <v>46022</v>
      </c>
      <c r="FU27" s="40">
        <v>46074</v>
      </c>
      <c r="FV27" s="40"/>
      <c r="FW27" s="40"/>
      <c r="FX27" s="40"/>
      <c r="FY27" s="40">
        <v>46054</v>
      </c>
      <c r="FZ27" s="40">
        <v>46054</v>
      </c>
      <c r="GA27" s="40"/>
      <c r="GB27" s="40"/>
      <c r="GC27" s="40"/>
      <c r="GD27" s="40"/>
    </row>
    <row r="28" spans="2:186" x14ac:dyDescent="0.35">
      <c r="B28" s="41">
        <f t="shared" si="3"/>
        <v>46076</v>
      </c>
      <c r="C28" s="42">
        <v>2506149</v>
      </c>
      <c r="D28" s="49">
        <v>4.75</v>
      </c>
      <c r="E28" s="49">
        <v>0.27</v>
      </c>
      <c r="F28" s="49">
        <v>1.91</v>
      </c>
      <c r="G28" s="49">
        <v>51.8</v>
      </c>
      <c r="H28" s="49">
        <v>2.23</v>
      </c>
      <c r="I28" s="49">
        <v>2.08</v>
      </c>
      <c r="J28" s="49">
        <f t="shared" si="0"/>
        <v>6.54</v>
      </c>
      <c r="K28" s="42">
        <v>2577692</v>
      </c>
      <c r="L28" s="25">
        <v>4.93</v>
      </c>
      <c r="M28" s="25">
        <v>0.27</v>
      </c>
      <c r="N28" s="25">
        <v>1.85</v>
      </c>
      <c r="O28" s="25">
        <v>51.89898436964922</v>
      </c>
      <c r="P28" s="25">
        <v>2.27</v>
      </c>
      <c r="Q28" s="25">
        <v>2.17</v>
      </c>
      <c r="R28" s="25">
        <f t="shared" si="1"/>
        <v>6.71</v>
      </c>
      <c r="S28" s="42">
        <v>1566606</v>
      </c>
      <c r="T28" s="49">
        <v>5.48</v>
      </c>
      <c r="U28" s="49">
        <v>0.3</v>
      </c>
      <c r="V28" s="49">
        <v>1.84</v>
      </c>
      <c r="W28" s="49">
        <v>51.98</v>
      </c>
      <c r="X28" s="49">
        <v>2.2000000000000002</v>
      </c>
      <c r="Y28" s="49">
        <v>2.13</v>
      </c>
      <c r="Z28" s="49">
        <f t="shared" si="2"/>
        <v>6.53</v>
      </c>
      <c r="AA28" s="42">
        <v>290737</v>
      </c>
      <c r="AB28" s="49">
        <v>84.88</v>
      </c>
      <c r="AC28" s="49">
        <v>0.25</v>
      </c>
      <c r="AD28" s="42">
        <v>529521</v>
      </c>
      <c r="AE28" s="48">
        <v>0.1</v>
      </c>
      <c r="AF28" s="49">
        <v>0.05</v>
      </c>
      <c r="AG28" s="50">
        <v>2.2000000000000002</v>
      </c>
      <c r="AH28" s="51">
        <v>22</v>
      </c>
      <c r="AI28" s="49">
        <v>36.6</v>
      </c>
      <c r="AJ28" s="49"/>
      <c r="AK28" s="49">
        <v>50.2</v>
      </c>
      <c r="AL28" s="42">
        <v>44014</v>
      </c>
      <c r="AM28" s="48">
        <v>9.2999999999999999E-2</v>
      </c>
      <c r="AN28" s="49">
        <v>0.04</v>
      </c>
      <c r="AO28" s="50">
        <v>2.2000000000000002</v>
      </c>
      <c r="AP28" s="51">
        <v>22</v>
      </c>
      <c r="AQ28" s="49">
        <v>35.204000000000008</v>
      </c>
      <c r="AR28" s="49"/>
      <c r="AS28" s="49">
        <v>50</v>
      </c>
      <c r="AT28" s="42">
        <v>536860</v>
      </c>
      <c r="AU28" s="48">
        <v>8.1000000000000003E-2</v>
      </c>
      <c r="AV28" s="49">
        <v>7.0000000000000007E-2</v>
      </c>
      <c r="AW28" s="50">
        <v>2.2000000000000002</v>
      </c>
      <c r="AX28" s="51">
        <v>22</v>
      </c>
      <c r="AY28" s="49">
        <v>56.01</v>
      </c>
      <c r="AZ28" s="49"/>
      <c r="BA28" s="50">
        <v>10</v>
      </c>
      <c r="BB28" s="42">
        <v>408650</v>
      </c>
      <c r="BC28" s="48">
        <v>7.0999999999999994E-2</v>
      </c>
      <c r="BD28" s="49">
        <v>0.05</v>
      </c>
      <c r="BE28" s="49">
        <v>2.1</v>
      </c>
      <c r="BF28" s="49">
        <v>21</v>
      </c>
      <c r="BG28" s="49">
        <v>57.65</v>
      </c>
      <c r="BH28" s="49"/>
      <c r="BI28" s="49">
        <v>9</v>
      </c>
      <c r="BJ28" s="24">
        <v>508583</v>
      </c>
      <c r="BK28" s="48">
        <v>6.3E-2</v>
      </c>
      <c r="BL28" s="49">
        <v>0.06</v>
      </c>
      <c r="BM28" s="49">
        <v>2.2000000000000002</v>
      </c>
      <c r="BN28" s="49">
        <v>22</v>
      </c>
      <c r="BO28" s="49">
        <v>56.55</v>
      </c>
      <c r="BP28" s="49"/>
      <c r="BQ28" s="49">
        <v>9.8000000000000007</v>
      </c>
      <c r="BR28" s="42">
        <v>510730</v>
      </c>
      <c r="BS28" s="48">
        <v>6.8000000000000005E-2</v>
      </c>
      <c r="BT28" s="49">
        <v>0.06</v>
      </c>
      <c r="BU28" s="49">
        <v>2.2000000000000002</v>
      </c>
      <c r="BV28" s="49">
        <v>22</v>
      </c>
      <c r="BW28" s="49">
        <v>56.8</v>
      </c>
      <c r="BX28" s="49"/>
      <c r="BY28" s="49">
        <v>9.4</v>
      </c>
      <c r="BZ28" s="42">
        <v>26023</v>
      </c>
      <c r="CA28" s="48">
        <v>6.5000000000000002E-2</v>
      </c>
      <c r="CB28" s="49">
        <v>0.06</v>
      </c>
      <c r="CC28" s="49">
        <v>2.2999999999999998</v>
      </c>
      <c r="CD28" s="49">
        <v>23</v>
      </c>
      <c r="CE28" s="49">
        <v>57.5</v>
      </c>
      <c r="CF28" s="49"/>
      <c r="CG28" s="49">
        <v>8.1999999999999993</v>
      </c>
      <c r="CH28" s="42"/>
      <c r="CI28" s="49"/>
      <c r="CJ28" s="49"/>
      <c r="CK28" s="49"/>
      <c r="CL28" s="49"/>
      <c r="CM28" s="49"/>
      <c r="CN28" s="49"/>
      <c r="CO28" s="49"/>
      <c r="CP28" s="42">
        <v>1164563</v>
      </c>
      <c r="CQ28" s="48">
        <v>5.0999999999999997E-2</v>
      </c>
      <c r="CR28" s="49">
        <v>0.04</v>
      </c>
      <c r="CS28" s="50">
        <v>2.1</v>
      </c>
      <c r="CT28" s="51">
        <v>21</v>
      </c>
      <c r="CU28" s="49">
        <v>52.3</v>
      </c>
      <c r="CV28" s="49">
        <v>0.99</v>
      </c>
      <c r="CW28" s="42">
        <v>858893</v>
      </c>
      <c r="CX28" s="48">
        <v>0.05</v>
      </c>
      <c r="CY28" s="49">
        <v>0.04</v>
      </c>
      <c r="CZ28" s="50">
        <v>2.1</v>
      </c>
      <c r="DA28" s="51">
        <v>21</v>
      </c>
      <c r="DB28" s="25">
        <v>51.85</v>
      </c>
      <c r="DC28" s="25">
        <v>0.3</v>
      </c>
      <c r="DD28" s="42"/>
      <c r="DE28" s="49"/>
      <c r="DF28" s="49"/>
      <c r="DG28" s="49"/>
      <c r="DH28" s="49"/>
      <c r="DI28" s="49"/>
      <c r="DJ28" s="49"/>
      <c r="DK28" s="49"/>
      <c r="DL28" s="56"/>
      <c r="DM28" s="42">
        <v>32951</v>
      </c>
      <c r="DN28" s="33">
        <v>5.8999999999999997E-2</v>
      </c>
      <c r="DO28" s="25">
        <v>0.05</v>
      </c>
      <c r="DP28" s="25">
        <v>2.2999999999999998</v>
      </c>
      <c r="DQ28" s="25">
        <v>23</v>
      </c>
      <c r="DR28" s="25">
        <v>58.9</v>
      </c>
      <c r="DS28" s="25"/>
      <c r="DT28" s="25">
        <v>7.6</v>
      </c>
      <c r="DU28" s="57"/>
      <c r="DV28" s="49"/>
      <c r="DW28" s="49"/>
      <c r="DX28" s="49"/>
      <c r="DY28" s="49"/>
      <c r="DZ28" s="49"/>
      <c r="EA28" s="49"/>
      <c r="EB28" s="49"/>
      <c r="EC28" s="49"/>
      <c r="ED28" s="56"/>
      <c r="EE28" s="42"/>
      <c r="EF28" s="49"/>
      <c r="EG28" s="49"/>
      <c r="EH28" s="49"/>
      <c r="EI28" s="49"/>
      <c r="EJ28" s="49"/>
      <c r="EK28" s="49"/>
      <c r="EL28" s="49"/>
      <c r="EM28" s="58"/>
      <c r="EN28" s="39"/>
      <c r="EO28" s="40">
        <f t="shared" si="4"/>
        <v>46076</v>
      </c>
      <c r="EP28" s="40">
        <v>45978</v>
      </c>
      <c r="EQ28" s="40">
        <v>46074</v>
      </c>
      <c r="ER28" s="40" t="s">
        <v>70</v>
      </c>
      <c r="ES28" s="40">
        <v>45930</v>
      </c>
      <c r="ET28" s="40">
        <v>46055</v>
      </c>
      <c r="EU28" s="40" t="s">
        <v>71</v>
      </c>
      <c r="EV28" s="40">
        <v>45992</v>
      </c>
      <c r="EW28" s="40">
        <v>46029</v>
      </c>
      <c r="EX28" s="40" t="s">
        <v>71</v>
      </c>
      <c r="EY28" s="40">
        <v>45688</v>
      </c>
      <c r="EZ28" s="40">
        <v>46075</v>
      </c>
      <c r="FA28" s="40">
        <v>46038</v>
      </c>
      <c r="FB28" s="40">
        <v>46055</v>
      </c>
      <c r="FC28" s="40">
        <v>46055</v>
      </c>
      <c r="FD28" s="40">
        <v>46055</v>
      </c>
      <c r="FE28" s="40">
        <v>46037</v>
      </c>
      <c r="FF28" s="40">
        <v>46048</v>
      </c>
      <c r="FG28" s="40">
        <v>46041</v>
      </c>
      <c r="FH28" s="40">
        <v>46044</v>
      </c>
      <c r="FI28" s="40">
        <v>46044</v>
      </c>
      <c r="FJ28" s="40">
        <v>46047</v>
      </c>
      <c r="FK28" s="40">
        <v>46047</v>
      </c>
      <c r="FL28" s="40">
        <v>46056</v>
      </c>
      <c r="FM28" s="40">
        <v>46056</v>
      </c>
      <c r="FN28" s="40">
        <v>46056</v>
      </c>
      <c r="FO28" s="40"/>
      <c r="FP28" s="40"/>
      <c r="FQ28" s="40">
        <v>46023</v>
      </c>
      <c r="FR28" s="40">
        <v>46074</v>
      </c>
      <c r="FS28" s="40"/>
      <c r="FT28" s="40">
        <v>46022</v>
      </c>
      <c r="FU28" s="40">
        <v>46075</v>
      </c>
      <c r="FV28" s="40"/>
      <c r="FW28" s="40"/>
      <c r="FX28" s="40"/>
      <c r="FY28" s="40">
        <v>46054</v>
      </c>
      <c r="FZ28" s="40">
        <v>46054</v>
      </c>
      <c r="GA28" s="40"/>
      <c r="GB28" s="40"/>
      <c r="GC28" s="40"/>
      <c r="GD28" s="40"/>
    </row>
    <row r="29" spans="2:186" x14ac:dyDescent="0.35">
      <c r="B29" s="41">
        <f t="shared" si="3"/>
        <v>46077</v>
      </c>
      <c r="C29" s="42">
        <v>2506149</v>
      </c>
      <c r="D29" s="49">
        <v>4.7699999999999996</v>
      </c>
      <c r="E29" s="49">
        <v>0.27</v>
      </c>
      <c r="F29" s="49">
        <v>1.91</v>
      </c>
      <c r="G29" s="49">
        <v>51.8</v>
      </c>
      <c r="H29" s="49">
        <v>2.23</v>
      </c>
      <c r="I29" s="49">
        <v>2.08</v>
      </c>
      <c r="J29" s="49">
        <f t="shared" si="0"/>
        <v>6.54</v>
      </c>
      <c r="K29" s="42">
        <v>2577692</v>
      </c>
      <c r="L29" s="25">
        <v>4.93</v>
      </c>
      <c r="M29" s="25">
        <v>0.27</v>
      </c>
      <c r="N29" s="25">
        <v>1.85</v>
      </c>
      <c r="O29" s="25">
        <v>51.89898436964922</v>
      </c>
      <c r="P29" s="25">
        <v>2.27</v>
      </c>
      <c r="Q29" s="25">
        <v>2.17</v>
      </c>
      <c r="R29" s="25">
        <f t="shared" si="1"/>
        <v>6.71</v>
      </c>
      <c r="S29" s="42">
        <v>1555586</v>
      </c>
      <c r="T29" s="49">
        <v>5.5</v>
      </c>
      <c r="U29" s="49">
        <v>0.3</v>
      </c>
      <c r="V29" s="49">
        <v>1.84</v>
      </c>
      <c r="W29" s="49">
        <v>51.98</v>
      </c>
      <c r="X29" s="49">
        <v>2.2000000000000002</v>
      </c>
      <c r="Y29" s="49">
        <v>2.13</v>
      </c>
      <c r="Z29" s="49">
        <f t="shared" si="2"/>
        <v>6.53</v>
      </c>
      <c r="AA29" s="42">
        <v>308299</v>
      </c>
      <c r="AB29" s="49">
        <v>84.88</v>
      </c>
      <c r="AC29" s="49">
        <v>0.31</v>
      </c>
      <c r="AD29" s="42">
        <v>529521</v>
      </c>
      <c r="AE29" s="48">
        <v>0.10299999999999999</v>
      </c>
      <c r="AF29" s="49">
        <v>0.05</v>
      </c>
      <c r="AG29" s="50">
        <v>2.2000000000000002</v>
      </c>
      <c r="AH29" s="51">
        <v>22</v>
      </c>
      <c r="AI29" s="49">
        <v>36.6</v>
      </c>
      <c r="AJ29" s="49"/>
      <c r="AK29" s="49">
        <v>50.2</v>
      </c>
      <c r="AL29" s="42">
        <v>44014</v>
      </c>
      <c r="AM29" s="48">
        <v>9.5000000000000001E-2</v>
      </c>
      <c r="AN29" s="49">
        <v>0.04</v>
      </c>
      <c r="AO29" s="50">
        <v>2.2000000000000002</v>
      </c>
      <c r="AP29" s="51">
        <v>22</v>
      </c>
      <c r="AQ29" s="49">
        <v>35.204000000000008</v>
      </c>
      <c r="AR29" s="49"/>
      <c r="AS29" s="49">
        <v>50</v>
      </c>
      <c r="AT29" s="42">
        <v>536860</v>
      </c>
      <c r="AU29" s="48">
        <v>8.2000000000000003E-2</v>
      </c>
      <c r="AV29" s="49">
        <v>7.0000000000000007E-2</v>
      </c>
      <c r="AW29" s="50">
        <v>2.2000000000000002</v>
      </c>
      <c r="AX29" s="51">
        <v>22</v>
      </c>
      <c r="AY29" s="49">
        <v>56.01</v>
      </c>
      <c r="AZ29" s="49"/>
      <c r="BA29" s="50">
        <v>10</v>
      </c>
      <c r="BB29" s="42">
        <v>408650</v>
      </c>
      <c r="BC29" s="48">
        <v>7.1999999999999995E-2</v>
      </c>
      <c r="BD29" s="49">
        <v>0.05</v>
      </c>
      <c r="BE29" s="49">
        <v>2.1</v>
      </c>
      <c r="BF29" s="49">
        <v>21</v>
      </c>
      <c r="BG29" s="49">
        <v>57.65</v>
      </c>
      <c r="BH29" s="49"/>
      <c r="BI29" s="49">
        <v>9</v>
      </c>
      <c r="BJ29" s="24">
        <v>508583</v>
      </c>
      <c r="BK29" s="48">
        <v>6.4000000000000001E-2</v>
      </c>
      <c r="BL29" s="49">
        <v>0.06</v>
      </c>
      <c r="BM29" s="49">
        <v>2.2000000000000002</v>
      </c>
      <c r="BN29" s="49">
        <v>22</v>
      </c>
      <c r="BO29" s="49">
        <v>56.55</v>
      </c>
      <c r="BP29" s="49"/>
      <c r="BQ29" s="49">
        <v>9.8000000000000007</v>
      </c>
      <c r="BR29" s="42">
        <v>510730</v>
      </c>
      <c r="BS29" s="48">
        <v>6.9000000000000006E-2</v>
      </c>
      <c r="BT29" s="49">
        <v>0.06</v>
      </c>
      <c r="BU29" s="49">
        <v>2.2000000000000002</v>
      </c>
      <c r="BV29" s="49">
        <v>22</v>
      </c>
      <c r="BW29" s="49">
        <v>56.8</v>
      </c>
      <c r="BX29" s="49"/>
      <c r="BY29" s="49">
        <v>9.4</v>
      </c>
      <c r="BZ29" s="42">
        <v>26023</v>
      </c>
      <c r="CA29" s="48">
        <v>6.5000000000000002E-2</v>
      </c>
      <c r="CB29" s="49">
        <v>0.06</v>
      </c>
      <c r="CC29" s="49">
        <v>2.2999999999999998</v>
      </c>
      <c r="CD29" s="49">
        <v>23</v>
      </c>
      <c r="CE29" s="49">
        <v>57.5</v>
      </c>
      <c r="CF29" s="49"/>
      <c r="CG29" s="49">
        <v>8.1999999999999993</v>
      </c>
      <c r="CH29" s="42"/>
      <c r="CI29" s="49"/>
      <c r="CJ29" s="49"/>
      <c r="CK29" s="49"/>
      <c r="CL29" s="49"/>
      <c r="CM29" s="49"/>
      <c r="CN29" s="49"/>
      <c r="CO29" s="49"/>
      <c r="CP29" s="42">
        <v>1164563</v>
      </c>
      <c r="CQ29" s="48">
        <v>5.0999999999999997E-2</v>
      </c>
      <c r="CR29" s="49">
        <v>0.04</v>
      </c>
      <c r="CS29" s="50">
        <v>2.1</v>
      </c>
      <c r="CT29" s="51">
        <v>21</v>
      </c>
      <c r="CU29" s="49">
        <v>52.3</v>
      </c>
      <c r="CV29" s="49">
        <v>0.99</v>
      </c>
      <c r="CW29" s="42">
        <v>939583</v>
      </c>
      <c r="CX29" s="48">
        <v>4.4999999999999998E-2</v>
      </c>
      <c r="CY29" s="49">
        <v>0.04</v>
      </c>
      <c r="CZ29" s="50">
        <v>2.2000000000000002</v>
      </c>
      <c r="DA29" s="51">
        <v>22</v>
      </c>
      <c r="DB29" s="25">
        <v>52.5</v>
      </c>
      <c r="DC29" s="25">
        <v>0.3</v>
      </c>
      <c r="DD29" s="42"/>
      <c r="DE29" s="49"/>
      <c r="DF29" s="49"/>
      <c r="DG29" s="49"/>
      <c r="DH29" s="49"/>
      <c r="DI29" s="49"/>
      <c r="DJ29" s="49"/>
      <c r="DK29" s="49"/>
      <c r="DL29" s="56"/>
      <c r="DM29" s="42">
        <v>32951</v>
      </c>
      <c r="DN29" s="33">
        <v>5.8999999999999997E-2</v>
      </c>
      <c r="DO29" s="25">
        <v>0.05</v>
      </c>
      <c r="DP29" s="25">
        <v>2.2999999999999998</v>
      </c>
      <c r="DQ29" s="25">
        <v>23</v>
      </c>
      <c r="DR29" s="25">
        <v>58.9</v>
      </c>
      <c r="DS29" s="25"/>
      <c r="DT29" s="25">
        <v>7.6</v>
      </c>
      <c r="DU29" s="57"/>
      <c r="DV29" s="49"/>
      <c r="DW29" s="49"/>
      <c r="DX29" s="49"/>
      <c r="DY29" s="49"/>
      <c r="DZ29" s="49"/>
      <c r="EA29" s="49"/>
      <c r="EB29" s="49"/>
      <c r="EC29" s="49"/>
      <c r="ED29" s="56"/>
      <c r="EE29" s="42"/>
      <c r="EF29" s="49"/>
      <c r="EG29" s="49"/>
      <c r="EH29" s="49"/>
      <c r="EI29" s="49"/>
      <c r="EJ29" s="49"/>
      <c r="EK29" s="49"/>
      <c r="EL29" s="49"/>
      <c r="EM29" s="58"/>
      <c r="EN29" s="39"/>
      <c r="EO29" s="40">
        <f t="shared" si="4"/>
        <v>46077</v>
      </c>
      <c r="EP29" s="40">
        <v>45978</v>
      </c>
      <c r="EQ29" s="40">
        <v>46074</v>
      </c>
      <c r="ER29" s="40" t="s">
        <v>70</v>
      </c>
      <c r="ES29" s="40">
        <v>45930</v>
      </c>
      <c r="ET29" s="40">
        <v>46055</v>
      </c>
      <c r="EU29" s="40" t="s">
        <v>71</v>
      </c>
      <c r="EV29" s="40">
        <v>45992</v>
      </c>
      <c r="EW29" s="40">
        <v>46076</v>
      </c>
      <c r="EX29" s="40" t="s">
        <v>71</v>
      </c>
      <c r="EY29" s="40">
        <v>45688</v>
      </c>
      <c r="EZ29" s="40">
        <v>46076</v>
      </c>
      <c r="FA29" s="40">
        <v>46038</v>
      </c>
      <c r="FB29" s="40">
        <v>46055</v>
      </c>
      <c r="FC29" s="40">
        <v>46055</v>
      </c>
      <c r="FD29" s="40">
        <v>46055</v>
      </c>
      <c r="FE29" s="40">
        <v>46037</v>
      </c>
      <c r="FF29" s="40">
        <v>46048</v>
      </c>
      <c r="FG29" s="40">
        <v>46041</v>
      </c>
      <c r="FH29" s="40">
        <v>46044</v>
      </c>
      <c r="FI29" s="40">
        <v>46044</v>
      </c>
      <c r="FJ29" s="40">
        <v>46047</v>
      </c>
      <c r="FK29" s="40">
        <v>46047</v>
      </c>
      <c r="FL29" s="40">
        <v>46056</v>
      </c>
      <c r="FM29" s="40">
        <v>46056</v>
      </c>
      <c r="FN29" s="40">
        <v>46056</v>
      </c>
      <c r="FO29" s="40"/>
      <c r="FP29" s="40"/>
      <c r="FQ29" s="40">
        <v>46023</v>
      </c>
      <c r="FR29" s="40">
        <v>46074</v>
      </c>
      <c r="FS29" s="40"/>
      <c r="FT29" s="40">
        <v>46022</v>
      </c>
      <c r="FU29" s="40">
        <v>46076</v>
      </c>
      <c r="FV29" s="40"/>
      <c r="FW29" s="40"/>
      <c r="FX29" s="40"/>
      <c r="FY29" s="40">
        <v>46054</v>
      </c>
      <c r="FZ29" s="40">
        <v>46054</v>
      </c>
      <c r="GA29" s="40"/>
      <c r="GB29" s="40"/>
      <c r="GC29" s="40"/>
      <c r="GD29" s="40"/>
    </row>
    <row r="30" spans="2:186" x14ac:dyDescent="0.35">
      <c r="B30" s="41">
        <f t="shared" si="3"/>
        <v>46078</v>
      </c>
      <c r="C30" s="42">
        <v>2506149</v>
      </c>
      <c r="D30" s="49">
        <v>4.84</v>
      </c>
      <c r="E30" s="49">
        <v>0.27</v>
      </c>
      <c r="F30" s="49">
        <v>1.87</v>
      </c>
      <c r="G30" s="49">
        <v>51.72</v>
      </c>
      <c r="H30" s="49">
        <v>2.4500000000000002</v>
      </c>
      <c r="I30" s="49">
        <v>2.2200000000000002</v>
      </c>
      <c r="J30" s="49">
        <f t="shared" si="0"/>
        <v>7.120000000000001</v>
      </c>
      <c r="K30" s="42">
        <v>2577692</v>
      </c>
      <c r="L30" s="25">
        <v>4.99</v>
      </c>
      <c r="M30" s="25">
        <v>0.27</v>
      </c>
      <c r="N30" s="25">
        <v>1.85</v>
      </c>
      <c r="O30" s="25">
        <v>51.89898436964922</v>
      </c>
      <c r="P30" s="25">
        <v>2.48</v>
      </c>
      <c r="Q30" s="25">
        <v>2.25</v>
      </c>
      <c r="R30" s="25">
        <f t="shared" si="1"/>
        <v>7.21</v>
      </c>
      <c r="S30" s="42">
        <v>1670226</v>
      </c>
      <c r="T30" s="49">
        <v>5.54</v>
      </c>
      <c r="U30" s="49">
        <v>0.25</v>
      </c>
      <c r="V30" s="49">
        <v>1.8</v>
      </c>
      <c r="W30" s="49">
        <v>51.9</v>
      </c>
      <c r="X30" s="49">
        <v>2.5</v>
      </c>
      <c r="Y30" s="49">
        <v>2.2400000000000002</v>
      </c>
      <c r="Z30" s="49">
        <f t="shared" si="2"/>
        <v>7.24</v>
      </c>
      <c r="AA30" s="42">
        <v>328064</v>
      </c>
      <c r="AB30" s="49">
        <v>84.88</v>
      </c>
      <c r="AC30" s="49">
        <v>0.31</v>
      </c>
      <c r="AD30" s="42">
        <v>529521</v>
      </c>
      <c r="AE30" s="48">
        <v>0.10299999999999999</v>
      </c>
      <c r="AF30" s="49">
        <v>0.05</v>
      </c>
      <c r="AG30" s="50">
        <v>2.2000000000000002</v>
      </c>
      <c r="AH30" s="51">
        <v>22</v>
      </c>
      <c r="AI30" s="49">
        <v>36.6</v>
      </c>
      <c r="AJ30" s="49"/>
      <c r="AK30" s="49">
        <v>50.2</v>
      </c>
      <c r="AL30" s="42">
        <v>44014</v>
      </c>
      <c r="AM30" s="48">
        <v>9.5000000000000001E-2</v>
      </c>
      <c r="AN30" s="49">
        <v>0.04</v>
      </c>
      <c r="AO30" s="50">
        <v>2.2000000000000002</v>
      </c>
      <c r="AP30" s="51">
        <v>22</v>
      </c>
      <c r="AQ30" s="49">
        <v>35.204000000000008</v>
      </c>
      <c r="AR30" s="49"/>
      <c r="AS30" s="49">
        <v>50</v>
      </c>
      <c r="AT30" s="42">
        <v>536860</v>
      </c>
      <c r="AU30" s="48">
        <v>8.2000000000000003E-2</v>
      </c>
      <c r="AV30" s="49">
        <v>7.0000000000000007E-2</v>
      </c>
      <c r="AW30" s="50">
        <v>2.2000000000000002</v>
      </c>
      <c r="AX30" s="51">
        <v>22</v>
      </c>
      <c r="AY30" s="49">
        <v>56.01</v>
      </c>
      <c r="AZ30" s="49"/>
      <c r="BA30" s="50">
        <v>10</v>
      </c>
      <c r="BB30" s="42">
        <v>408650</v>
      </c>
      <c r="BC30" s="48">
        <v>7.1999999999999995E-2</v>
      </c>
      <c r="BD30" s="49">
        <v>0.05</v>
      </c>
      <c r="BE30" s="49">
        <v>2.1</v>
      </c>
      <c r="BF30" s="49">
        <v>21</v>
      </c>
      <c r="BG30" s="49">
        <v>57.65</v>
      </c>
      <c r="BH30" s="49"/>
      <c r="BI30" s="49">
        <v>9</v>
      </c>
      <c r="BJ30" s="24">
        <v>508583</v>
      </c>
      <c r="BK30" s="48">
        <v>6.4000000000000001E-2</v>
      </c>
      <c r="BL30" s="49">
        <v>0.06</v>
      </c>
      <c r="BM30" s="49">
        <v>2.2000000000000002</v>
      </c>
      <c r="BN30" s="49">
        <v>22</v>
      </c>
      <c r="BO30" s="49">
        <v>56.55</v>
      </c>
      <c r="BP30" s="49"/>
      <c r="BQ30" s="49">
        <v>9.8000000000000007</v>
      </c>
      <c r="BR30" s="42">
        <v>510730</v>
      </c>
      <c r="BS30" s="48">
        <v>6.9000000000000006E-2</v>
      </c>
      <c r="BT30" s="49">
        <v>0.06</v>
      </c>
      <c r="BU30" s="49">
        <v>2.2000000000000002</v>
      </c>
      <c r="BV30" s="49">
        <v>22</v>
      </c>
      <c r="BW30" s="49">
        <v>56.8</v>
      </c>
      <c r="BX30" s="49"/>
      <c r="BY30" s="49">
        <v>9.4</v>
      </c>
      <c r="BZ30" s="42">
        <v>26023</v>
      </c>
      <c r="CA30" s="48">
        <v>6.5000000000000002E-2</v>
      </c>
      <c r="CB30" s="49">
        <v>0.06</v>
      </c>
      <c r="CC30" s="49">
        <v>2.2999999999999998</v>
      </c>
      <c r="CD30" s="49">
        <v>23</v>
      </c>
      <c r="CE30" s="49">
        <v>57.5</v>
      </c>
      <c r="CF30" s="49"/>
      <c r="CG30" s="49">
        <v>8.1999999999999993</v>
      </c>
      <c r="CH30" s="42"/>
      <c r="CI30" s="49"/>
      <c r="CJ30" s="49"/>
      <c r="CK30" s="49"/>
      <c r="CL30" s="49"/>
      <c r="CM30" s="49"/>
      <c r="CN30" s="49"/>
      <c r="CO30" s="49"/>
      <c r="CP30" s="42">
        <v>1164563</v>
      </c>
      <c r="CQ30" s="48">
        <v>5.2999999999999999E-2</v>
      </c>
      <c r="CR30" s="49">
        <v>0.04</v>
      </c>
      <c r="CS30" s="50">
        <v>2.1</v>
      </c>
      <c r="CT30" s="51">
        <v>21</v>
      </c>
      <c r="CU30" s="49">
        <v>52.3</v>
      </c>
      <c r="CV30" s="49">
        <v>0.99</v>
      </c>
      <c r="CW30" s="42">
        <v>961820</v>
      </c>
      <c r="CX30" s="48">
        <v>4.4999999999999998E-2</v>
      </c>
      <c r="CY30" s="49">
        <v>0.04</v>
      </c>
      <c r="CZ30" s="50">
        <v>2.2000000000000002</v>
      </c>
      <c r="DA30" s="51">
        <v>22</v>
      </c>
      <c r="DB30" s="25">
        <v>52.5</v>
      </c>
      <c r="DC30" s="25">
        <v>0.3</v>
      </c>
      <c r="DD30" s="42"/>
      <c r="DE30" s="49"/>
      <c r="DF30" s="49"/>
      <c r="DG30" s="49"/>
      <c r="DH30" s="49"/>
      <c r="DI30" s="49"/>
      <c r="DJ30" s="49"/>
      <c r="DK30" s="49"/>
      <c r="DL30" s="56"/>
      <c r="DM30" s="42">
        <v>32951</v>
      </c>
      <c r="DN30" s="33">
        <v>5.8999999999999997E-2</v>
      </c>
      <c r="DO30" s="25">
        <v>0.05</v>
      </c>
      <c r="DP30" s="25">
        <v>2.2999999999999998</v>
      </c>
      <c r="DQ30" s="25">
        <v>23</v>
      </c>
      <c r="DR30" s="25">
        <v>58.9</v>
      </c>
      <c r="DS30" s="25"/>
      <c r="DT30" s="25">
        <v>7.6</v>
      </c>
      <c r="DU30" s="57"/>
      <c r="DV30" s="49"/>
      <c r="DW30" s="49"/>
      <c r="DX30" s="49"/>
      <c r="DY30" s="49"/>
      <c r="DZ30" s="49"/>
      <c r="EA30" s="49"/>
      <c r="EB30" s="49"/>
      <c r="EC30" s="49"/>
      <c r="ED30" s="56"/>
      <c r="EE30" s="42"/>
      <c r="EF30" s="49"/>
      <c r="EG30" s="49"/>
      <c r="EH30" s="49"/>
      <c r="EI30" s="49"/>
      <c r="EJ30" s="49"/>
      <c r="EK30" s="49"/>
      <c r="EL30" s="49"/>
      <c r="EM30" s="58"/>
      <c r="EN30" s="39"/>
      <c r="EO30" s="40">
        <f t="shared" si="4"/>
        <v>46078</v>
      </c>
      <c r="EP30" s="40">
        <v>45978</v>
      </c>
      <c r="EQ30" s="40">
        <v>46074</v>
      </c>
      <c r="ER30" s="40" t="s">
        <v>70</v>
      </c>
      <c r="ES30" s="40">
        <v>45930</v>
      </c>
      <c r="ET30" s="40">
        <v>46055</v>
      </c>
      <c r="EU30" s="40" t="s">
        <v>71</v>
      </c>
      <c r="EV30" s="40">
        <v>45992</v>
      </c>
      <c r="EW30" s="40">
        <v>46077</v>
      </c>
      <c r="EX30" s="40" t="s">
        <v>71</v>
      </c>
      <c r="EY30" s="40">
        <v>45688</v>
      </c>
      <c r="EZ30" s="40">
        <v>46077</v>
      </c>
      <c r="FA30" s="40">
        <v>46038</v>
      </c>
      <c r="FB30" s="40">
        <v>46055</v>
      </c>
      <c r="FC30" s="40">
        <v>46055</v>
      </c>
      <c r="FD30" s="40">
        <v>46055</v>
      </c>
      <c r="FE30" s="40">
        <v>46037</v>
      </c>
      <c r="FF30" s="40">
        <v>46048</v>
      </c>
      <c r="FG30" s="40">
        <v>46041</v>
      </c>
      <c r="FH30" s="40">
        <v>46044</v>
      </c>
      <c r="FI30" s="40">
        <v>46044</v>
      </c>
      <c r="FJ30" s="40">
        <v>46047</v>
      </c>
      <c r="FK30" s="40">
        <v>46047</v>
      </c>
      <c r="FL30" s="40">
        <v>46056</v>
      </c>
      <c r="FM30" s="40">
        <v>46056</v>
      </c>
      <c r="FN30" s="40">
        <v>46056</v>
      </c>
      <c r="FO30" s="40"/>
      <c r="FP30" s="40"/>
      <c r="FQ30" s="40">
        <v>46023</v>
      </c>
      <c r="FR30" s="40">
        <v>46074</v>
      </c>
      <c r="FS30" s="40"/>
      <c r="FT30" s="40">
        <v>46022</v>
      </c>
      <c r="FU30" s="40">
        <v>46077</v>
      </c>
      <c r="FV30" s="40"/>
      <c r="FW30" s="40"/>
      <c r="FX30" s="40"/>
      <c r="FY30" s="40">
        <v>46054</v>
      </c>
      <c r="FZ30" s="40">
        <v>46054</v>
      </c>
      <c r="GA30" s="40"/>
      <c r="GB30" s="40"/>
      <c r="GC30" s="40"/>
      <c r="GD30" s="40"/>
    </row>
    <row r="31" spans="2:186" x14ac:dyDescent="0.35">
      <c r="B31" s="41">
        <f t="shared" si="3"/>
        <v>46079</v>
      </c>
      <c r="C31" s="42">
        <v>2506149</v>
      </c>
      <c r="D31" s="49">
        <v>4.87</v>
      </c>
      <c r="E31" s="49">
        <v>0.27</v>
      </c>
      <c r="F31" s="49">
        <v>1.87</v>
      </c>
      <c r="G31" s="49">
        <v>51.72</v>
      </c>
      <c r="H31" s="49">
        <v>2.4500000000000002</v>
      </c>
      <c r="I31" s="49">
        <v>2.2200000000000002</v>
      </c>
      <c r="J31" s="49">
        <f t="shared" si="0"/>
        <v>7.120000000000001</v>
      </c>
      <c r="K31" s="42">
        <v>2577692</v>
      </c>
      <c r="L31" s="25">
        <v>4.99</v>
      </c>
      <c r="M31" s="25">
        <v>0.27</v>
      </c>
      <c r="N31" s="25">
        <v>1.85</v>
      </c>
      <c r="O31" s="25">
        <v>51.89898436964922</v>
      </c>
      <c r="P31" s="25">
        <v>2.48</v>
      </c>
      <c r="Q31" s="25">
        <v>2.25</v>
      </c>
      <c r="R31" s="25">
        <f t="shared" si="1"/>
        <v>7.21</v>
      </c>
      <c r="S31" s="42">
        <v>1784976</v>
      </c>
      <c r="T31" s="49">
        <v>5.4754619894048995</v>
      </c>
      <c r="U31" s="49">
        <v>0.25417450990937696</v>
      </c>
      <c r="V31" s="49">
        <v>1.8067530319735392</v>
      </c>
      <c r="W31" s="49">
        <v>51.9</v>
      </c>
      <c r="X31" s="49">
        <v>2.5</v>
      </c>
      <c r="Y31" s="49">
        <v>2.2400000000000002</v>
      </c>
      <c r="Z31" s="49">
        <f t="shared" si="2"/>
        <v>7.24</v>
      </c>
      <c r="AA31" s="42">
        <v>328064</v>
      </c>
      <c r="AB31" s="49">
        <v>84.88</v>
      </c>
      <c r="AC31" s="49">
        <v>0.31</v>
      </c>
      <c r="AD31" s="42">
        <v>529521</v>
      </c>
      <c r="AE31" s="48">
        <v>0.105</v>
      </c>
      <c r="AF31" s="49">
        <v>0.05</v>
      </c>
      <c r="AG31" s="50">
        <v>2.2000000000000002</v>
      </c>
      <c r="AH31" s="51">
        <v>22</v>
      </c>
      <c r="AI31" s="49">
        <v>36.6</v>
      </c>
      <c r="AJ31" s="49"/>
      <c r="AK31" s="49">
        <v>50.2</v>
      </c>
      <c r="AL31" s="42">
        <v>44014</v>
      </c>
      <c r="AM31" s="48">
        <v>9.5000000000000001E-2</v>
      </c>
      <c r="AN31" s="49">
        <v>0.04</v>
      </c>
      <c r="AO31" s="50">
        <v>2.2000000000000002</v>
      </c>
      <c r="AP31" s="51">
        <v>22</v>
      </c>
      <c r="AQ31" s="49">
        <v>35.204000000000008</v>
      </c>
      <c r="AR31" s="49"/>
      <c r="AS31" s="49">
        <v>50</v>
      </c>
      <c r="AT31" s="42">
        <v>536860</v>
      </c>
      <c r="AU31" s="48">
        <v>8.2000000000000003E-2</v>
      </c>
      <c r="AV31" s="49">
        <v>7.0000000000000007E-2</v>
      </c>
      <c r="AW31" s="50">
        <v>2.2000000000000002</v>
      </c>
      <c r="AX31" s="51">
        <v>22</v>
      </c>
      <c r="AY31" s="49">
        <v>56.01</v>
      </c>
      <c r="AZ31" s="49"/>
      <c r="BA31" s="50">
        <v>10</v>
      </c>
      <c r="BB31" s="42">
        <v>390600</v>
      </c>
      <c r="BC31" s="48">
        <v>7.1999999999999995E-2</v>
      </c>
      <c r="BD31" s="49">
        <v>0.05</v>
      </c>
      <c r="BE31" s="49">
        <v>2.1</v>
      </c>
      <c r="BF31" s="49">
        <v>21</v>
      </c>
      <c r="BG31" s="49">
        <v>57.65</v>
      </c>
      <c r="BH31" s="49"/>
      <c r="BI31" s="49">
        <v>9</v>
      </c>
      <c r="BJ31" s="24">
        <v>508583</v>
      </c>
      <c r="BK31" s="48">
        <v>6.4000000000000001E-2</v>
      </c>
      <c r="BL31" s="49">
        <v>0.06</v>
      </c>
      <c r="BM31" s="49">
        <v>2.2000000000000002</v>
      </c>
      <c r="BN31" s="49">
        <v>22</v>
      </c>
      <c r="BO31" s="49">
        <v>56.55</v>
      </c>
      <c r="BP31" s="49"/>
      <c r="BQ31" s="49">
        <v>9.8000000000000007</v>
      </c>
      <c r="BR31" s="42">
        <v>510730</v>
      </c>
      <c r="BS31" s="48">
        <v>6.9000000000000006E-2</v>
      </c>
      <c r="BT31" s="49">
        <v>0.06</v>
      </c>
      <c r="BU31" s="49">
        <v>2.2000000000000002</v>
      </c>
      <c r="BV31" s="49">
        <v>22</v>
      </c>
      <c r="BW31" s="49">
        <v>56.8</v>
      </c>
      <c r="BX31" s="49"/>
      <c r="BY31" s="49">
        <v>9.4</v>
      </c>
      <c r="BZ31" s="42">
        <v>26023</v>
      </c>
      <c r="CA31" s="48">
        <v>6.5000000000000002E-2</v>
      </c>
      <c r="CB31" s="49">
        <v>0.06</v>
      </c>
      <c r="CC31" s="49">
        <v>2.2999999999999998</v>
      </c>
      <c r="CD31" s="49">
        <v>23</v>
      </c>
      <c r="CE31" s="49">
        <v>57.5</v>
      </c>
      <c r="CF31" s="49"/>
      <c r="CG31" s="49">
        <v>8.1999999999999993</v>
      </c>
      <c r="CH31" s="42"/>
      <c r="CI31" s="49"/>
      <c r="CJ31" s="49"/>
      <c r="CK31" s="49"/>
      <c r="CL31" s="49"/>
      <c r="CM31" s="49"/>
      <c r="CN31" s="49"/>
      <c r="CO31" s="49"/>
      <c r="CP31" s="42">
        <v>1164563</v>
      </c>
      <c r="CQ31" s="48">
        <v>5.2999999999999999E-2</v>
      </c>
      <c r="CR31" s="49">
        <v>0.04</v>
      </c>
      <c r="CS31" s="50">
        <v>2.1</v>
      </c>
      <c r="CT31" s="51">
        <v>21</v>
      </c>
      <c r="CU31" s="49">
        <v>52.3</v>
      </c>
      <c r="CV31" s="49">
        <v>0.99</v>
      </c>
      <c r="CW31" s="42">
        <v>961820</v>
      </c>
      <c r="CX31" s="48">
        <v>4.5999999999999999E-2</v>
      </c>
      <c r="CY31" s="49">
        <v>0.04</v>
      </c>
      <c r="CZ31" s="50">
        <v>2.2000000000000002</v>
      </c>
      <c r="DA31" s="51">
        <v>22</v>
      </c>
      <c r="DB31" s="25">
        <v>52.5</v>
      </c>
      <c r="DC31" s="25">
        <v>0.3</v>
      </c>
      <c r="DD31" s="42"/>
      <c r="DE31" s="49"/>
      <c r="DF31" s="49"/>
      <c r="DG31" s="49"/>
      <c r="DH31" s="49"/>
      <c r="DI31" s="49"/>
      <c r="DJ31" s="49"/>
      <c r="DK31" s="49"/>
      <c r="DL31" s="56"/>
      <c r="DM31" s="42">
        <v>32951</v>
      </c>
      <c r="DN31" s="33">
        <v>5.8999999999999997E-2</v>
      </c>
      <c r="DO31" s="25">
        <v>0.05</v>
      </c>
      <c r="DP31" s="25">
        <v>2.2999999999999998</v>
      </c>
      <c r="DQ31" s="25">
        <v>23</v>
      </c>
      <c r="DR31" s="25">
        <v>58.9</v>
      </c>
      <c r="DS31" s="25"/>
      <c r="DT31" s="25">
        <v>7.6</v>
      </c>
      <c r="DU31" s="57"/>
      <c r="DV31" s="49"/>
      <c r="DW31" s="49"/>
      <c r="DX31" s="49"/>
      <c r="DY31" s="49"/>
      <c r="DZ31" s="49"/>
      <c r="EA31" s="49"/>
      <c r="EB31" s="49"/>
      <c r="EC31" s="49"/>
      <c r="ED31" s="56"/>
      <c r="EE31" s="42"/>
      <c r="EF31" s="49"/>
      <c r="EG31" s="49"/>
      <c r="EH31" s="49"/>
      <c r="EI31" s="49"/>
      <c r="EJ31" s="49"/>
      <c r="EK31" s="49"/>
      <c r="EL31" s="49"/>
      <c r="EM31" s="58"/>
      <c r="EN31" s="39"/>
      <c r="EO31" s="40">
        <f t="shared" si="4"/>
        <v>46079</v>
      </c>
      <c r="EP31" s="40">
        <v>45978</v>
      </c>
      <c r="EQ31" s="40">
        <v>46074</v>
      </c>
      <c r="ER31" s="40" t="s">
        <v>70</v>
      </c>
      <c r="ES31" s="40">
        <v>45930</v>
      </c>
      <c r="ET31" s="40">
        <v>46055</v>
      </c>
      <c r="EU31" s="40" t="s">
        <v>71</v>
      </c>
      <c r="EV31" s="40">
        <v>45992</v>
      </c>
      <c r="EW31" s="40">
        <v>46078</v>
      </c>
      <c r="EX31" s="40" t="s">
        <v>71</v>
      </c>
      <c r="EY31" s="40">
        <v>45688</v>
      </c>
      <c r="EZ31" s="40">
        <v>46077</v>
      </c>
      <c r="FA31" s="40">
        <v>46038</v>
      </c>
      <c r="FB31" s="40">
        <v>46055</v>
      </c>
      <c r="FC31" s="40">
        <v>46055</v>
      </c>
      <c r="FD31" s="40">
        <v>46055</v>
      </c>
      <c r="FE31" s="40">
        <v>46037</v>
      </c>
      <c r="FF31" s="40">
        <v>46048</v>
      </c>
      <c r="FG31" s="40">
        <v>46041</v>
      </c>
      <c r="FH31" s="40">
        <v>46044</v>
      </c>
      <c r="FI31" s="40">
        <v>46044</v>
      </c>
      <c r="FJ31" s="40">
        <v>46047</v>
      </c>
      <c r="FK31" s="40">
        <v>46047</v>
      </c>
      <c r="FL31" s="40">
        <v>46056</v>
      </c>
      <c r="FM31" s="40">
        <v>46056</v>
      </c>
      <c r="FN31" s="40">
        <v>46056</v>
      </c>
      <c r="FO31" s="40"/>
      <c r="FP31" s="40"/>
      <c r="FQ31" s="40">
        <v>46023</v>
      </c>
      <c r="FR31" s="40">
        <v>46074</v>
      </c>
      <c r="FS31" s="40"/>
      <c r="FT31" s="40">
        <v>46022</v>
      </c>
      <c r="FU31" s="40">
        <v>46077</v>
      </c>
      <c r="FV31" s="40"/>
      <c r="FW31" s="40"/>
      <c r="FX31" s="40"/>
      <c r="FY31" s="40">
        <v>46054</v>
      </c>
      <c r="FZ31" s="40">
        <v>46054</v>
      </c>
      <c r="GA31" s="40"/>
      <c r="GB31" s="40"/>
      <c r="GC31" s="40"/>
      <c r="GD31" s="40"/>
    </row>
    <row r="32" spans="2:186" x14ac:dyDescent="0.35">
      <c r="B32" s="41">
        <f t="shared" si="3"/>
        <v>46080</v>
      </c>
      <c r="C32" s="42">
        <v>2506149</v>
      </c>
      <c r="D32" s="49">
        <v>4.87</v>
      </c>
      <c r="E32" s="49">
        <v>0.27</v>
      </c>
      <c r="F32" s="49">
        <v>1.87</v>
      </c>
      <c r="G32" s="49">
        <v>51.72</v>
      </c>
      <c r="H32" s="49">
        <v>2.4500000000000002</v>
      </c>
      <c r="I32" s="49">
        <v>2.2200000000000002</v>
      </c>
      <c r="J32" s="49">
        <f t="shared" si="0"/>
        <v>7.120000000000001</v>
      </c>
      <c r="K32" s="42">
        <v>2577692</v>
      </c>
      <c r="L32" s="25">
        <v>4.99</v>
      </c>
      <c r="M32" s="25">
        <v>0.27</v>
      </c>
      <c r="N32" s="25">
        <v>1.85</v>
      </c>
      <c r="O32" s="25">
        <v>51.89898436964922</v>
      </c>
      <c r="P32" s="25">
        <v>2.48</v>
      </c>
      <c r="Q32" s="25">
        <v>2.25</v>
      </c>
      <c r="R32" s="25">
        <f t="shared" si="1"/>
        <v>7.21</v>
      </c>
      <c r="S32" s="42">
        <v>1885466</v>
      </c>
      <c r="T32" s="49">
        <v>5.4207682556991221</v>
      </c>
      <c r="U32" s="49">
        <v>0.25760851693957887</v>
      </c>
      <c r="V32" s="49">
        <v>1.8130988307399869</v>
      </c>
      <c r="W32" s="49">
        <v>51.899832136988941</v>
      </c>
      <c r="X32" s="49">
        <v>2.4817496046070309</v>
      </c>
      <c r="Y32" s="49">
        <v>2.2289754575261504</v>
      </c>
      <c r="Z32" s="49">
        <f t="shared" si="2"/>
        <v>7.1924746667402122</v>
      </c>
      <c r="AA32" s="42">
        <v>328064</v>
      </c>
      <c r="AB32" s="49">
        <v>84.88</v>
      </c>
      <c r="AC32" s="49">
        <v>0.31</v>
      </c>
      <c r="AD32" s="42">
        <v>529521</v>
      </c>
      <c r="AE32" s="48">
        <v>0.107</v>
      </c>
      <c r="AF32" s="49">
        <v>0.05</v>
      </c>
      <c r="AG32" s="50">
        <v>2.2000000000000002</v>
      </c>
      <c r="AH32" s="51">
        <v>22</v>
      </c>
      <c r="AI32" s="49">
        <v>36.6</v>
      </c>
      <c r="AJ32" s="49"/>
      <c r="AK32" s="49">
        <v>50.2</v>
      </c>
      <c r="AL32" s="42">
        <v>44014</v>
      </c>
      <c r="AM32" s="48">
        <v>9.5000000000000001E-2</v>
      </c>
      <c r="AN32" s="49">
        <v>0.04</v>
      </c>
      <c r="AO32" s="50">
        <v>2.2000000000000002</v>
      </c>
      <c r="AP32" s="51">
        <v>22</v>
      </c>
      <c r="AQ32" s="49">
        <v>35.204000000000008</v>
      </c>
      <c r="AR32" s="49"/>
      <c r="AS32" s="49">
        <v>50</v>
      </c>
      <c r="AT32" s="42">
        <v>536860</v>
      </c>
      <c r="AU32" s="48">
        <v>8.3000000000000004E-2</v>
      </c>
      <c r="AV32" s="49">
        <v>7.0000000000000007E-2</v>
      </c>
      <c r="AW32" s="50">
        <v>2.2000000000000002</v>
      </c>
      <c r="AX32" s="51">
        <v>22</v>
      </c>
      <c r="AY32" s="49">
        <v>56.01</v>
      </c>
      <c r="AZ32" s="49"/>
      <c r="BA32" s="50">
        <v>10</v>
      </c>
      <c r="BB32" s="42">
        <v>390600</v>
      </c>
      <c r="BC32" s="48">
        <v>7.1999999999999995E-2</v>
      </c>
      <c r="BD32" s="49">
        <v>0.05</v>
      </c>
      <c r="BE32" s="49">
        <v>2.1</v>
      </c>
      <c r="BF32" s="49">
        <v>21</v>
      </c>
      <c r="BG32" s="49">
        <v>57.65</v>
      </c>
      <c r="BH32" s="49"/>
      <c r="BI32" s="49">
        <v>9</v>
      </c>
      <c r="BJ32" s="24">
        <v>508583</v>
      </c>
      <c r="BK32" s="48">
        <v>6.6000000000000003E-2</v>
      </c>
      <c r="BL32" s="49">
        <v>7.0000000000000007E-2</v>
      </c>
      <c r="BM32" s="49">
        <v>2.2000000000000002</v>
      </c>
      <c r="BN32" s="49">
        <v>22</v>
      </c>
      <c r="BO32" s="49">
        <v>56.55</v>
      </c>
      <c r="BP32" s="49"/>
      <c r="BQ32" s="49">
        <v>9.8000000000000007</v>
      </c>
      <c r="BR32" s="42">
        <v>510730</v>
      </c>
      <c r="BS32" s="48">
        <v>7.0999999999999994E-2</v>
      </c>
      <c r="BT32" s="49">
        <v>7.0000000000000007E-2</v>
      </c>
      <c r="BU32" s="49">
        <v>2.2000000000000002</v>
      </c>
      <c r="BV32" s="49">
        <v>22</v>
      </c>
      <c r="BW32" s="49">
        <v>56.8</v>
      </c>
      <c r="BX32" s="49"/>
      <c r="BY32" s="49">
        <v>9.4</v>
      </c>
      <c r="BZ32" s="42">
        <v>26023</v>
      </c>
      <c r="CA32" s="48">
        <v>6.7000000000000004E-2</v>
      </c>
      <c r="CB32" s="49">
        <v>7.0000000000000007E-2</v>
      </c>
      <c r="CC32" s="49">
        <v>2.2999999999999998</v>
      </c>
      <c r="CD32" s="49">
        <v>23</v>
      </c>
      <c r="CE32" s="49">
        <v>57.5</v>
      </c>
      <c r="CF32" s="49"/>
      <c r="CG32" s="49">
        <v>8.1999999999999993</v>
      </c>
      <c r="CH32" s="42"/>
      <c r="CI32" s="49"/>
      <c r="CJ32" s="49"/>
      <c r="CK32" s="49"/>
      <c r="CL32" s="49"/>
      <c r="CM32" s="49"/>
      <c r="CN32" s="49"/>
      <c r="CO32" s="49"/>
      <c r="CP32" s="42">
        <v>1164563</v>
      </c>
      <c r="CQ32" s="48">
        <v>5.2999999999999999E-2</v>
      </c>
      <c r="CR32" s="49">
        <v>0.04</v>
      </c>
      <c r="CS32" s="50">
        <v>2.1</v>
      </c>
      <c r="CT32" s="51">
        <v>21</v>
      </c>
      <c r="CU32" s="49">
        <v>52.3</v>
      </c>
      <c r="CV32" s="49">
        <v>0.99</v>
      </c>
      <c r="CW32" s="42">
        <v>961820</v>
      </c>
      <c r="CX32" s="48">
        <v>4.5999999999999999E-2</v>
      </c>
      <c r="CY32" s="49">
        <v>0.04</v>
      </c>
      <c r="CZ32" s="50">
        <v>2.2000000000000002</v>
      </c>
      <c r="DA32" s="51">
        <v>22</v>
      </c>
      <c r="DB32" s="25">
        <v>52.5</v>
      </c>
      <c r="DC32" s="25">
        <v>0.3</v>
      </c>
      <c r="DD32" s="42"/>
      <c r="DE32" s="49"/>
      <c r="DF32" s="49"/>
      <c r="DG32" s="49"/>
      <c r="DH32" s="49"/>
      <c r="DI32" s="49"/>
      <c r="DJ32" s="49"/>
      <c r="DK32" s="49"/>
      <c r="DL32" s="56"/>
      <c r="DM32" s="42">
        <v>32951</v>
      </c>
      <c r="DN32" s="33">
        <v>5.8999999999999997E-2</v>
      </c>
      <c r="DO32" s="25">
        <v>0.05</v>
      </c>
      <c r="DP32" s="25">
        <v>2.2999999999999998</v>
      </c>
      <c r="DQ32" s="25">
        <v>23</v>
      </c>
      <c r="DR32" s="25">
        <v>58.9</v>
      </c>
      <c r="DS32" s="25"/>
      <c r="DT32" s="25">
        <v>7.6</v>
      </c>
      <c r="DU32" s="57"/>
      <c r="DV32" s="49"/>
      <c r="DW32" s="49"/>
      <c r="DX32" s="49"/>
      <c r="DY32" s="49"/>
      <c r="DZ32" s="49"/>
      <c r="EA32" s="49"/>
      <c r="EB32" s="49"/>
      <c r="EC32" s="49"/>
      <c r="ED32" s="56"/>
      <c r="EE32" s="42"/>
      <c r="EF32" s="49"/>
      <c r="EG32" s="49"/>
      <c r="EH32" s="49"/>
      <c r="EI32" s="49"/>
      <c r="EJ32" s="49"/>
      <c r="EK32" s="49"/>
      <c r="EL32" s="49"/>
      <c r="EM32" s="58"/>
      <c r="EN32" s="39"/>
      <c r="EO32" s="40">
        <f t="shared" si="4"/>
        <v>46080</v>
      </c>
      <c r="EP32" s="40">
        <v>45978</v>
      </c>
      <c r="EQ32" s="40">
        <v>46074</v>
      </c>
      <c r="ER32" s="40" t="s">
        <v>70</v>
      </c>
      <c r="ES32" s="40">
        <v>45930</v>
      </c>
      <c r="ET32" s="40">
        <v>46055</v>
      </c>
      <c r="EU32" s="40" t="s">
        <v>71</v>
      </c>
      <c r="EV32" s="40">
        <v>45992</v>
      </c>
      <c r="EW32" s="40">
        <v>46079</v>
      </c>
      <c r="EX32" s="40" t="s">
        <v>71</v>
      </c>
      <c r="EY32" s="40">
        <v>45688</v>
      </c>
      <c r="EZ32" s="40">
        <v>46077</v>
      </c>
      <c r="FA32" s="40">
        <v>46038</v>
      </c>
      <c r="FB32" s="40">
        <v>46055</v>
      </c>
      <c r="FC32" s="40">
        <v>46055</v>
      </c>
      <c r="FD32" s="40">
        <v>46055</v>
      </c>
      <c r="FE32" s="40">
        <v>46037</v>
      </c>
      <c r="FF32" s="40">
        <v>46048</v>
      </c>
      <c r="FG32" s="40">
        <v>46041</v>
      </c>
      <c r="FH32" s="40">
        <v>46044</v>
      </c>
      <c r="FI32" s="40">
        <v>46044</v>
      </c>
      <c r="FJ32" s="40">
        <v>46047</v>
      </c>
      <c r="FK32" s="40">
        <v>46047</v>
      </c>
      <c r="FL32" s="40">
        <v>46056</v>
      </c>
      <c r="FM32" s="40">
        <v>46056</v>
      </c>
      <c r="FN32" s="40">
        <v>46056</v>
      </c>
      <c r="FO32" s="40"/>
      <c r="FP32" s="40"/>
      <c r="FQ32" s="40">
        <v>46023</v>
      </c>
      <c r="FR32" s="40">
        <v>46074</v>
      </c>
      <c r="FS32" s="40"/>
      <c r="FT32" s="40">
        <v>46022</v>
      </c>
      <c r="FU32" s="40">
        <v>46077</v>
      </c>
      <c r="FV32" s="40"/>
      <c r="FW32" s="40"/>
      <c r="FX32" s="40"/>
      <c r="FY32" s="40">
        <v>46054</v>
      </c>
      <c r="FZ32" s="40">
        <v>46054</v>
      </c>
      <c r="GA32" s="40"/>
      <c r="GB32" s="40"/>
      <c r="GC32" s="40"/>
      <c r="GD32" s="40"/>
    </row>
    <row r="33" spans="1:186" ht="15" thickBot="1" x14ac:dyDescent="0.4">
      <c r="B33" s="41">
        <f t="shared" si="3"/>
        <v>46081</v>
      </c>
      <c r="C33" s="42">
        <v>2506149</v>
      </c>
      <c r="D33" s="49">
        <v>4.91</v>
      </c>
      <c r="E33" s="49">
        <v>0.27</v>
      </c>
      <c r="F33" s="49">
        <v>1.87</v>
      </c>
      <c r="G33" s="49">
        <v>51.72</v>
      </c>
      <c r="H33" s="49">
        <v>2.4500000000000002</v>
      </c>
      <c r="I33" s="49">
        <v>2.2200000000000002</v>
      </c>
      <c r="J33" s="49">
        <f t="shared" si="0"/>
        <v>7.120000000000001</v>
      </c>
      <c r="K33" s="42">
        <v>2577692</v>
      </c>
      <c r="L33" s="25">
        <v>5.03</v>
      </c>
      <c r="M33" s="25">
        <v>0.27</v>
      </c>
      <c r="N33" s="25">
        <v>1.85</v>
      </c>
      <c r="O33" s="25">
        <v>51.89898436964922</v>
      </c>
      <c r="P33" s="25">
        <v>2.48</v>
      </c>
      <c r="Q33" s="25">
        <v>2.25</v>
      </c>
      <c r="R33" s="25">
        <f t="shared" si="1"/>
        <v>7.21</v>
      </c>
      <c r="S33" s="42">
        <v>1942806</v>
      </c>
      <c r="T33" s="49">
        <v>5.41</v>
      </c>
      <c r="U33" s="49">
        <v>0.24</v>
      </c>
      <c r="V33" s="49">
        <v>1.8130988307399869</v>
      </c>
      <c r="W33" s="49">
        <v>51.899832136988941</v>
      </c>
      <c r="X33" s="49">
        <v>2.4817496046070309</v>
      </c>
      <c r="Y33" s="49">
        <v>2.2289754575261504</v>
      </c>
      <c r="Z33" s="49">
        <f t="shared" si="2"/>
        <v>7.1924746667402122</v>
      </c>
      <c r="AA33" s="42">
        <v>328064</v>
      </c>
      <c r="AB33" s="49">
        <v>84.88</v>
      </c>
      <c r="AC33" s="49">
        <v>0.31</v>
      </c>
      <c r="AD33" s="42">
        <v>529521</v>
      </c>
      <c r="AE33" s="48">
        <v>0.107</v>
      </c>
      <c r="AF33" s="49">
        <v>0.05</v>
      </c>
      <c r="AG33" s="50">
        <v>2.2000000000000002</v>
      </c>
      <c r="AH33" s="51">
        <v>22</v>
      </c>
      <c r="AI33" s="49">
        <v>36.6</v>
      </c>
      <c r="AJ33" s="49"/>
      <c r="AK33" s="49">
        <v>50.2</v>
      </c>
      <c r="AL33" s="42">
        <v>44014</v>
      </c>
      <c r="AM33" s="48">
        <v>9.5000000000000001E-2</v>
      </c>
      <c r="AN33" s="49">
        <v>0.04</v>
      </c>
      <c r="AO33" s="50">
        <v>2.2000000000000002</v>
      </c>
      <c r="AP33" s="51">
        <v>22</v>
      </c>
      <c r="AQ33" s="49">
        <v>35.204000000000008</v>
      </c>
      <c r="AR33" s="49"/>
      <c r="AS33" s="49">
        <v>50</v>
      </c>
      <c r="AT33" s="42">
        <v>536860</v>
      </c>
      <c r="AU33" s="48">
        <v>8.3000000000000004E-2</v>
      </c>
      <c r="AV33" s="49">
        <v>7.0000000000000007E-2</v>
      </c>
      <c r="AW33" s="50">
        <v>2.2000000000000002</v>
      </c>
      <c r="AX33" s="51">
        <v>22</v>
      </c>
      <c r="AY33" s="49">
        <v>56.01</v>
      </c>
      <c r="AZ33" s="49"/>
      <c r="BA33" s="50">
        <v>10</v>
      </c>
      <c r="BB33" s="42">
        <v>390600</v>
      </c>
      <c r="BC33" s="48">
        <v>7.1999999999999995E-2</v>
      </c>
      <c r="BD33" s="49">
        <v>0.05</v>
      </c>
      <c r="BE33" s="49">
        <v>2.1</v>
      </c>
      <c r="BF33" s="49">
        <v>21</v>
      </c>
      <c r="BG33" s="49">
        <v>57.65</v>
      </c>
      <c r="BH33" s="49"/>
      <c r="BI33" s="49">
        <v>9</v>
      </c>
      <c r="BJ33" s="24">
        <v>508583</v>
      </c>
      <c r="BK33" s="48">
        <v>6.6000000000000003E-2</v>
      </c>
      <c r="BL33" s="49">
        <v>7.0000000000000007E-2</v>
      </c>
      <c r="BM33" s="49">
        <v>2.2000000000000002</v>
      </c>
      <c r="BN33" s="49">
        <v>22</v>
      </c>
      <c r="BO33" s="49">
        <v>56.55</v>
      </c>
      <c r="BP33" s="49"/>
      <c r="BQ33" s="49">
        <v>9.8000000000000007</v>
      </c>
      <c r="BR33" s="42">
        <v>510730</v>
      </c>
      <c r="BS33" s="48">
        <v>7.0999999999999994E-2</v>
      </c>
      <c r="BT33" s="49">
        <v>7.0000000000000007E-2</v>
      </c>
      <c r="BU33" s="49">
        <v>2.2000000000000002</v>
      </c>
      <c r="BV33" s="49">
        <v>22</v>
      </c>
      <c r="BW33" s="49">
        <v>56.8</v>
      </c>
      <c r="BX33" s="49"/>
      <c r="BY33" s="49">
        <v>9.4</v>
      </c>
      <c r="BZ33" s="42">
        <v>26023</v>
      </c>
      <c r="CA33" s="48">
        <v>6.7000000000000004E-2</v>
      </c>
      <c r="CB33" s="49">
        <v>7.0000000000000007E-2</v>
      </c>
      <c r="CC33" s="49">
        <v>2.2999999999999998</v>
      </c>
      <c r="CD33" s="49">
        <v>23</v>
      </c>
      <c r="CE33" s="49">
        <v>57.5</v>
      </c>
      <c r="CF33" s="49"/>
      <c r="CG33" s="49">
        <v>8.1999999999999993</v>
      </c>
      <c r="CH33" s="42"/>
      <c r="CI33" s="49"/>
      <c r="CJ33" s="49"/>
      <c r="CK33" s="49"/>
      <c r="CL33" s="49"/>
      <c r="CM33" s="49"/>
      <c r="CN33" s="49"/>
      <c r="CO33" s="49"/>
      <c r="CP33" s="42">
        <v>1164563</v>
      </c>
      <c r="CQ33" s="48">
        <v>5.3999999999999999E-2</v>
      </c>
      <c r="CR33" s="49">
        <v>0.04</v>
      </c>
      <c r="CS33" s="50">
        <v>2.1</v>
      </c>
      <c r="CT33" s="51">
        <v>21</v>
      </c>
      <c r="CU33" s="49">
        <v>52.3</v>
      </c>
      <c r="CV33" s="49">
        <v>0.99</v>
      </c>
      <c r="CW33" s="42">
        <v>961820</v>
      </c>
      <c r="CX33" s="48">
        <v>4.5999999999999999E-2</v>
      </c>
      <c r="CY33" s="49">
        <v>0.04</v>
      </c>
      <c r="CZ33" s="50">
        <v>2.2000000000000002</v>
      </c>
      <c r="DA33" s="51">
        <v>22</v>
      </c>
      <c r="DB33" s="25">
        <v>52.5</v>
      </c>
      <c r="DC33" s="25">
        <v>0.3</v>
      </c>
      <c r="DD33" s="42"/>
      <c r="DE33" s="49"/>
      <c r="DF33" s="49"/>
      <c r="DG33" s="49"/>
      <c r="DH33" s="49"/>
      <c r="DI33" s="49"/>
      <c r="DJ33" s="49"/>
      <c r="DK33" s="49"/>
      <c r="DL33" s="56"/>
      <c r="DM33" s="42">
        <v>32951</v>
      </c>
      <c r="DN33" s="33">
        <v>5.8999999999999997E-2</v>
      </c>
      <c r="DO33" s="25">
        <v>0.05</v>
      </c>
      <c r="DP33" s="25">
        <v>2.2999999999999998</v>
      </c>
      <c r="DQ33" s="25">
        <v>23</v>
      </c>
      <c r="DR33" s="25">
        <v>58.9</v>
      </c>
      <c r="DS33" s="25"/>
      <c r="DT33" s="25">
        <v>7.6</v>
      </c>
      <c r="DU33" s="57"/>
      <c r="DV33" s="49"/>
      <c r="DW33" s="49"/>
      <c r="DX33" s="49"/>
      <c r="DY33" s="49"/>
      <c r="DZ33" s="49"/>
      <c r="EA33" s="49"/>
      <c r="EB33" s="49"/>
      <c r="EC33" s="49"/>
      <c r="ED33" s="56"/>
      <c r="EE33" s="42"/>
      <c r="EF33" s="49"/>
      <c r="EG33" s="49"/>
      <c r="EH33" s="49"/>
      <c r="EI33" s="49"/>
      <c r="EJ33" s="49"/>
      <c r="EK33" s="49"/>
      <c r="EL33" s="49"/>
      <c r="EM33" s="58"/>
      <c r="EN33" s="39"/>
      <c r="EO33" s="40">
        <f t="shared" si="4"/>
        <v>46081</v>
      </c>
      <c r="EP33" s="40">
        <v>45978</v>
      </c>
      <c r="EQ33" s="40">
        <v>46074</v>
      </c>
      <c r="ER33" s="40" t="s">
        <v>70</v>
      </c>
      <c r="ES33" s="40">
        <v>45930</v>
      </c>
      <c r="ET33" s="40">
        <v>46055</v>
      </c>
      <c r="EU33" s="40" t="s">
        <v>71</v>
      </c>
      <c r="EV33" s="40">
        <v>45992</v>
      </c>
      <c r="EW33" s="40">
        <v>46080</v>
      </c>
      <c r="EX33" s="40" t="s">
        <v>71</v>
      </c>
      <c r="EY33" s="40">
        <v>45688</v>
      </c>
      <c r="EZ33" s="40">
        <v>46077</v>
      </c>
      <c r="FA33" s="40">
        <v>46038</v>
      </c>
      <c r="FB33" s="40">
        <v>46055</v>
      </c>
      <c r="FC33" s="40">
        <v>46055</v>
      </c>
      <c r="FD33" s="40">
        <v>46055</v>
      </c>
      <c r="FE33" s="40">
        <v>46037</v>
      </c>
      <c r="FF33" s="40">
        <v>46048</v>
      </c>
      <c r="FG33" s="40">
        <v>46041</v>
      </c>
      <c r="FH33" s="40">
        <v>46044</v>
      </c>
      <c r="FI33" s="40">
        <v>46044</v>
      </c>
      <c r="FJ33" s="40">
        <v>46047</v>
      </c>
      <c r="FK33" s="40">
        <v>46047</v>
      </c>
      <c r="FL33" s="40">
        <v>46056</v>
      </c>
      <c r="FM33" s="40">
        <v>46056</v>
      </c>
      <c r="FN33" s="40">
        <v>46056</v>
      </c>
      <c r="FO33" s="40"/>
      <c r="FP33" s="40"/>
      <c r="FQ33" s="40">
        <v>46023</v>
      </c>
      <c r="FR33" s="40">
        <v>46074</v>
      </c>
      <c r="FS33" s="40"/>
      <c r="FT33" s="40">
        <v>46022</v>
      </c>
      <c r="FU33" s="40">
        <v>46077</v>
      </c>
      <c r="FV33" s="40"/>
      <c r="FW33" s="40"/>
      <c r="FX33" s="40"/>
      <c r="FY33" s="40">
        <v>46054</v>
      </c>
      <c r="FZ33" s="40">
        <v>46054</v>
      </c>
      <c r="GA33" s="40"/>
      <c r="GB33" s="40"/>
      <c r="GC33" s="40"/>
      <c r="GD33" s="40"/>
    </row>
    <row r="34" spans="1:186" ht="15" hidden="1" thickBot="1" x14ac:dyDescent="0.4">
      <c r="B34" s="41">
        <f t="shared" si="3"/>
        <v>46082</v>
      </c>
      <c r="C34" s="42">
        <v>2506149</v>
      </c>
      <c r="D34" s="49">
        <v>4.93</v>
      </c>
      <c r="E34" s="49">
        <v>0.27</v>
      </c>
      <c r="F34" s="49">
        <v>1.87</v>
      </c>
      <c r="G34" s="49">
        <v>51.72</v>
      </c>
      <c r="H34" s="49">
        <v>2.4500000000000002</v>
      </c>
      <c r="I34" s="49">
        <v>2.2200000000000002</v>
      </c>
      <c r="J34" s="49">
        <f t="shared" si="0"/>
        <v>7.120000000000001</v>
      </c>
      <c r="K34" s="42">
        <v>2577692</v>
      </c>
      <c r="L34" s="25">
        <v>5.03</v>
      </c>
      <c r="M34" s="25">
        <v>0.27</v>
      </c>
      <c r="N34" s="25">
        <v>1.85</v>
      </c>
      <c r="O34" s="25">
        <v>51.89898436964922</v>
      </c>
      <c r="P34" s="25">
        <v>2.48</v>
      </c>
      <c r="Q34" s="25">
        <v>2.25</v>
      </c>
      <c r="R34" s="25">
        <f t="shared" si="1"/>
        <v>7.21</v>
      </c>
      <c r="S34" s="42">
        <v>2042706</v>
      </c>
      <c r="T34" s="49">
        <v>5.4</v>
      </c>
      <c r="U34" s="49">
        <v>0.24</v>
      </c>
      <c r="V34" s="49">
        <v>1.8</v>
      </c>
      <c r="W34" s="49">
        <v>51.899832136988941</v>
      </c>
      <c r="X34" s="49">
        <v>2.5</v>
      </c>
      <c r="Y34" s="49">
        <v>2.25</v>
      </c>
      <c r="Z34" s="49">
        <f t="shared" si="2"/>
        <v>7.25</v>
      </c>
      <c r="AA34" s="42">
        <v>328064</v>
      </c>
      <c r="AB34" s="49">
        <v>84.88</v>
      </c>
      <c r="AC34" s="49">
        <v>0.31</v>
      </c>
      <c r="AD34" s="42">
        <v>529521</v>
      </c>
      <c r="AE34" s="48">
        <v>0.109</v>
      </c>
      <c r="AF34" s="49">
        <v>0.05</v>
      </c>
      <c r="AG34" s="50">
        <v>2.2000000000000002</v>
      </c>
      <c r="AH34" s="51">
        <v>22</v>
      </c>
      <c r="AI34" s="49">
        <v>36.6</v>
      </c>
      <c r="AJ34" s="49"/>
      <c r="AK34" s="49">
        <v>50.2</v>
      </c>
      <c r="AL34" s="42">
        <v>44014</v>
      </c>
      <c r="AM34" s="48">
        <v>9.5000000000000001E-2</v>
      </c>
      <c r="AN34" s="49">
        <v>0.04</v>
      </c>
      <c r="AO34" s="50">
        <v>2.2000000000000002</v>
      </c>
      <c r="AP34" s="51">
        <v>22</v>
      </c>
      <c r="AQ34" s="49">
        <v>35.204000000000008</v>
      </c>
      <c r="AR34" s="49"/>
      <c r="AS34" s="49">
        <v>50</v>
      </c>
      <c r="AT34" s="42">
        <v>536860</v>
      </c>
      <c r="AU34" s="48">
        <v>8.3000000000000004E-2</v>
      </c>
      <c r="AV34" s="49">
        <v>7.0000000000000007E-2</v>
      </c>
      <c r="AW34" s="50">
        <v>2.2000000000000002</v>
      </c>
      <c r="AX34" s="51">
        <v>22</v>
      </c>
      <c r="AY34" s="49">
        <v>56.01</v>
      </c>
      <c r="AZ34" s="49"/>
      <c r="BA34" s="50">
        <v>10</v>
      </c>
      <c r="BB34" s="42">
        <v>353850</v>
      </c>
      <c r="BC34" s="48">
        <v>7.1999999999999995E-2</v>
      </c>
      <c r="BD34" s="49">
        <v>0.05</v>
      </c>
      <c r="BE34" s="49">
        <v>2.1</v>
      </c>
      <c r="BF34" s="49">
        <v>21</v>
      </c>
      <c r="BG34" s="49">
        <v>57.65</v>
      </c>
      <c r="BH34" s="49"/>
      <c r="BI34" s="49">
        <v>9</v>
      </c>
      <c r="BJ34" s="24">
        <v>508583</v>
      </c>
      <c r="BK34" s="48">
        <v>6.6000000000000003E-2</v>
      </c>
      <c r="BL34" s="49">
        <v>7.0000000000000007E-2</v>
      </c>
      <c r="BM34" s="49">
        <v>2.2000000000000002</v>
      </c>
      <c r="BN34" s="49">
        <v>22</v>
      </c>
      <c r="BO34" s="49">
        <v>56.55</v>
      </c>
      <c r="BP34" s="49"/>
      <c r="BQ34" s="49">
        <v>9.8000000000000007</v>
      </c>
      <c r="BR34" s="42">
        <v>510730</v>
      </c>
      <c r="BS34" s="48">
        <v>7.0999999999999994E-2</v>
      </c>
      <c r="BT34" s="49">
        <v>7.0000000000000007E-2</v>
      </c>
      <c r="BU34" s="49">
        <v>2.2000000000000002</v>
      </c>
      <c r="BV34" s="49">
        <v>22</v>
      </c>
      <c r="BW34" s="49">
        <v>56.8</v>
      </c>
      <c r="BX34" s="49"/>
      <c r="BY34" s="49">
        <v>9.4</v>
      </c>
      <c r="BZ34" s="42">
        <v>26023</v>
      </c>
      <c r="CA34" s="48">
        <v>6.7000000000000004E-2</v>
      </c>
      <c r="CB34" s="49">
        <v>7.0000000000000007E-2</v>
      </c>
      <c r="CC34" s="49">
        <v>2.2999999999999998</v>
      </c>
      <c r="CD34" s="49">
        <v>23</v>
      </c>
      <c r="CE34" s="49">
        <v>57.5</v>
      </c>
      <c r="CF34" s="49"/>
      <c r="CG34" s="49">
        <v>8.1999999999999993</v>
      </c>
      <c r="CH34" s="42"/>
      <c r="CI34" s="49"/>
      <c r="CJ34" s="49"/>
      <c r="CK34" s="49"/>
      <c r="CL34" s="49"/>
      <c r="CM34" s="49"/>
      <c r="CN34" s="49"/>
      <c r="CO34" s="49"/>
      <c r="CP34" s="42">
        <v>1164563</v>
      </c>
      <c r="CQ34" s="48">
        <v>5.3999999999999999E-2</v>
      </c>
      <c r="CR34" s="49">
        <v>0.04</v>
      </c>
      <c r="CS34" s="50">
        <v>2.1</v>
      </c>
      <c r="CT34" s="51">
        <v>21</v>
      </c>
      <c r="CU34" s="49">
        <v>52.3</v>
      </c>
      <c r="CV34" s="49">
        <v>0.99</v>
      </c>
      <c r="CW34" s="42">
        <v>961820</v>
      </c>
      <c r="CX34" s="48">
        <v>4.7E-2</v>
      </c>
      <c r="CY34" s="49">
        <v>0.04</v>
      </c>
      <c r="CZ34" s="50">
        <v>2.2000000000000002</v>
      </c>
      <c r="DA34" s="51">
        <v>22</v>
      </c>
      <c r="DB34" s="25">
        <v>52.5</v>
      </c>
      <c r="DC34" s="25">
        <v>0.3</v>
      </c>
      <c r="DD34" s="42"/>
      <c r="DE34" s="49"/>
      <c r="DF34" s="49"/>
      <c r="DG34" s="49"/>
      <c r="DH34" s="49"/>
      <c r="DI34" s="49"/>
      <c r="DJ34" s="49"/>
      <c r="DK34" s="49"/>
      <c r="DL34" s="56"/>
      <c r="DM34" s="42">
        <v>32951</v>
      </c>
      <c r="DN34" s="33">
        <v>5.8999999999999997E-2</v>
      </c>
      <c r="DO34" s="25">
        <v>0.05</v>
      </c>
      <c r="DP34" s="25">
        <v>2.2999999999999998</v>
      </c>
      <c r="DQ34" s="25">
        <v>23</v>
      </c>
      <c r="DR34" s="25">
        <v>58.9</v>
      </c>
      <c r="DS34" s="25"/>
      <c r="DT34" s="25">
        <v>7.6</v>
      </c>
      <c r="DU34" s="57"/>
      <c r="DV34" s="49"/>
      <c r="DW34" s="49"/>
      <c r="DX34" s="49"/>
      <c r="DY34" s="49"/>
      <c r="DZ34" s="49"/>
      <c r="EA34" s="49"/>
      <c r="EB34" s="49"/>
      <c r="EC34" s="49"/>
      <c r="ED34" s="56"/>
      <c r="EE34" s="42"/>
      <c r="EF34" s="49"/>
      <c r="EG34" s="49"/>
      <c r="EH34" s="49"/>
      <c r="EI34" s="49"/>
      <c r="EJ34" s="49"/>
      <c r="EK34" s="49"/>
      <c r="EL34" s="49"/>
      <c r="EM34" s="58"/>
      <c r="EN34" s="39"/>
      <c r="EO34" s="40">
        <f t="shared" si="4"/>
        <v>46082</v>
      </c>
      <c r="EP34" s="40">
        <v>45978</v>
      </c>
      <c r="EQ34" s="40">
        <v>46074</v>
      </c>
      <c r="ER34" s="40" t="s">
        <v>70</v>
      </c>
      <c r="ES34" s="40">
        <v>45930</v>
      </c>
      <c r="ET34" s="40">
        <v>46055</v>
      </c>
      <c r="EU34" s="40" t="s">
        <v>71</v>
      </c>
      <c r="EV34" s="40">
        <v>45992</v>
      </c>
      <c r="EW34" s="40">
        <v>46081</v>
      </c>
      <c r="EX34" s="40" t="s">
        <v>71</v>
      </c>
      <c r="EY34" s="40">
        <v>45688</v>
      </c>
      <c r="EZ34" s="40">
        <v>46077</v>
      </c>
      <c r="FA34" s="40">
        <v>46038</v>
      </c>
      <c r="FB34" s="40">
        <v>46055</v>
      </c>
      <c r="FC34" s="40">
        <v>46055</v>
      </c>
      <c r="FD34" s="40">
        <v>46055</v>
      </c>
      <c r="FE34" s="40">
        <v>46037</v>
      </c>
      <c r="FF34" s="40">
        <v>46048</v>
      </c>
      <c r="FG34" s="40">
        <v>46041</v>
      </c>
      <c r="FH34" s="40">
        <v>46044</v>
      </c>
      <c r="FI34" s="40">
        <v>46044</v>
      </c>
      <c r="FJ34" s="40">
        <v>46047</v>
      </c>
      <c r="FK34" s="40">
        <v>46047</v>
      </c>
      <c r="FL34" s="40">
        <v>46056</v>
      </c>
      <c r="FM34" s="40">
        <v>46056</v>
      </c>
      <c r="FN34" s="40">
        <v>46056</v>
      </c>
      <c r="FO34" s="40"/>
      <c r="FP34" s="40"/>
      <c r="FQ34" s="40">
        <v>46023</v>
      </c>
      <c r="FR34" s="40">
        <v>46074</v>
      </c>
      <c r="FS34" s="40"/>
      <c r="FT34" s="40">
        <v>46022</v>
      </c>
      <c r="FU34" s="40">
        <v>46077</v>
      </c>
      <c r="FV34" s="40"/>
      <c r="FW34" s="40"/>
      <c r="FX34" s="40"/>
      <c r="FY34" s="40">
        <v>46054</v>
      </c>
      <c r="FZ34" s="40">
        <v>46054</v>
      </c>
      <c r="GA34" s="40"/>
      <c r="GB34" s="40"/>
      <c r="GC34" s="40"/>
      <c r="GD34" s="40"/>
    </row>
    <row r="35" spans="1:186" ht="15" hidden="1" thickBot="1" x14ac:dyDescent="0.4">
      <c r="B35" s="41">
        <f t="shared" si="3"/>
        <v>46083</v>
      </c>
      <c r="C35" s="42"/>
      <c r="D35" s="49"/>
      <c r="E35" s="49"/>
      <c r="F35" s="49"/>
      <c r="G35" s="49"/>
      <c r="H35" s="49"/>
      <c r="I35" s="49"/>
      <c r="J35" s="49"/>
      <c r="K35" s="42"/>
      <c r="L35" s="49"/>
      <c r="M35" s="49"/>
      <c r="N35" s="49"/>
      <c r="O35" s="49"/>
      <c r="P35" s="49"/>
      <c r="Q35" s="49"/>
      <c r="R35" s="49"/>
      <c r="S35" s="42"/>
      <c r="T35" s="49"/>
      <c r="U35" s="49"/>
      <c r="V35" s="49"/>
      <c r="W35" s="49"/>
      <c r="X35" s="49"/>
      <c r="Y35" s="49"/>
      <c r="Z35" s="49"/>
      <c r="AA35" s="42"/>
      <c r="AB35" s="49"/>
      <c r="AC35" s="49"/>
      <c r="AD35" s="42"/>
      <c r="AE35" s="48"/>
      <c r="AF35" s="49"/>
      <c r="AG35" s="50"/>
      <c r="AH35" s="51"/>
      <c r="AI35" s="49"/>
      <c r="AJ35" s="49"/>
      <c r="AK35" s="50"/>
      <c r="AL35" s="42"/>
      <c r="AM35" s="49"/>
      <c r="AN35" s="49"/>
      <c r="AO35" s="49"/>
      <c r="AP35" s="49"/>
      <c r="AQ35" s="49"/>
      <c r="AR35" s="49"/>
      <c r="AS35" s="49"/>
      <c r="AT35" s="42"/>
      <c r="AU35" s="48"/>
      <c r="AV35" s="49"/>
      <c r="AW35" s="50"/>
      <c r="AX35" s="51"/>
      <c r="AY35" s="49"/>
      <c r="AZ35" s="49"/>
      <c r="BA35" s="50"/>
      <c r="BB35" s="42"/>
      <c r="BC35" s="48"/>
      <c r="BD35" s="49"/>
      <c r="BE35" s="49"/>
      <c r="BF35" s="51"/>
      <c r="BG35" s="49"/>
      <c r="BH35" s="49"/>
      <c r="BI35" s="49"/>
      <c r="BJ35" s="42"/>
      <c r="BK35" s="48"/>
      <c r="BL35" s="49"/>
      <c r="BM35" s="49"/>
      <c r="BN35" s="49"/>
      <c r="BO35" s="49"/>
      <c r="BP35" s="49"/>
      <c r="BQ35" s="49"/>
      <c r="BR35" s="42"/>
      <c r="BS35" s="48"/>
      <c r="BT35" s="49"/>
      <c r="BU35" s="50"/>
      <c r="BV35" s="51"/>
      <c r="BW35" s="49"/>
      <c r="BX35" s="49"/>
      <c r="BY35" s="49"/>
      <c r="BZ35" s="42"/>
      <c r="CA35" s="48"/>
      <c r="CB35" s="49"/>
      <c r="CC35" s="49"/>
      <c r="CD35" s="49"/>
      <c r="CE35" s="49"/>
      <c r="CF35" s="49"/>
      <c r="CG35" s="49"/>
      <c r="CH35" s="42"/>
      <c r="CI35" s="49"/>
      <c r="CJ35" s="49"/>
      <c r="CK35" s="49"/>
      <c r="CL35" s="49"/>
      <c r="CM35" s="49"/>
      <c r="CN35" s="49"/>
      <c r="CO35" s="49"/>
      <c r="CP35" s="42"/>
      <c r="CQ35" s="48"/>
      <c r="CR35" s="49"/>
      <c r="CS35" s="50"/>
      <c r="CT35" s="51"/>
      <c r="CU35" s="49"/>
      <c r="CV35" s="49"/>
      <c r="CW35" s="42"/>
      <c r="CX35" s="48"/>
      <c r="CY35" s="49"/>
      <c r="CZ35" s="50"/>
      <c r="DA35" s="51"/>
      <c r="DB35" s="49"/>
      <c r="DC35" s="49"/>
      <c r="DD35" s="42"/>
      <c r="DE35" s="49"/>
      <c r="DF35" s="49"/>
      <c r="DG35" s="49"/>
      <c r="DH35" s="49"/>
      <c r="DI35" s="49"/>
      <c r="DJ35" s="49"/>
      <c r="DK35" s="49"/>
      <c r="DL35" s="56"/>
      <c r="DM35" s="42"/>
      <c r="DN35" s="49"/>
      <c r="DO35" s="49"/>
      <c r="DP35" s="49"/>
      <c r="DQ35" s="49"/>
      <c r="DR35" s="49"/>
      <c r="DS35" s="49"/>
      <c r="DT35" s="49"/>
      <c r="DU35" s="57"/>
      <c r="DV35" s="49"/>
      <c r="DW35" s="49"/>
      <c r="DX35" s="49"/>
      <c r="DY35" s="49"/>
      <c r="DZ35" s="49"/>
      <c r="EA35" s="49"/>
      <c r="EB35" s="49"/>
      <c r="EC35" s="49"/>
      <c r="ED35" s="56"/>
      <c r="EE35" s="42"/>
      <c r="EF35" s="49"/>
      <c r="EG35" s="49"/>
      <c r="EH35" s="49"/>
      <c r="EI35" s="49"/>
      <c r="EJ35" s="49"/>
      <c r="EK35" s="49"/>
      <c r="EL35" s="49"/>
      <c r="EM35" s="58"/>
      <c r="EN35" s="39"/>
      <c r="EO35" s="40">
        <f t="shared" si="4"/>
        <v>46083</v>
      </c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</row>
    <row r="36" spans="1:186" ht="15" hidden="1" thickBot="1" x14ac:dyDescent="0.4">
      <c r="B36" s="41">
        <f t="shared" si="3"/>
        <v>46084</v>
      </c>
      <c r="C36" s="42"/>
      <c r="D36" s="49"/>
      <c r="E36" s="49"/>
      <c r="F36" s="49"/>
      <c r="G36" s="49"/>
      <c r="H36" s="49"/>
      <c r="I36" s="49"/>
      <c r="J36" s="49"/>
      <c r="K36" s="54"/>
      <c r="L36" s="55"/>
      <c r="M36" s="55"/>
      <c r="N36" s="55"/>
      <c r="O36" s="55"/>
      <c r="P36" s="55"/>
      <c r="Q36" s="55"/>
      <c r="R36" s="49"/>
      <c r="S36" s="42"/>
      <c r="T36" s="49"/>
      <c r="U36" s="49"/>
      <c r="V36" s="49"/>
      <c r="W36" s="49"/>
      <c r="X36" s="49"/>
      <c r="Y36" s="49"/>
      <c r="Z36" s="49"/>
      <c r="AA36" s="42"/>
      <c r="AB36" s="49"/>
      <c r="AC36" s="49"/>
      <c r="AD36" s="42"/>
      <c r="AE36" s="48"/>
      <c r="AF36" s="49"/>
      <c r="AG36" s="50"/>
      <c r="AH36" s="51"/>
      <c r="AI36" s="49"/>
      <c r="AJ36" s="49"/>
      <c r="AK36" s="50"/>
      <c r="AL36" s="54"/>
      <c r="AM36" s="55"/>
      <c r="AN36" s="55"/>
      <c r="AO36" s="55"/>
      <c r="AP36" s="55"/>
      <c r="AQ36" s="55"/>
      <c r="AR36" s="55"/>
      <c r="AS36" s="55"/>
      <c r="AT36" s="42"/>
      <c r="AU36" s="48"/>
      <c r="AV36" s="49"/>
      <c r="AW36" s="50"/>
      <c r="AX36" s="51"/>
      <c r="AY36" s="49"/>
      <c r="AZ36" s="49"/>
      <c r="BA36" s="50"/>
      <c r="BB36" s="42"/>
      <c r="BC36" s="48"/>
      <c r="BD36" s="49"/>
      <c r="BE36" s="49"/>
      <c r="BF36" s="51"/>
      <c r="BG36" s="49"/>
      <c r="BH36" s="49"/>
      <c r="BI36" s="49"/>
      <c r="BJ36" s="42"/>
      <c r="BK36" s="48"/>
      <c r="BL36" s="49"/>
      <c r="BM36" s="49"/>
      <c r="BN36" s="49"/>
      <c r="BO36" s="49"/>
      <c r="BP36" s="49"/>
      <c r="BQ36" s="49"/>
      <c r="BR36" s="42"/>
      <c r="BS36" s="48"/>
      <c r="BT36" s="49"/>
      <c r="BU36" s="50"/>
      <c r="BV36" s="51"/>
      <c r="BW36" s="49"/>
      <c r="BX36" s="49"/>
      <c r="BY36" s="49"/>
      <c r="BZ36" s="54"/>
      <c r="CA36" s="74"/>
      <c r="CB36" s="55"/>
      <c r="CC36" s="55"/>
      <c r="CD36" s="55"/>
      <c r="CE36" s="55"/>
      <c r="CF36" s="55"/>
      <c r="CG36" s="55"/>
      <c r="CH36" s="54"/>
      <c r="CI36" s="55"/>
      <c r="CJ36" s="55"/>
      <c r="CK36" s="55"/>
      <c r="CL36" s="55"/>
      <c r="CM36" s="55"/>
      <c r="CN36" s="55"/>
      <c r="CO36" s="55"/>
      <c r="CP36" s="42"/>
      <c r="CQ36" s="48"/>
      <c r="CR36" s="49"/>
      <c r="CS36" s="50"/>
      <c r="CT36" s="51"/>
      <c r="CU36" s="49"/>
      <c r="CV36" s="49"/>
      <c r="CW36" s="42"/>
      <c r="CX36" s="48"/>
      <c r="CY36" s="49"/>
      <c r="CZ36" s="50"/>
      <c r="DA36" s="51"/>
      <c r="DB36" s="49"/>
      <c r="DC36" s="49"/>
      <c r="DD36" s="54"/>
      <c r="DE36" s="55"/>
      <c r="DF36" s="55"/>
      <c r="DG36" s="55"/>
      <c r="DH36" s="55"/>
      <c r="DI36" s="55"/>
      <c r="DJ36" s="55"/>
      <c r="DK36" s="55"/>
      <c r="DL36" s="56"/>
      <c r="DM36" s="54"/>
      <c r="DN36" s="55"/>
      <c r="DO36" s="55"/>
      <c r="DP36" s="55"/>
      <c r="DQ36" s="55"/>
      <c r="DR36" s="55"/>
      <c r="DS36" s="55"/>
      <c r="DT36" s="55"/>
      <c r="DU36" s="57"/>
      <c r="DV36" s="55"/>
      <c r="DW36" s="55"/>
      <c r="DX36" s="55"/>
      <c r="DY36" s="55"/>
      <c r="DZ36" s="55"/>
      <c r="EA36" s="55"/>
      <c r="EB36" s="55"/>
      <c r="EC36" s="55"/>
      <c r="ED36" s="56"/>
      <c r="EE36" s="54"/>
      <c r="EF36" s="55"/>
      <c r="EG36" s="55"/>
      <c r="EH36" s="55"/>
      <c r="EI36" s="55"/>
      <c r="EJ36" s="55"/>
      <c r="EK36" s="55"/>
      <c r="EL36" s="55"/>
      <c r="EM36" s="58"/>
      <c r="EN36" s="39"/>
      <c r="EO36" s="40">
        <f t="shared" si="4"/>
        <v>46084</v>
      </c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</row>
    <row r="37" spans="1:186" ht="15" hidden="1" thickBot="1" x14ac:dyDescent="0.4">
      <c r="B37" s="41">
        <f t="shared" si="3"/>
        <v>46085</v>
      </c>
      <c r="C37" s="42"/>
      <c r="D37" s="49"/>
      <c r="E37" s="49"/>
      <c r="F37" s="49"/>
      <c r="G37" s="49"/>
      <c r="H37" s="49"/>
      <c r="I37" s="49"/>
      <c r="J37" s="49"/>
      <c r="K37" s="54"/>
      <c r="L37" s="55"/>
      <c r="M37" s="55"/>
      <c r="N37" s="55"/>
      <c r="O37" s="55"/>
      <c r="P37" s="55"/>
      <c r="Q37" s="55"/>
      <c r="R37" s="49"/>
      <c r="S37" s="42"/>
      <c r="T37" s="49"/>
      <c r="U37" s="49"/>
      <c r="V37" s="49"/>
      <c r="W37" s="49"/>
      <c r="X37" s="49"/>
      <c r="Y37" s="49"/>
      <c r="Z37" s="49"/>
      <c r="AA37" s="42"/>
      <c r="AB37" s="49"/>
      <c r="AC37" s="49"/>
      <c r="AD37" s="42"/>
      <c r="AE37" s="48"/>
      <c r="AF37" s="49"/>
      <c r="AG37" s="50"/>
      <c r="AH37" s="51"/>
      <c r="AI37" s="49"/>
      <c r="AJ37" s="49"/>
      <c r="AK37" s="50"/>
      <c r="AL37" s="54"/>
      <c r="AM37" s="55"/>
      <c r="AN37" s="55"/>
      <c r="AO37" s="55"/>
      <c r="AP37" s="55"/>
      <c r="AQ37" s="55"/>
      <c r="AR37" s="55"/>
      <c r="AS37" s="55"/>
      <c r="AT37" s="42"/>
      <c r="AU37" s="48"/>
      <c r="AV37" s="49"/>
      <c r="AW37" s="50"/>
      <c r="AX37" s="51"/>
      <c r="AY37" s="49"/>
      <c r="AZ37" s="49"/>
      <c r="BA37" s="50"/>
      <c r="BB37" s="42"/>
      <c r="BC37" s="48"/>
      <c r="BD37" s="49"/>
      <c r="BE37" s="49"/>
      <c r="BF37" s="51"/>
      <c r="BG37" s="49"/>
      <c r="BH37" s="49"/>
      <c r="BI37" s="49"/>
      <c r="BJ37" s="42"/>
      <c r="BK37" s="48"/>
      <c r="BL37" s="49"/>
      <c r="BM37" s="49"/>
      <c r="BN37" s="49"/>
      <c r="BO37" s="49"/>
      <c r="BP37" s="49"/>
      <c r="BQ37" s="49"/>
      <c r="BR37" s="42"/>
      <c r="BS37" s="48"/>
      <c r="BT37" s="49"/>
      <c r="BU37" s="50"/>
      <c r="BV37" s="51"/>
      <c r="BW37" s="49"/>
      <c r="BX37" s="49"/>
      <c r="BY37" s="49"/>
      <c r="BZ37" s="54"/>
      <c r="CA37" s="74"/>
      <c r="CB37" s="55"/>
      <c r="CC37" s="55"/>
      <c r="CD37" s="55"/>
      <c r="CE37" s="55"/>
      <c r="CF37" s="55"/>
      <c r="CG37" s="55"/>
      <c r="CH37" s="54"/>
      <c r="CI37" s="55"/>
      <c r="CJ37" s="55"/>
      <c r="CK37" s="55"/>
      <c r="CL37" s="55"/>
      <c r="CM37" s="55"/>
      <c r="CN37" s="55"/>
      <c r="CO37" s="55"/>
      <c r="CP37" s="42"/>
      <c r="CQ37" s="48"/>
      <c r="CR37" s="49"/>
      <c r="CS37" s="50"/>
      <c r="CT37" s="51"/>
      <c r="CU37" s="49"/>
      <c r="CV37" s="49"/>
      <c r="CW37" s="42"/>
      <c r="CX37" s="48"/>
      <c r="CY37" s="49"/>
      <c r="CZ37" s="50"/>
      <c r="DA37" s="51"/>
      <c r="DB37" s="49"/>
      <c r="DC37" s="49"/>
      <c r="DD37" s="54"/>
      <c r="DE37" s="55"/>
      <c r="DF37" s="55"/>
      <c r="DG37" s="55"/>
      <c r="DH37" s="55"/>
      <c r="DI37" s="55"/>
      <c r="DJ37" s="55"/>
      <c r="DK37" s="55"/>
      <c r="DL37" s="56"/>
      <c r="DM37" s="54"/>
      <c r="DN37" s="55"/>
      <c r="DO37" s="55"/>
      <c r="DP37" s="55"/>
      <c r="DQ37" s="55"/>
      <c r="DR37" s="55"/>
      <c r="DS37" s="55"/>
      <c r="DT37" s="55"/>
      <c r="DU37" s="57"/>
      <c r="DV37" s="55"/>
      <c r="DW37" s="55"/>
      <c r="DX37" s="55"/>
      <c r="DY37" s="55"/>
      <c r="DZ37" s="55"/>
      <c r="EA37" s="55"/>
      <c r="EB37" s="55"/>
      <c r="EC37" s="55"/>
      <c r="ED37" s="56"/>
      <c r="EE37" s="54"/>
      <c r="EF37" s="55"/>
      <c r="EG37" s="55"/>
      <c r="EH37" s="55"/>
      <c r="EI37" s="55"/>
      <c r="EJ37" s="55"/>
      <c r="EK37" s="55"/>
      <c r="EL37" s="55"/>
      <c r="EM37" s="58"/>
      <c r="EN37" s="39"/>
      <c r="EO37" s="40">
        <f>EO36+1</f>
        <v>46085</v>
      </c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</row>
    <row r="38" spans="1:186" s="12" customFormat="1" ht="17" customHeight="1" thickBot="1" x14ac:dyDescent="0.4">
      <c r="A38" s="3"/>
      <c r="B38" s="59"/>
      <c r="C38" s="60"/>
      <c r="D38" s="61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0"/>
      <c r="T38" s="61"/>
      <c r="U38" s="61"/>
      <c r="V38" s="61"/>
      <c r="W38" s="61"/>
      <c r="X38" s="61"/>
      <c r="Y38" s="61"/>
      <c r="Z38" s="61"/>
      <c r="AA38" s="60"/>
      <c r="AB38" s="61"/>
      <c r="AC38" s="61"/>
      <c r="AD38" s="60"/>
      <c r="AE38" s="62"/>
      <c r="AF38" s="61"/>
      <c r="AG38" s="63"/>
      <c r="AH38" s="64"/>
      <c r="AI38" s="61"/>
      <c r="AJ38" s="61"/>
      <c r="AK38" s="63"/>
      <c r="AL38" s="60"/>
      <c r="AM38" s="61"/>
      <c r="AN38" s="61"/>
      <c r="AO38" s="61"/>
      <c r="AP38" s="61"/>
      <c r="AQ38" s="61"/>
      <c r="AR38" s="61"/>
      <c r="AS38" s="61"/>
      <c r="AT38" s="60"/>
      <c r="AU38" s="62"/>
      <c r="AV38" s="61"/>
      <c r="AW38" s="63"/>
      <c r="AX38" s="64"/>
      <c r="AY38" s="61"/>
      <c r="AZ38" s="61"/>
      <c r="BA38" s="63"/>
      <c r="BB38" s="60"/>
      <c r="BC38" s="62"/>
      <c r="BD38" s="61"/>
      <c r="BE38" s="61"/>
      <c r="BF38" s="61"/>
      <c r="BG38" s="61"/>
      <c r="BH38" s="61"/>
      <c r="BI38" s="61"/>
      <c r="BJ38" s="60"/>
      <c r="BK38" s="61"/>
      <c r="BL38" s="61"/>
      <c r="BM38" s="61"/>
      <c r="BN38" s="61"/>
      <c r="BO38" s="61"/>
      <c r="BP38" s="61"/>
      <c r="BQ38" s="61"/>
      <c r="BR38" s="60"/>
      <c r="BS38" s="62"/>
      <c r="BT38" s="61"/>
      <c r="BU38" s="63"/>
      <c r="BV38" s="64"/>
      <c r="BW38" s="61"/>
      <c r="BX38" s="61"/>
      <c r="BY38" s="61"/>
      <c r="BZ38" s="60"/>
      <c r="CA38" s="61"/>
      <c r="CB38" s="61"/>
      <c r="CC38" s="61"/>
      <c r="CD38" s="61"/>
      <c r="CE38" s="61"/>
      <c r="CF38" s="61"/>
      <c r="CG38" s="61"/>
      <c r="CH38" s="60"/>
      <c r="CI38" s="61"/>
      <c r="CJ38" s="61"/>
      <c r="CK38" s="61"/>
      <c r="CL38" s="61"/>
      <c r="CM38" s="61"/>
      <c r="CN38" s="61"/>
      <c r="CO38" s="61"/>
      <c r="CP38" s="60"/>
      <c r="CQ38" s="62"/>
      <c r="CR38" s="61"/>
      <c r="CS38" s="63"/>
      <c r="CT38" s="64"/>
      <c r="CU38" s="61"/>
      <c r="CV38" s="61"/>
      <c r="CW38" s="60"/>
      <c r="CX38" s="62"/>
      <c r="CY38" s="61"/>
      <c r="CZ38" s="63"/>
      <c r="DA38" s="64"/>
      <c r="DB38" s="61"/>
      <c r="DC38" s="61"/>
      <c r="DD38" s="60"/>
      <c r="DE38" s="61"/>
      <c r="DF38" s="61"/>
      <c r="DG38" s="61"/>
      <c r="DH38" s="61"/>
      <c r="DI38" s="61"/>
      <c r="DJ38" s="61"/>
      <c r="DK38" s="61"/>
      <c r="DL38" s="65"/>
      <c r="DM38" s="60"/>
      <c r="DN38" s="61"/>
      <c r="DO38" s="61"/>
      <c r="DP38" s="61"/>
      <c r="DQ38" s="61"/>
      <c r="DR38" s="61"/>
      <c r="DS38" s="61"/>
      <c r="DT38" s="61"/>
      <c r="DU38" s="66"/>
      <c r="DV38" s="61"/>
      <c r="DW38" s="61"/>
      <c r="DX38" s="61"/>
      <c r="DY38" s="61"/>
      <c r="DZ38" s="61"/>
      <c r="EA38" s="61"/>
      <c r="EB38" s="61"/>
      <c r="EC38" s="61"/>
      <c r="ED38" s="61"/>
      <c r="EE38" s="60"/>
      <c r="EF38" s="61"/>
      <c r="EG38" s="61"/>
      <c r="EH38" s="61"/>
      <c r="EI38" s="61"/>
      <c r="EJ38" s="61"/>
      <c r="EK38" s="61"/>
      <c r="EL38" s="61"/>
      <c r="EM38" s="61"/>
      <c r="EN38" s="67"/>
      <c r="EO38" s="40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  <c r="FZ38" s="68"/>
      <c r="GA38" s="68"/>
      <c r="GB38" s="68"/>
      <c r="GC38" s="68"/>
      <c r="GD38" s="68"/>
    </row>
    <row r="39" spans="1:186" s="12" customFormat="1" ht="17" hidden="1" customHeight="1" thickBot="1" x14ac:dyDescent="0.4">
      <c r="A39" s="3"/>
      <c r="B39" s="69">
        <f>B6-1</f>
        <v>46053</v>
      </c>
      <c r="C39" s="60"/>
      <c r="D39" s="61"/>
      <c r="E39" s="61"/>
      <c r="F39" s="61"/>
      <c r="G39" s="61"/>
      <c r="H39" s="61"/>
      <c r="I39" s="61"/>
      <c r="J39" s="61"/>
      <c r="K39" s="60"/>
      <c r="L39" s="61"/>
      <c r="M39" s="61"/>
      <c r="N39" s="61"/>
      <c r="O39" s="61"/>
      <c r="P39" s="61"/>
      <c r="Q39" s="61"/>
      <c r="R39" s="61"/>
      <c r="S39" s="60"/>
      <c r="T39" s="61"/>
      <c r="U39" s="61"/>
      <c r="V39" s="61"/>
      <c r="W39" s="61"/>
      <c r="X39" s="61"/>
      <c r="Y39" s="61"/>
      <c r="Z39" s="61"/>
      <c r="AA39" s="60"/>
      <c r="AB39" s="61"/>
      <c r="AC39" s="61"/>
      <c r="AD39" s="60"/>
      <c r="AE39" s="61"/>
      <c r="AF39" s="61"/>
      <c r="AG39" s="61"/>
      <c r="AH39" s="61"/>
      <c r="AI39" s="61"/>
      <c r="AJ39" s="61"/>
      <c r="AK39" s="61"/>
      <c r="AL39" s="60"/>
      <c r="AM39" s="61"/>
      <c r="AN39" s="61"/>
      <c r="AO39" s="61"/>
      <c r="AP39" s="61"/>
      <c r="AQ39" s="61"/>
      <c r="AR39" s="61"/>
      <c r="AS39" s="61"/>
      <c r="AT39" s="60"/>
      <c r="AU39" s="61"/>
      <c r="AV39" s="61"/>
      <c r="AW39" s="61"/>
      <c r="AX39" s="61"/>
      <c r="AY39" s="61"/>
      <c r="AZ39" s="61"/>
      <c r="BA39" s="61"/>
      <c r="BB39" s="60"/>
      <c r="BC39" s="61"/>
      <c r="BD39" s="61"/>
      <c r="BE39" s="61"/>
      <c r="BF39" s="61"/>
      <c r="BG39" s="61"/>
      <c r="BH39" s="61"/>
      <c r="BI39" s="61"/>
      <c r="BJ39" s="60"/>
      <c r="BK39" s="61"/>
      <c r="BL39" s="61"/>
      <c r="BM39" s="61"/>
      <c r="BN39" s="61"/>
      <c r="BO39" s="61"/>
      <c r="BP39" s="61"/>
      <c r="BQ39" s="61"/>
      <c r="BR39" s="60"/>
      <c r="BS39" s="61"/>
      <c r="BT39" s="61"/>
      <c r="BU39" s="61"/>
      <c r="BV39" s="61"/>
      <c r="BW39" s="61"/>
      <c r="BX39" s="61"/>
      <c r="BY39" s="61"/>
      <c r="BZ39" s="60"/>
      <c r="CA39" s="61"/>
      <c r="CB39" s="61"/>
      <c r="CC39" s="61"/>
      <c r="CD39" s="61"/>
      <c r="CE39" s="61"/>
      <c r="CF39" s="61"/>
      <c r="CG39" s="61"/>
      <c r="CH39" s="60"/>
      <c r="CI39" s="61"/>
      <c r="CJ39" s="61"/>
      <c r="CK39" s="61"/>
      <c r="CL39" s="61"/>
      <c r="CM39" s="61"/>
      <c r="CN39" s="61"/>
      <c r="CO39" s="61"/>
      <c r="CP39" s="60"/>
      <c r="CQ39" s="61"/>
      <c r="CR39" s="61"/>
      <c r="CS39" s="61"/>
      <c r="CT39" s="61"/>
      <c r="CU39" s="61"/>
      <c r="CV39" s="61"/>
      <c r="CW39" s="60"/>
      <c r="CX39" s="61"/>
      <c r="CY39" s="61"/>
      <c r="CZ39" s="61"/>
      <c r="DA39" s="61"/>
      <c r="DB39" s="61"/>
      <c r="DC39" s="61"/>
      <c r="DD39" s="60"/>
      <c r="DE39" s="61"/>
      <c r="DF39" s="61"/>
      <c r="DG39" s="61"/>
      <c r="DH39" s="61"/>
      <c r="DI39" s="61"/>
      <c r="DJ39" s="61"/>
      <c r="DK39" s="61"/>
      <c r="DL39" s="61"/>
      <c r="DM39" s="60"/>
      <c r="DN39" s="61"/>
      <c r="DO39" s="61"/>
      <c r="DP39" s="61"/>
      <c r="DQ39" s="61"/>
      <c r="DR39" s="61"/>
      <c r="DS39" s="61"/>
      <c r="DT39" s="61"/>
      <c r="DU39" s="66"/>
      <c r="DV39" s="61"/>
      <c r="DW39" s="61"/>
      <c r="DX39" s="61"/>
      <c r="DY39" s="61"/>
      <c r="DZ39" s="61"/>
      <c r="EA39" s="61"/>
      <c r="EB39" s="61"/>
      <c r="EC39" s="61"/>
      <c r="ED39" s="61"/>
      <c r="EE39" s="60"/>
      <c r="EF39" s="61"/>
      <c r="EG39" s="61"/>
      <c r="EH39" s="61"/>
      <c r="EI39" s="61"/>
      <c r="EJ39" s="61"/>
      <c r="EK39" s="61"/>
      <c r="EL39" s="61"/>
      <c r="EM39" s="61"/>
      <c r="EN39" s="67"/>
      <c r="EO39" s="3"/>
    </row>
  </sheetData>
  <mergeCells count="77">
    <mergeCell ref="B2:B5"/>
    <mergeCell ref="C2:Z2"/>
    <mergeCell ref="AA2:AC2"/>
    <mergeCell ref="AD2:AS2"/>
    <mergeCell ref="AT2:CO2"/>
    <mergeCell ref="BR3:BY3"/>
    <mergeCell ref="BZ3:CG3"/>
    <mergeCell ref="CH3:CO3"/>
    <mergeCell ref="C4:C5"/>
    <mergeCell ref="K4:K5"/>
    <mergeCell ref="S4:S5"/>
    <mergeCell ref="AA4:AA5"/>
    <mergeCell ref="AD4:AD5"/>
    <mergeCell ref="BB4:BB5"/>
    <mergeCell ref="DD2:EM2"/>
    <mergeCell ref="C3:J3"/>
    <mergeCell ref="K3:R3"/>
    <mergeCell ref="S3:Z3"/>
    <mergeCell ref="AA3:AC3"/>
    <mergeCell ref="AD3:AK3"/>
    <mergeCell ref="AL3:AS3"/>
    <mergeCell ref="AT3:BA3"/>
    <mergeCell ref="BB3:BI3"/>
    <mergeCell ref="BJ3:BQ3"/>
    <mergeCell ref="CP2:DC2"/>
    <mergeCell ref="CP3:CV3"/>
    <mergeCell ref="EE3:EM3"/>
    <mergeCell ref="CW3:DC3"/>
    <mergeCell ref="DD3:DL3"/>
    <mergeCell ref="DM3:DU3"/>
    <mergeCell ref="DV3:ED3"/>
    <mergeCell ref="AG4:AH4"/>
    <mergeCell ref="AL4:AL5"/>
    <mergeCell ref="AO4:AP4"/>
    <mergeCell ref="AT4:AT5"/>
    <mergeCell ref="AW4:AX4"/>
    <mergeCell ref="DG4:DH4"/>
    <mergeCell ref="BE4:BF4"/>
    <mergeCell ref="BJ4:BJ5"/>
    <mergeCell ref="BM4:BN4"/>
    <mergeCell ref="BU4:BV4"/>
    <mergeCell ref="CC4:CD4"/>
    <mergeCell ref="CK4:CL4"/>
    <mergeCell ref="CP4:CP5"/>
    <mergeCell ref="CS4:CT4"/>
    <mergeCell ref="CW4:CW5"/>
    <mergeCell ref="CZ4:DA4"/>
    <mergeCell ref="DD4:DD5"/>
    <mergeCell ref="EX4:EX5"/>
    <mergeCell ref="DM4:DM5"/>
    <mergeCell ref="DP4:DQ4"/>
    <mergeCell ref="DY4:DZ4"/>
    <mergeCell ref="EE4:EE5"/>
    <mergeCell ref="EH4:EI4"/>
    <mergeCell ref="EO4:EO5"/>
    <mergeCell ref="EP4:EQ4"/>
    <mergeCell ref="ER4:ER5"/>
    <mergeCell ref="ES4:ET4"/>
    <mergeCell ref="EU4:EU5"/>
    <mergeCell ref="EV4:EW4"/>
    <mergeCell ref="FT4:FU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S5"/>
    <mergeCell ref="FV4:FV5"/>
    <mergeCell ref="FW4:FX4"/>
    <mergeCell ref="FY4:FZ4"/>
    <mergeCell ref="GA4:GB4"/>
    <mergeCell ref="GC4:GD4"/>
  </mergeCells>
  <conditionalFormatting sqref="D6:D37 L6:L37 T6:T37">
    <cfRule type="cellIs" dxfId="114" priority="21" operator="greaterThan">
      <formula>5</formula>
    </cfRule>
  </conditionalFormatting>
  <conditionalFormatting sqref="E6:E37 M6:M37 U6:U37">
    <cfRule type="cellIs" dxfId="113" priority="20" operator="greaterThan">
      <formula>0.5</formula>
    </cfRule>
  </conditionalFormatting>
  <conditionalFormatting sqref="F6:F37 N6:N37 V6:V37">
    <cfRule type="cellIs" dxfId="112" priority="19" operator="lessThan">
      <formula>2</formula>
    </cfRule>
  </conditionalFormatting>
  <conditionalFormatting sqref="G6:G37 O6:O37 W6:W37">
    <cfRule type="cellIs" dxfId="111" priority="18" operator="lessThan">
      <formula>51</formula>
    </cfRule>
  </conditionalFormatting>
  <conditionalFormatting sqref="H6:H37 P6:P37 X6:X37">
    <cfRule type="cellIs" dxfId="110" priority="17" operator="greaterThan">
      <formula>2.5</formula>
    </cfRule>
  </conditionalFormatting>
  <conditionalFormatting sqref="I6:I37 Q6:Q37 Y6:Y37">
    <cfRule type="cellIs" dxfId="109" priority="16" operator="greaterThan">
      <formula>5</formula>
    </cfRule>
  </conditionalFormatting>
  <conditionalFormatting sqref="J6:J37 R6:R37 Z6:Z37">
    <cfRule type="cellIs" dxfId="108" priority="15" operator="greaterThan">
      <formula>10</formula>
    </cfRule>
  </conditionalFormatting>
  <conditionalFormatting sqref="AB6:AB37">
    <cfRule type="cellIs" dxfId="107" priority="14" operator="lessThan">
      <formula>70</formula>
    </cfRule>
  </conditionalFormatting>
  <conditionalFormatting sqref="AC6:AC37">
    <cfRule type="cellIs" dxfId="106" priority="13" operator="greaterThan">
      <formula>1</formula>
    </cfRule>
  </conditionalFormatting>
  <conditionalFormatting sqref="AE6:AE37 AM6:AM37">
    <cfRule type="cellIs" dxfId="105" priority="12" operator="greaterThan">
      <formula>0.2</formula>
    </cfRule>
  </conditionalFormatting>
  <conditionalFormatting sqref="AF6:AF37 AN6:AN37">
    <cfRule type="cellIs" dxfId="104" priority="11" operator="greaterThan">
      <formula>0.15</formula>
    </cfRule>
  </conditionalFormatting>
  <conditionalFormatting sqref="AG6:AG37 AO6:AO37">
    <cfRule type="cellIs" dxfId="103" priority="10" operator="greaterThan">
      <formula>3</formula>
    </cfRule>
  </conditionalFormatting>
  <conditionalFormatting sqref="AI6:AI37 AQ6:AQ37">
    <cfRule type="cellIs" dxfId="102" priority="9" operator="lessThan">
      <formula>30</formula>
    </cfRule>
  </conditionalFormatting>
  <conditionalFormatting sqref="AK6:AK37 AS6:AS37">
    <cfRule type="cellIs" dxfId="101" priority="8" operator="lessThan">
      <formula>44</formula>
    </cfRule>
  </conditionalFormatting>
  <conditionalFormatting sqref="AU6:AV37 BC6:BD37 BK6:BL37 BS6:BT37 CA6:CB37 CI6:CJ37 DE6:DF37 DN6:DO37 DW6:DX37 EF6:EG37">
    <cfRule type="cellIs" dxfId="100" priority="7" operator="greaterThan">
      <formula>0.1</formula>
    </cfRule>
  </conditionalFormatting>
  <conditionalFormatting sqref="AW6:AW37 BE6:BE37 BM6:BM37 BU6:BU37 CC6:CC37 CK6:CK37 CS6:CS37 CZ6:CZ37 DG6:DG37 DP6:DP37 DY6:DY37 EH6:EH37">
    <cfRule type="cellIs" dxfId="99" priority="6" operator="greaterThan">
      <formula>3</formula>
    </cfRule>
  </conditionalFormatting>
  <conditionalFormatting sqref="AY6:AY37 BG6:BG37 BO6:BO37 BW6:BW37 CM6:CM37 DI6:DI37 DR6:DR37 EA6:EA37 EJ6:EJ37 CE6:CE38">
    <cfRule type="cellIs" dxfId="98" priority="5" operator="lessThan">
      <formula>56</formula>
    </cfRule>
  </conditionalFormatting>
  <conditionalFormatting sqref="BA6:BA37 BI6:BI37 BQ6:BQ37 BY6:BY37 CG6:CG37 CO6:CO37 DK6:DK37 DT6:DT37 EC6:EC37 EL6:EL37">
    <cfRule type="cellIs" dxfId="97" priority="4" operator="greaterThan">
      <formula>10</formula>
    </cfRule>
  </conditionalFormatting>
  <conditionalFormatting sqref="CQ6:CR37 CX6:CY37">
    <cfRule type="cellIs" dxfId="96" priority="3" operator="greaterThan">
      <formula>0.1</formula>
    </cfRule>
  </conditionalFormatting>
  <conditionalFormatting sqref="CU6:CU37 DB6:DB37">
    <cfRule type="cellIs" dxfId="95" priority="2" operator="lessThan">
      <formula>50</formula>
    </cfRule>
  </conditionalFormatting>
  <conditionalFormatting sqref="CV6:CV37 DC6:DC37">
    <cfRule type="cellIs" dxfId="94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7C5B-89D2-473E-8923-F439E358DB7B}">
  <dimension ref="A1:GD39"/>
  <sheetViews>
    <sheetView tabSelected="1" view="pageBreakPreview" zoomScale="60" zoomScaleNormal="9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FY37" sqref="FY37:FZ37"/>
    </sheetView>
  </sheetViews>
  <sheetFormatPr defaultColWidth="8.81640625" defaultRowHeight="14.5" x14ac:dyDescent="0.35"/>
  <cols>
    <col min="1" max="1" width="8.81640625" style="3"/>
    <col min="2" max="2" width="14.81640625" style="3" customWidth="1"/>
    <col min="3" max="3" width="10.7265625" style="2" customWidth="1"/>
    <col min="4" max="6" width="8.90625" style="70" customWidth="1"/>
    <col min="7" max="7" width="8.453125" style="70" bestFit="1" customWidth="1"/>
    <col min="8" max="10" width="8.90625" style="70" customWidth="1"/>
    <col min="11" max="11" width="11.81640625" style="2" customWidth="1"/>
    <col min="12" max="18" width="8.90625" style="70" customWidth="1"/>
    <col min="19" max="19" width="10.54296875" style="2" bestFit="1" customWidth="1"/>
    <col min="20" max="26" width="8.81640625" style="70" customWidth="1"/>
    <col min="27" max="27" width="8.81640625" style="2" customWidth="1"/>
    <col min="28" max="29" width="8.81640625" style="70" customWidth="1"/>
    <col min="30" max="30" width="8.81640625" style="2" customWidth="1"/>
    <col min="31" max="37" width="8.81640625" style="70" customWidth="1"/>
    <col min="38" max="38" width="8.81640625" style="2" customWidth="1"/>
    <col min="39" max="45" width="8.81640625" style="70" customWidth="1"/>
    <col min="46" max="46" width="8.81640625" style="2" customWidth="1"/>
    <col min="47" max="53" width="8.81640625" style="70" customWidth="1"/>
    <col min="54" max="54" width="8.81640625" style="2" customWidth="1"/>
    <col min="55" max="61" width="8.81640625" style="70" customWidth="1"/>
    <col min="62" max="62" width="8.81640625" style="2" customWidth="1"/>
    <col min="63" max="69" width="8.81640625" style="70" customWidth="1"/>
    <col min="70" max="70" width="8.81640625" style="2" customWidth="1"/>
    <col min="71" max="77" width="8.81640625" style="70" customWidth="1"/>
    <col min="78" max="78" width="8.81640625" style="2" customWidth="1"/>
    <col min="79" max="85" width="8.81640625" style="70" customWidth="1"/>
    <col min="86" max="86" width="8.81640625" style="2" customWidth="1"/>
    <col min="87" max="93" width="8.81640625" style="70" customWidth="1"/>
    <col min="94" max="94" width="10.1796875" style="2" customWidth="1"/>
    <col min="95" max="100" width="8.81640625" style="70" customWidth="1"/>
    <col min="101" max="101" width="10.1796875" style="2" bestFit="1" customWidth="1"/>
    <col min="102" max="107" width="8.81640625" style="70" customWidth="1"/>
    <col min="108" max="108" width="8.81640625" style="2" customWidth="1"/>
    <col min="109" max="116" width="8.81640625" style="70" customWidth="1"/>
    <col min="117" max="117" width="8.81640625" style="2" customWidth="1"/>
    <col min="118" max="124" width="8.81640625" style="70" customWidth="1"/>
    <col min="125" max="125" width="8.81640625" style="3" customWidth="1"/>
    <col min="126" max="134" width="8.81640625" style="70" customWidth="1"/>
    <col min="135" max="135" width="8.81640625" style="2" customWidth="1"/>
    <col min="136" max="144" width="8.81640625" style="70" customWidth="1"/>
    <col min="145" max="145" width="11.54296875" style="3" bestFit="1" customWidth="1"/>
    <col min="146" max="146" width="11.36328125" style="3" bestFit="1" customWidth="1"/>
    <col min="147" max="147" width="11.1796875" style="3" bestFit="1" customWidth="1"/>
    <col min="148" max="148" width="18.453125" style="3" bestFit="1" customWidth="1"/>
    <col min="149" max="150" width="11.08984375" style="3" bestFit="1" customWidth="1"/>
    <col min="151" max="151" width="18.7265625" style="3" bestFit="1" customWidth="1"/>
    <col min="152" max="152" width="11.1796875" style="3" bestFit="1" customWidth="1"/>
    <col min="153" max="153" width="11.54296875" style="3" bestFit="1" customWidth="1"/>
    <col min="154" max="154" width="18.7265625" style="3" bestFit="1" customWidth="1"/>
    <col min="155" max="155" width="10.81640625" style="3" bestFit="1" customWidth="1"/>
    <col min="156" max="156" width="11.6328125" style="3" bestFit="1" customWidth="1"/>
    <col min="157" max="157" width="10.81640625" style="3" bestFit="1" customWidth="1"/>
    <col min="158" max="159" width="11.08984375" style="3" bestFit="1" customWidth="1"/>
    <col min="160" max="160" width="11.54296875" style="3" bestFit="1" customWidth="1"/>
    <col min="161" max="167" width="10.81640625" style="3" bestFit="1" customWidth="1"/>
    <col min="168" max="170" width="11.08984375" style="3" bestFit="1" customWidth="1"/>
    <col min="171" max="172" width="11.54296875" style="3" bestFit="1" customWidth="1"/>
    <col min="173" max="173" width="10.81640625" style="3" bestFit="1" customWidth="1"/>
    <col min="174" max="174" width="11.08984375" style="3" bestFit="1" customWidth="1"/>
    <col min="175" max="175" width="15.08984375" style="3" bestFit="1" customWidth="1"/>
    <col min="176" max="176" width="11.1796875" style="3" bestFit="1" customWidth="1"/>
    <col min="177" max="177" width="11.54296875" style="3" bestFit="1" customWidth="1"/>
    <col min="178" max="178" width="11.08984375" style="3" customWidth="1"/>
    <col min="179" max="180" width="8.81640625" style="3"/>
    <col min="181" max="182" width="11.08984375" style="3" bestFit="1" customWidth="1"/>
    <col min="183" max="16384" width="8.81640625" style="3"/>
  </cols>
  <sheetData>
    <row r="1" spans="2:186" x14ac:dyDescent="0.35">
      <c r="B1" s="3">
        <v>1</v>
      </c>
      <c r="C1" s="2">
        <v>2</v>
      </c>
      <c r="D1" s="3">
        <v>3</v>
      </c>
      <c r="E1" s="2">
        <v>4</v>
      </c>
      <c r="F1" s="3">
        <v>5</v>
      </c>
      <c r="G1" s="2">
        <v>6</v>
      </c>
      <c r="H1" s="3">
        <v>7</v>
      </c>
      <c r="I1" s="2">
        <v>8</v>
      </c>
      <c r="J1" s="3">
        <v>9</v>
      </c>
      <c r="K1" s="2">
        <v>10</v>
      </c>
      <c r="L1" s="3">
        <v>11</v>
      </c>
      <c r="M1" s="2">
        <v>12</v>
      </c>
      <c r="N1" s="3">
        <v>13</v>
      </c>
      <c r="O1" s="2">
        <v>14</v>
      </c>
      <c r="P1" s="3">
        <v>15</v>
      </c>
      <c r="Q1" s="2">
        <v>16</v>
      </c>
      <c r="R1" s="3">
        <v>17</v>
      </c>
      <c r="S1" s="2">
        <v>18</v>
      </c>
      <c r="T1" s="3">
        <v>19</v>
      </c>
      <c r="U1" s="2">
        <v>20</v>
      </c>
      <c r="V1" s="3">
        <v>21</v>
      </c>
      <c r="W1" s="2">
        <v>22</v>
      </c>
      <c r="X1" s="3">
        <v>23</v>
      </c>
      <c r="Y1" s="2">
        <v>24</v>
      </c>
      <c r="Z1" s="3">
        <v>25</v>
      </c>
      <c r="AA1" s="2">
        <v>26</v>
      </c>
      <c r="AB1" s="3">
        <v>27</v>
      </c>
      <c r="AC1" s="2">
        <v>28</v>
      </c>
      <c r="AD1" s="3">
        <v>29</v>
      </c>
      <c r="AE1" s="2">
        <v>30</v>
      </c>
      <c r="AF1" s="3">
        <v>31</v>
      </c>
      <c r="AG1" s="2">
        <v>32</v>
      </c>
      <c r="AH1" s="3">
        <v>33</v>
      </c>
      <c r="AI1" s="2">
        <v>34</v>
      </c>
      <c r="AJ1" s="3">
        <v>35</v>
      </c>
      <c r="AK1" s="2">
        <v>36</v>
      </c>
      <c r="AL1" s="3">
        <v>37</v>
      </c>
      <c r="AM1" s="2">
        <v>38</v>
      </c>
      <c r="AN1" s="3">
        <v>39</v>
      </c>
      <c r="AO1" s="2">
        <v>40</v>
      </c>
      <c r="AP1" s="3">
        <v>41</v>
      </c>
      <c r="AQ1" s="2">
        <v>42</v>
      </c>
      <c r="AR1" s="3">
        <v>43</v>
      </c>
      <c r="AS1" s="2">
        <v>44</v>
      </c>
      <c r="AT1" s="3">
        <v>45</v>
      </c>
      <c r="AU1" s="2">
        <v>46</v>
      </c>
      <c r="AV1" s="3">
        <v>47</v>
      </c>
      <c r="AW1" s="2">
        <v>48</v>
      </c>
      <c r="AX1" s="3">
        <v>49</v>
      </c>
      <c r="AY1" s="2">
        <v>50</v>
      </c>
      <c r="AZ1" s="3">
        <v>51</v>
      </c>
      <c r="BA1" s="2">
        <v>52</v>
      </c>
      <c r="BB1" s="3">
        <v>53</v>
      </c>
      <c r="BC1" s="2">
        <v>54</v>
      </c>
      <c r="BD1" s="3">
        <v>55</v>
      </c>
      <c r="BE1" s="2">
        <v>56</v>
      </c>
      <c r="BF1" s="3">
        <v>57</v>
      </c>
      <c r="BG1" s="2">
        <v>58</v>
      </c>
      <c r="BH1" s="3">
        <v>59</v>
      </c>
      <c r="BI1" s="2">
        <v>60</v>
      </c>
      <c r="BJ1" s="3">
        <v>61</v>
      </c>
      <c r="BK1" s="2">
        <v>62</v>
      </c>
      <c r="BL1" s="3">
        <v>63</v>
      </c>
      <c r="BM1" s="2">
        <v>64</v>
      </c>
      <c r="BN1" s="3">
        <v>65</v>
      </c>
      <c r="BO1" s="2">
        <v>66</v>
      </c>
      <c r="BP1" s="3">
        <v>67</v>
      </c>
      <c r="BQ1" s="2">
        <v>68</v>
      </c>
      <c r="BR1" s="3">
        <v>69</v>
      </c>
      <c r="BS1" s="2">
        <v>70</v>
      </c>
      <c r="BT1" s="3">
        <v>71</v>
      </c>
      <c r="BU1" s="2">
        <v>72</v>
      </c>
      <c r="BV1" s="3">
        <v>73</v>
      </c>
      <c r="BW1" s="2">
        <v>74</v>
      </c>
      <c r="BX1" s="3">
        <v>75</v>
      </c>
      <c r="BY1" s="2">
        <v>76</v>
      </c>
      <c r="BZ1" s="3">
        <v>77</v>
      </c>
      <c r="CA1" s="2">
        <v>78</v>
      </c>
      <c r="CB1" s="3">
        <v>79</v>
      </c>
      <c r="CC1" s="2">
        <v>80</v>
      </c>
      <c r="CD1" s="3">
        <v>81</v>
      </c>
      <c r="CE1" s="2">
        <v>82</v>
      </c>
      <c r="CF1" s="3">
        <v>83</v>
      </c>
      <c r="CG1" s="2">
        <v>84</v>
      </c>
      <c r="CH1" s="3">
        <v>85</v>
      </c>
      <c r="CI1" s="2">
        <v>86</v>
      </c>
      <c r="CJ1" s="3">
        <v>87</v>
      </c>
      <c r="CK1" s="2">
        <v>88</v>
      </c>
      <c r="CL1" s="3">
        <v>89</v>
      </c>
      <c r="CM1" s="2">
        <v>90</v>
      </c>
      <c r="CN1" s="3">
        <v>91</v>
      </c>
      <c r="CO1" s="2">
        <v>92</v>
      </c>
      <c r="CP1" s="3">
        <v>93</v>
      </c>
      <c r="CQ1" s="2">
        <v>94</v>
      </c>
      <c r="CR1" s="3">
        <v>95</v>
      </c>
      <c r="CS1" s="2">
        <v>96</v>
      </c>
      <c r="CT1" s="3">
        <v>97</v>
      </c>
      <c r="CU1" s="2">
        <v>98</v>
      </c>
      <c r="CV1" s="3">
        <v>99</v>
      </c>
      <c r="CW1" s="2">
        <v>100</v>
      </c>
      <c r="CX1" s="3">
        <v>101</v>
      </c>
      <c r="CY1" s="2">
        <v>102</v>
      </c>
      <c r="CZ1" s="3">
        <v>103</v>
      </c>
      <c r="DA1" s="2">
        <v>104</v>
      </c>
      <c r="DB1" s="3">
        <v>105</v>
      </c>
      <c r="DC1" s="2">
        <v>106</v>
      </c>
      <c r="DD1" s="3">
        <v>107</v>
      </c>
      <c r="DE1" s="2">
        <v>108</v>
      </c>
      <c r="DF1" s="3">
        <v>109</v>
      </c>
      <c r="DG1" s="2">
        <v>110</v>
      </c>
      <c r="DH1" s="3">
        <v>111</v>
      </c>
      <c r="DI1" s="2">
        <v>112</v>
      </c>
      <c r="DJ1" s="3">
        <v>113</v>
      </c>
      <c r="DK1" s="2">
        <v>114</v>
      </c>
      <c r="DL1" s="3">
        <v>115</v>
      </c>
      <c r="DM1" s="2">
        <v>116</v>
      </c>
      <c r="DN1" s="3">
        <v>117</v>
      </c>
      <c r="DO1" s="2">
        <v>118</v>
      </c>
      <c r="DP1" s="3">
        <v>119</v>
      </c>
      <c r="DQ1" s="2">
        <v>120</v>
      </c>
      <c r="DR1" s="3">
        <v>121</v>
      </c>
      <c r="DS1" s="2">
        <v>122</v>
      </c>
      <c r="DT1" s="3">
        <v>123</v>
      </c>
      <c r="DU1" s="2">
        <v>124</v>
      </c>
      <c r="DV1" s="3">
        <v>125</v>
      </c>
      <c r="DW1" s="2">
        <v>126</v>
      </c>
      <c r="DX1" s="3">
        <v>127</v>
      </c>
      <c r="DY1" s="2">
        <v>128</v>
      </c>
      <c r="DZ1" s="3">
        <v>129</v>
      </c>
      <c r="EA1" s="2">
        <v>130</v>
      </c>
      <c r="EB1" s="3">
        <v>131</v>
      </c>
      <c r="EC1" s="2">
        <v>132</v>
      </c>
      <c r="ED1" s="3">
        <v>133</v>
      </c>
      <c r="EE1" s="2">
        <v>134</v>
      </c>
      <c r="EF1" s="3">
        <v>135</v>
      </c>
      <c r="EG1" s="2">
        <v>136</v>
      </c>
      <c r="EH1" s="3">
        <v>137</v>
      </c>
      <c r="EI1" s="2">
        <v>138</v>
      </c>
      <c r="EJ1" s="3">
        <v>139</v>
      </c>
      <c r="EK1" s="2">
        <v>140</v>
      </c>
      <c r="EL1" s="3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</row>
    <row r="2" spans="2:186" x14ac:dyDescent="0.35">
      <c r="B2" s="123" t="s">
        <v>1</v>
      </c>
      <c r="C2" s="121" t="s">
        <v>2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2" t="s">
        <v>3</v>
      </c>
      <c r="AB2" s="122"/>
      <c r="AC2" s="122"/>
      <c r="AD2" s="113" t="s">
        <v>4</v>
      </c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1" t="s">
        <v>5</v>
      </c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2" t="s">
        <v>6</v>
      </c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0" t="s">
        <v>7</v>
      </c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2"/>
    </row>
    <row r="3" spans="2:186" x14ac:dyDescent="0.35">
      <c r="B3" s="123"/>
      <c r="C3" s="121" t="s">
        <v>8</v>
      </c>
      <c r="D3" s="121"/>
      <c r="E3" s="121"/>
      <c r="F3" s="121"/>
      <c r="G3" s="121"/>
      <c r="H3" s="121"/>
      <c r="I3" s="121"/>
      <c r="J3" s="121"/>
      <c r="K3" s="121" t="s">
        <v>9</v>
      </c>
      <c r="L3" s="121"/>
      <c r="M3" s="121"/>
      <c r="N3" s="121"/>
      <c r="O3" s="121"/>
      <c r="P3" s="121"/>
      <c r="Q3" s="121"/>
      <c r="R3" s="121"/>
      <c r="S3" s="121" t="s">
        <v>10</v>
      </c>
      <c r="T3" s="121"/>
      <c r="U3" s="121"/>
      <c r="V3" s="121"/>
      <c r="W3" s="121"/>
      <c r="X3" s="121"/>
      <c r="Y3" s="121"/>
      <c r="Z3" s="121"/>
      <c r="AA3" s="122" t="s">
        <v>11</v>
      </c>
      <c r="AB3" s="122"/>
      <c r="AC3" s="122"/>
      <c r="AD3" s="113" t="s">
        <v>12</v>
      </c>
      <c r="AE3" s="113"/>
      <c r="AF3" s="113"/>
      <c r="AG3" s="113"/>
      <c r="AH3" s="113"/>
      <c r="AI3" s="113"/>
      <c r="AJ3" s="113"/>
      <c r="AK3" s="113"/>
      <c r="AL3" s="113" t="s">
        <v>13</v>
      </c>
      <c r="AM3" s="113"/>
      <c r="AN3" s="113"/>
      <c r="AO3" s="113"/>
      <c r="AP3" s="113"/>
      <c r="AQ3" s="113"/>
      <c r="AR3" s="113"/>
      <c r="AS3" s="113"/>
      <c r="AT3" s="111" t="s">
        <v>14</v>
      </c>
      <c r="AU3" s="111"/>
      <c r="AV3" s="111"/>
      <c r="AW3" s="111"/>
      <c r="AX3" s="111"/>
      <c r="AY3" s="111"/>
      <c r="AZ3" s="111"/>
      <c r="BA3" s="111"/>
      <c r="BB3" s="111" t="s">
        <v>15</v>
      </c>
      <c r="BC3" s="111"/>
      <c r="BD3" s="111"/>
      <c r="BE3" s="111"/>
      <c r="BF3" s="111"/>
      <c r="BG3" s="111"/>
      <c r="BH3" s="111"/>
      <c r="BI3" s="111"/>
      <c r="BJ3" s="111" t="s">
        <v>16</v>
      </c>
      <c r="BK3" s="111"/>
      <c r="BL3" s="111"/>
      <c r="BM3" s="111"/>
      <c r="BN3" s="111"/>
      <c r="BO3" s="111"/>
      <c r="BP3" s="111"/>
      <c r="BQ3" s="111"/>
      <c r="BR3" s="111" t="s">
        <v>17</v>
      </c>
      <c r="BS3" s="111"/>
      <c r="BT3" s="111"/>
      <c r="BU3" s="111"/>
      <c r="BV3" s="111"/>
      <c r="BW3" s="111"/>
      <c r="BX3" s="111"/>
      <c r="BY3" s="111"/>
      <c r="BZ3" s="111" t="s">
        <v>18</v>
      </c>
      <c r="CA3" s="111"/>
      <c r="CB3" s="111"/>
      <c r="CC3" s="111"/>
      <c r="CD3" s="111"/>
      <c r="CE3" s="111"/>
      <c r="CF3" s="111"/>
      <c r="CG3" s="111"/>
      <c r="CH3" s="111" t="s">
        <v>19</v>
      </c>
      <c r="CI3" s="111"/>
      <c r="CJ3" s="111"/>
      <c r="CK3" s="111"/>
      <c r="CL3" s="111"/>
      <c r="CM3" s="111"/>
      <c r="CN3" s="111"/>
      <c r="CO3" s="111"/>
      <c r="CP3" s="112" t="s">
        <v>20</v>
      </c>
      <c r="CQ3" s="112"/>
      <c r="CR3" s="112"/>
      <c r="CS3" s="112"/>
      <c r="CT3" s="112"/>
      <c r="CU3" s="112"/>
      <c r="CV3" s="112"/>
      <c r="CW3" s="112" t="s">
        <v>21</v>
      </c>
      <c r="CX3" s="112"/>
      <c r="CY3" s="112"/>
      <c r="CZ3" s="112"/>
      <c r="DA3" s="112"/>
      <c r="DB3" s="112"/>
      <c r="DC3" s="112"/>
      <c r="DD3" s="110" t="s">
        <v>22</v>
      </c>
      <c r="DE3" s="110"/>
      <c r="DF3" s="110"/>
      <c r="DG3" s="110"/>
      <c r="DH3" s="110"/>
      <c r="DI3" s="110"/>
      <c r="DJ3" s="110"/>
      <c r="DK3" s="110"/>
      <c r="DL3" s="110"/>
      <c r="DM3" s="110" t="s">
        <v>23</v>
      </c>
      <c r="DN3" s="110"/>
      <c r="DO3" s="110"/>
      <c r="DP3" s="110"/>
      <c r="DQ3" s="110"/>
      <c r="DR3" s="110"/>
      <c r="DS3" s="110"/>
      <c r="DT3" s="110"/>
      <c r="DU3" s="110"/>
      <c r="DV3" s="114" t="s">
        <v>24</v>
      </c>
      <c r="DW3" s="114"/>
      <c r="DX3" s="114"/>
      <c r="DY3" s="114"/>
      <c r="DZ3" s="114"/>
      <c r="EA3" s="114"/>
      <c r="EB3" s="114"/>
      <c r="EC3" s="114"/>
      <c r="ED3" s="114"/>
      <c r="EE3" s="110" t="s">
        <v>25</v>
      </c>
      <c r="EF3" s="110"/>
      <c r="EG3" s="110"/>
      <c r="EH3" s="110"/>
      <c r="EI3" s="110"/>
      <c r="EJ3" s="110"/>
      <c r="EK3" s="110"/>
      <c r="EL3" s="110"/>
      <c r="EM3" s="110"/>
      <c r="EN3" s="2"/>
    </row>
    <row r="4" spans="2:186" x14ac:dyDescent="0.35">
      <c r="B4" s="123"/>
      <c r="C4" s="10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10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105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105" t="s">
        <v>26</v>
      </c>
      <c r="AB4" s="6" t="s">
        <v>27</v>
      </c>
      <c r="AC4" s="6" t="s">
        <v>34</v>
      </c>
      <c r="AD4" s="105" t="s">
        <v>26</v>
      </c>
      <c r="AE4" s="6" t="s">
        <v>27</v>
      </c>
      <c r="AF4" s="6" t="s">
        <v>34</v>
      </c>
      <c r="AG4" s="108" t="s">
        <v>35</v>
      </c>
      <c r="AH4" s="109"/>
      <c r="AI4" s="6" t="s">
        <v>30</v>
      </c>
      <c r="AJ4" s="6" t="s">
        <v>31</v>
      </c>
      <c r="AK4" s="6" t="s">
        <v>36</v>
      </c>
      <c r="AL4" s="105" t="s">
        <v>26</v>
      </c>
      <c r="AM4" s="6" t="s">
        <v>27</v>
      </c>
      <c r="AN4" s="6" t="s">
        <v>34</v>
      </c>
      <c r="AO4" s="108" t="s">
        <v>35</v>
      </c>
      <c r="AP4" s="109"/>
      <c r="AQ4" s="6" t="s">
        <v>30</v>
      </c>
      <c r="AR4" s="6" t="s">
        <v>31</v>
      </c>
      <c r="AS4" s="6" t="s">
        <v>36</v>
      </c>
      <c r="AT4" s="105" t="s">
        <v>26</v>
      </c>
      <c r="AU4" s="6" t="s">
        <v>27</v>
      </c>
      <c r="AV4" s="6" t="s">
        <v>34</v>
      </c>
      <c r="AW4" s="108" t="s">
        <v>35</v>
      </c>
      <c r="AX4" s="109"/>
      <c r="AY4" s="6" t="s">
        <v>30</v>
      </c>
      <c r="AZ4" s="6" t="s">
        <v>31</v>
      </c>
      <c r="BA4" s="6" t="s">
        <v>37</v>
      </c>
      <c r="BB4" s="105" t="s">
        <v>26</v>
      </c>
      <c r="BC4" s="6" t="s">
        <v>27</v>
      </c>
      <c r="BD4" s="6" t="s">
        <v>34</v>
      </c>
      <c r="BE4" s="108" t="s">
        <v>35</v>
      </c>
      <c r="BF4" s="109"/>
      <c r="BG4" s="6" t="s">
        <v>30</v>
      </c>
      <c r="BH4" s="6" t="s">
        <v>31</v>
      </c>
      <c r="BI4" s="6" t="s">
        <v>37</v>
      </c>
      <c r="BJ4" s="105" t="s">
        <v>26</v>
      </c>
      <c r="BK4" s="6" t="s">
        <v>27</v>
      </c>
      <c r="BL4" s="6" t="s">
        <v>34</v>
      </c>
      <c r="BM4" s="108" t="s">
        <v>35</v>
      </c>
      <c r="BN4" s="109"/>
      <c r="BO4" s="6" t="s">
        <v>30</v>
      </c>
      <c r="BP4" s="6" t="s">
        <v>31</v>
      </c>
      <c r="BQ4" s="6" t="s">
        <v>37</v>
      </c>
      <c r="BR4" s="7" t="s">
        <v>26</v>
      </c>
      <c r="BS4" s="6" t="s">
        <v>27</v>
      </c>
      <c r="BT4" s="6" t="s">
        <v>34</v>
      </c>
      <c r="BU4" s="108" t="s">
        <v>35</v>
      </c>
      <c r="BV4" s="109"/>
      <c r="BW4" s="6" t="s">
        <v>30</v>
      </c>
      <c r="BX4" s="6" t="s">
        <v>31</v>
      </c>
      <c r="BY4" s="6" t="s">
        <v>37</v>
      </c>
      <c r="BZ4" s="7" t="s">
        <v>26</v>
      </c>
      <c r="CA4" s="6" t="s">
        <v>27</v>
      </c>
      <c r="CB4" s="6" t="s">
        <v>34</v>
      </c>
      <c r="CC4" s="108" t="s">
        <v>35</v>
      </c>
      <c r="CD4" s="109"/>
      <c r="CE4" s="6" t="s">
        <v>30</v>
      </c>
      <c r="CF4" s="6" t="s">
        <v>31</v>
      </c>
      <c r="CG4" s="6" t="s">
        <v>37</v>
      </c>
      <c r="CH4" s="7" t="s">
        <v>26</v>
      </c>
      <c r="CI4" s="6" t="s">
        <v>27</v>
      </c>
      <c r="CJ4" s="6" t="s">
        <v>34</v>
      </c>
      <c r="CK4" s="108" t="s">
        <v>35</v>
      </c>
      <c r="CL4" s="109"/>
      <c r="CM4" s="6" t="s">
        <v>30</v>
      </c>
      <c r="CN4" s="6" t="s">
        <v>31</v>
      </c>
      <c r="CO4" s="6" t="s">
        <v>37</v>
      </c>
      <c r="CP4" s="105" t="s">
        <v>26</v>
      </c>
      <c r="CQ4" s="6" t="s">
        <v>27</v>
      </c>
      <c r="CR4" s="6" t="s">
        <v>34</v>
      </c>
      <c r="CS4" s="108" t="s">
        <v>35</v>
      </c>
      <c r="CT4" s="109"/>
      <c r="CU4" s="6" t="s">
        <v>30</v>
      </c>
      <c r="CV4" s="6" t="s">
        <v>31</v>
      </c>
      <c r="CW4" s="105" t="s">
        <v>26</v>
      </c>
      <c r="CX4" s="6" t="s">
        <v>27</v>
      </c>
      <c r="CY4" s="6" t="s">
        <v>34</v>
      </c>
      <c r="CZ4" s="108" t="s">
        <v>35</v>
      </c>
      <c r="DA4" s="109"/>
      <c r="DB4" s="6" t="s">
        <v>30</v>
      </c>
      <c r="DC4" s="6" t="s">
        <v>31</v>
      </c>
      <c r="DD4" s="105" t="s">
        <v>26</v>
      </c>
      <c r="DE4" s="6" t="s">
        <v>27</v>
      </c>
      <c r="DF4" s="6" t="s">
        <v>34</v>
      </c>
      <c r="DG4" s="101" t="s">
        <v>35</v>
      </c>
      <c r="DH4" s="101"/>
      <c r="DI4" s="6" t="s">
        <v>30</v>
      </c>
      <c r="DJ4" s="6" t="s">
        <v>31</v>
      </c>
      <c r="DK4" s="6" t="s">
        <v>37</v>
      </c>
      <c r="DL4" s="6" t="s">
        <v>38</v>
      </c>
      <c r="DM4" s="105" t="s">
        <v>26</v>
      </c>
      <c r="DN4" s="6" t="s">
        <v>27</v>
      </c>
      <c r="DO4" s="6" t="s">
        <v>34</v>
      </c>
      <c r="DP4" s="101" t="s">
        <v>35</v>
      </c>
      <c r="DQ4" s="101"/>
      <c r="DR4" s="6" t="s">
        <v>30</v>
      </c>
      <c r="DS4" s="6" t="s">
        <v>31</v>
      </c>
      <c r="DT4" s="6" t="s">
        <v>37</v>
      </c>
      <c r="DU4" s="8" t="s">
        <v>38</v>
      </c>
      <c r="DV4" s="6" t="s">
        <v>26</v>
      </c>
      <c r="DW4" s="6" t="s">
        <v>27</v>
      </c>
      <c r="DX4" s="6" t="s">
        <v>34</v>
      </c>
      <c r="DY4" s="101" t="s">
        <v>35</v>
      </c>
      <c r="DZ4" s="101"/>
      <c r="EA4" s="6" t="s">
        <v>30</v>
      </c>
      <c r="EB4" s="6" t="s">
        <v>31</v>
      </c>
      <c r="EC4" s="6" t="s">
        <v>37</v>
      </c>
      <c r="ED4" s="6" t="s">
        <v>38</v>
      </c>
      <c r="EE4" s="107" t="s">
        <v>26</v>
      </c>
      <c r="EF4" s="6" t="s">
        <v>27</v>
      </c>
      <c r="EG4" s="6" t="s">
        <v>34</v>
      </c>
      <c r="EH4" s="101" t="s">
        <v>35</v>
      </c>
      <c r="EI4" s="101"/>
      <c r="EJ4" s="6" t="s">
        <v>30</v>
      </c>
      <c r="EK4" s="6" t="s">
        <v>31</v>
      </c>
      <c r="EL4" s="6" t="s">
        <v>37</v>
      </c>
      <c r="EM4" s="6" t="s">
        <v>38</v>
      </c>
      <c r="EN4" s="9"/>
      <c r="EO4" s="102" t="s">
        <v>39</v>
      </c>
      <c r="EP4" s="104" t="s">
        <v>8</v>
      </c>
      <c r="EQ4" s="104"/>
      <c r="ER4" s="104" t="s">
        <v>69</v>
      </c>
      <c r="ES4" s="104" t="s">
        <v>9</v>
      </c>
      <c r="ET4" s="104"/>
      <c r="EU4" s="104" t="s">
        <v>69</v>
      </c>
      <c r="EV4" s="104" t="s">
        <v>10</v>
      </c>
      <c r="EW4" s="104"/>
      <c r="EX4" s="104" t="s">
        <v>69</v>
      </c>
      <c r="EY4" s="100" t="s">
        <v>11</v>
      </c>
      <c r="EZ4" s="100"/>
      <c r="FA4" s="99" t="s">
        <v>12</v>
      </c>
      <c r="FB4" s="99"/>
      <c r="FC4" s="99" t="s">
        <v>13</v>
      </c>
      <c r="FD4" s="99"/>
      <c r="FE4" s="97" t="s">
        <v>14</v>
      </c>
      <c r="FF4" s="97"/>
      <c r="FG4" s="97" t="s">
        <v>15</v>
      </c>
      <c r="FH4" s="97"/>
      <c r="FI4" s="97" t="s">
        <v>16</v>
      </c>
      <c r="FJ4" s="97"/>
      <c r="FK4" s="97" t="s">
        <v>17</v>
      </c>
      <c r="FL4" s="97"/>
      <c r="FM4" s="97" t="s">
        <v>18</v>
      </c>
      <c r="FN4" s="97"/>
      <c r="FO4" s="97" t="s">
        <v>19</v>
      </c>
      <c r="FP4" s="97"/>
      <c r="FQ4" s="98" t="s">
        <v>20</v>
      </c>
      <c r="FR4" s="98"/>
      <c r="FS4" s="98" t="s">
        <v>69</v>
      </c>
      <c r="FT4" s="98" t="s">
        <v>21</v>
      </c>
      <c r="FU4" s="98"/>
      <c r="FV4" s="98" t="s">
        <v>69</v>
      </c>
      <c r="FW4" s="96" t="s">
        <v>40</v>
      </c>
      <c r="FX4" s="96"/>
      <c r="FY4" s="96" t="s">
        <v>41</v>
      </c>
      <c r="FZ4" s="96"/>
      <c r="GA4" s="96" t="s">
        <v>42</v>
      </c>
      <c r="GB4" s="96"/>
      <c r="GC4" s="96" t="s">
        <v>43</v>
      </c>
      <c r="GD4" s="96"/>
    </row>
    <row r="5" spans="2:186" s="22" customFormat="1" x14ac:dyDescent="0.35">
      <c r="B5" s="123"/>
      <c r="C5" s="106"/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44</v>
      </c>
      <c r="J5" s="13" t="s">
        <v>49</v>
      </c>
      <c r="K5" s="106"/>
      <c r="L5" s="13" t="s">
        <v>44</v>
      </c>
      <c r="M5" s="13" t="s">
        <v>45</v>
      </c>
      <c r="N5" s="13" t="s">
        <v>46</v>
      </c>
      <c r="O5" s="13" t="s">
        <v>47</v>
      </c>
      <c r="P5" s="13" t="s">
        <v>48</v>
      </c>
      <c r="Q5" s="13" t="s">
        <v>44</v>
      </c>
      <c r="R5" s="13" t="s">
        <v>49</v>
      </c>
      <c r="S5" s="106"/>
      <c r="T5" s="13" t="s">
        <v>44</v>
      </c>
      <c r="U5" s="13" t="s">
        <v>45</v>
      </c>
      <c r="V5" s="13" t="s">
        <v>46</v>
      </c>
      <c r="W5" s="13" t="s">
        <v>47</v>
      </c>
      <c r="X5" s="13" t="s">
        <v>48</v>
      </c>
      <c r="Y5" s="13" t="s">
        <v>44</v>
      </c>
      <c r="Z5" s="13" t="s">
        <v>49</v>
      </c>
      <c r="AA5" s="106"/>
      <c r="AB5" s="6" t="s">
        <v>50</v>
      </c>
      <c r="AC5" s="6" t="s">
        <v>51</v>
      </c>
      <c r="AD5" s="106"/>
      <c r="AE5" s="6" t="s">
        <v>52</v>
      </c>
      <c r="AF5" s="6" t="s">
        <v>53</v>
      </c>
      <c r="AG5" s="6" t="s">
        <v>54</v>
      </c>
      <c r="AH5" s="6" t="s">
        <v>55</v>
      </c>
      <c r="AI5" s="6" t="s">
        <v>56</v>
      </c>
      <c r="AJ5" s="6"/>
      <c r="AK5" s="6" t="s">
        <v>57</v>
      </c>
      <c r="AL5" s="106"/>
      <c r="AM5" s="6" t="s">
        <v>52</v>
      </c>
      <c r="AN5" s="6" t="s">
        <v>53</v>
      </c>
      <c r="AO5" s="6" t="s">
        <v>54</v>
      </c>
      <c r="AP5" s="6" t="s">
        <v>55</v>
      </c>
      <c r="AQ5" s="6" t="s">
        <v>56</v>
      </c>
      <c r="AR5" s="6"/>
      <c r="AS5" s="6" t="s">
        <v>57</v>
      </c>
      <c r="AT5" s="106"/>
      <c r="AU5" s="6" t="s">
        <v>58</v>
      </c>
      <c r="AV5" s="6" t="s">
        <v>58</v>
      </c>
      <c r="AW5" s="6" t="s">
        <v>54</v>
      </c>
      <c r="AX5" s="6" t="s">
        <v>55</v>
      </c>
      <c r="AY5" s="6" t="s">
        <v>59</v>
      </c>
      <c r="AZ5" s="6"/>
      <c r="BA5" s="14" t="s">
        <v>60</v>
      </c>
      <c r="BB5" s="106"/>
      <c r="BC5" s="6" t="s">
        <v>58</v>
      </c>
      <c r="BD5" s="6" t="s">
        <v>58</v>
      </c>
      <c r="BE5" s="6" t="s">
        <v>54</v>
      </c>
      <c r="BF5" s="6" t="s">
        <v>55</v>
      </c>
      <c r="BG5" s="6" t="s">
        <v>59</v>
      </c>
      <c r="BH5" s="6"/>
      <c r="BI5" s="14" t="s">
        <v>60</v>
      </c>
      <c r="BJ5" s="106"/>
      <c r="BK5" s="6" t="s">
        <v>58</v>
      </c>
      <c r="BL5" s="6" t="s">
        <v>58</v>
      </c>
      <c r="BM5" s="6" t="s">
        <v>54</v>
      </c>
      <c r="BN5" s="6" t="s">
        <v>55</v>
      </c>
      <c r="BO5" s="6" t="s">
        <v>59</v>
      </c>
      <c r="BP5" s="6"/>
      <c r="BQ5" s="14" t="s">
        <v>60</v>
      </c>
      <c r="BR5" s="7"/>
      <c r="BS5" s="6" t="s">
        <v>58</v>
      </c>
      <c r="BT5" s="6" t="s">
        <v>58</v>
      </c>
      <c r="BU5" s="6" t="s">
        <v>54</v>
      </c>
      <c r="BV5" s="6" t="s">
        <v>55</v>
      </c>
      <c r="BW5" s="6" t="s">
        <v>59</v>
      </c>
      <c r="BX5" s="6"/>
      <c r="BY5" s="14" t="s">
        <v>60</v>
      </c>
      <c r="BZ5" s="7"/>
      <c r="CA5" s="6" t="s">
        <v>58</v>
      </c>
      <c r="CB5" s="6" t="s">
        <v>58</v>
      </c>
      <c r="CC5" s="6" t="s">
        <v>54</v>
      </c>
      <c r="CD5" s="6" t="s">
        <v>55</v>
      </c>
      <c r="CE5" s="6" t="s">
        <v>59</v>
      </c>
      <c r="CF5" s="6"/>
      <c r="CG5" s="14" t="s">
        <v>60</v>
      </c>
      <c r="CH5" s="7"/>
      <c r="CI5" s="6" t="s">
        <v>58</v>
      </c>
      <c r="CJ5" s="6" t="s">
        <v>58</v>
      </c>
      <c r="CK5" s="6" t="s">
        <v>54</v>
      </c>
      <c r="CL5" s="6" t="s">
        <v>55</v>
      </c>
      <c r="CM5" s="6" t="s">
        <v>59</v>
      </c>
      <c r="CN5" s="6"/>
      <c r="CO5" s="14" t="s">
        <v>60</v>
      </c>
      <c r="CP5" s="106"/>
      <c r="CQ5" s="6" t="s">
        <v>58</v>
      </c>
      <c r="CR5" s="6" t="s">
        <v>58</v>
      </c>
      <c r="CS5" s="6" t="s">
        <v>54</v>
      </c>
      <c r="CT5" s="6" t="s">
        <v>55</v>
      </c>
      <c r="CU5" s="6" t="s">
        <v>61</v>
      </c>
      <c r="CV5" s="6" t="s">
        <v>51</v>
      </c>
      <c r="CW5" s="106"/>
      <c r="CX5" s="6" t="s">
        <v>58</v>
      </c>
      <c r="CY5" s="6" t="s">
        <v>58</v>
      </c>
      <c r="CZ5" s="6" t="s">
        <v>54</v>
      </c>
      <c r="DA5" s="6" t="s">
        <v>55</v>
      </c>
      <c r="DB5" s="6" t="s">
        <v>61</v>
      </c>
      <c r="DC5" s="6" t="s">
        <v>51</v>
      </c>
      <c r="DD5" s="106"/>
      <c r="DE5" s="6" t="s">
        <v>58</v>
      </c>
      <c r="DF5" s="6" t="s">
        <v>58</v>
      </c>
      <c r="DG5" s="6" t="s">
        <v>62</v>
      </c>
      <c r="DH5" s="6" t="s">
        <v>55</v>
      </c>
      <c r="DI5" s="6" t="s">
        <v>59</v>
      </c>
      <c r="DJ5" s="6"/>
      <c r="DK5" s="6" t="s">
        <v>60</v>
      </c>
      <c r="DL5" s="15" t="s">
        <v>63</v>
      </c>
      <c r="DM5" s="106"/>
      <c r="DN5" s="6" t="s">
        <v>58</v>
      </c>
      <c r="DO5" s="6" t="s">
        <v>58</v>
      </c>
      <c r="DP5" s="6" t="s">
        <v>62</v>
      </c>
      <c r="DQ5" s="6" t="s">
        <v>55</v>
      </c>
      <c r="DR5" s="6" t="s">
        <v>59</v>
      </c>
      <c r="DS5" s="6"/>
      <c r="DT5" s="6" t="s">
        <v>60</v>
      </c>
      <c r="DU5" s="15" t="s">
        <v>63</v>
      </c>
      <c r="DV5" s="6"/>
      <c r="DW5" s="6" t="s">
        <v>58</v>
      </c>
      <c r="DX5" s="6" t="s">
        <v>58</v>
      </c>
      <c r="DY5" s="6" t="s">
        <v>62</v>
      </c>
      <c r="DZ5" s="6" t="s">
        <v>55</v>
      </c>
      <c r="EA5" s="6" t="s">
        <v>59</v>
      </c>
      <c r="EB5" s="6"/>
      <c r="EC5" s="6" t="s">
        <v>60</v>
      </c>
      <c r="ED5" s="15" t="s">
        <v>63</v>
      </c>
      <c r="EE5" s="107"/>
      <c r="EF5" s="6" t="s">
        <v>58</v>
      </c>
      <c r="EG5" s="6" t="s">
        <v>58</v>
      </c>
      <c r="EH5" s="6" t="s">
        <v>62</v>
      </c>
      <c r="EI5" s="6" t="s">
        <v>55</v>
      </c>
      <c r="EJ5" s="6" t="s">
        <v>59</v>
      </c>
      <c r="EK5" s="6"/>
      <c r="EL5" s="6" t="s">
        <v>60</v>
      </c>
      <c r="EM5" s="15" t="s">
        <v>63</v>
      </c>
      <c r="EN5" s="16"/>
      <c r="EO5" s="103"/>
      <c r="EP5" s="17" t="s">
        <v>64</v>
      </c>
      <c r="EQ5" s="17" t="s">
        <v>65</v>
      </c>
      <c r="ER5" s="131"/>
      <c r="ES5" s="17" t="s">
        <v>64</v>
      </c>
      <c r="ET5" s="17" t="s">
        <v>65</v>
      </c>
      <c r="EU5" s="131"/>
      <c r="EV5" s="17" t="s">
        <v>64</v>
      </c>
      <c r="EW5" s="17" t="s">
        <v>65</v>
      </c>
      <c r="EX5" s="131"/>
      <c r="EY5" s="18" t="s">
        <v>64</v>
      </c>
      <c r="EZ5" s="18" t="s">
        <v>65</v>
      </c>
      <c r="FA5" s="19" t="s">
        <v>64</v>
      </c>
      <c r="FB5" s="19" t="s">
        <v>65</v>
      </c>
      <c r="FC5" s="19" t="s">
        <v>64</v>
      </c>
      <c r="FD5" s="19" t="s">
        <v>65</v>
      </c>
      <c r="FE5" s="20" t="s">
        <v>64</v>
      </c>
      <c r="FF5" s="20" t="s">
        <v>65</v>
      </c>
      <c r="FG5" s="20" t="s">
        <v>64</v>
      </c>
      <c r="FH5" s="20" t="s">
        <v>65</v>
      </c>
      <c r="FI5" s="20" t="s">
        <v>64</v>
      </c>
      <c r="FJ5" s="20" t="s">
        <v>65</v>
      </c>
      <c r="FK5" s="20" t="s">
        <v>64</v>
      </c>
      <c r="FL5" s="20" t="s">
        <v>65</v>
      </c>
      <c r="FM5" s="20" t="s">
        <v>64</v>
      </c>
      <c r="FN5" s="20" t="s">
        <v>65</v>
      </c>
      <c r="FO5" s="20" t="s">
        <v>64</v>
      </c>
      <c r="FP5" s="20" t="s">
        <v>65</v>
      </c>
      <c r="FQ5" s="71" t="s">
        <v>64</v>
      </c>
      <c r="FR5" s="71" t="s">
        <v>65</v>
      </c>
      <c r="FS5" s="130"/>
      <c r="FT5" s="71" t="s">
        <v>64</v>
      </c>
      <c r="FU5" s="71" t="s">
        <v>65</v>
      </c>
      <c r="FV5" s="130"/>
      <c r="FW5" s="21" t="s">
        <v>64</v>
      </c>
      <c r="FX5" s="21" t="s">
        <v>65</v>
      </c>
      <c r="FY5" s="21" t="s">
        <v>64</v>
      </c>
      <c r="FZ5" s="21" t="s">
        <v>65</v>
      </c>
      <c r="GA5" s="21" t="s">
        <v>64</v>
      </c>
      <c r="GB5" s="21" t="s">
        <v>65</v>
      </c>
      <c r="GC5" s="21" t="s">
        <v>64</v>
      </c>
      <c r="GD5" s="21" t="s">
        <v>65</v>
      </c>
    </row>
    <row r="6" spans="2:186" x14ac:dyDescent="0.35">
      <c r="B6" s="23">
        <f>[4]Refinery!B6</f>
        <v>46082</v>
      </c>
      <c r="C6" s="24">
        <v>2506149</v>
      </c>
      <c r="D6" s="25">
        <v>4.93</v>
      </c>
      <c r="E6" s="25">
        <v>0.27</v>
      </c>
      <c r="F6" s="25">
        <v>1.87</v>
      </c>
      <c r="G6" s="25">
        <v>51.72</v>
      </c>
      <c r="H6" s="25">
        <v>2.4500000000000002</v>
      </c>
      <c r="I6" s="25">
        <v>2.2200000000000002</v>
      </c>
      <c r="J6" s="25">
        <f t="shared" ref="J6:J37" si="0">(2*H6)+I6</f>
        <v>7.120000000000001</v>
      </c>
      <c r="K6" s="24">
        <v>2577692</v>
      </c>
      <c r="L6" s="25">
        <v>5.03</v>
      </c>
      <c r="M6" s="25">
        <v>0.27</v>
      </c>
      <c r="N6" s="25">
        <v>1.85</v>
      </c>
      <c r="O6" s="25">
        <v>51.89898436964922</v>
      </c>
      <c r="P6" s="25">
        <v>2.48</v>
      </c>
      <c r="Q6" s="25">
        <v>2.25</v>
      </c>
      <c r="R6" s="25">
        <f t="shared" ref="R6:R37" si="1">(2*P6)+Q6</f>
        <v>7.21</v>
      </c>
      <c r="S6" s="24">
        <v>2042706</v>
      </c>
      <c r="T6" s="25">
        <v>5.4</v>
      </c>
      <c r="U6" s="25">
        <v>0.24</v>
      </c>
      <c r="V6" s="25">
        <v>1.8</v>
      </c>
      <c r="W6" s="25">
        <v>51.899832136988941</v>
      </c>
      <c r="X6" s="25">
        <v>2.5</v>
      </c>
      <c r="Y6" s="25">
        <v>2.25</v>
      </c>
      <c r="Z6" s="25">
        <f t="shared" ref="Z6:Z37" si="2">(2*X6)+Y6</f>
        <v>7.25</v>
      </c>
      <c r="AA6" s="24">
        <v>328064</v>
      </c>
      <c r="AB6" s="25">
        <v>84.88</v>
      </c>
      <c r="AC6" s="25">
        <v>0.31</v>
      </c>
      <c r="AD6" s="24">
        <v>529521</v>
      </c>
      <c r="AE6" s="33">
        <v>0.109</v>
      </c>
      <c r="AF6" s="25">
        <v>0.05</v>
      </c>
      <c r="AG6" s="34">
        <v>2.2000000000000002</v>
      </c>
      <c r="AH6" s="35">
        <v>22</v>
      </c>
      <c r="AI6" s="25">
        <v>36.6</v>
      </c>
      <c r="AJ6" s="25"/>
      <c r="AK6" s="25">
        <v>50.2</v>
      </c>
      <c r="AL6" s="24">
        <v>44014</v>
      </c>
      <c r="AM6" s="33">
        <v>9.5000000000000001E-2</v>
      </c>
      <c r="AN6" s="25">
        <v>0.04</v>
      </c>
      <c r="AO6" s="34">
        <v>2.2000000000000002</v>
      </c>
      <c r="AP6" s="35">
        <v>22</v>
      </c>
      <c r="AQ6" s="25">
        <v>35.204000000000008</v>
      </c>
      <c r="AR6" s="25"/>
      <c r="AS6" s="25">
        <v>50</v>
      </c>
      <c r="AT6" s="24">
        <v>536860</v>
      </c>
      <c r="AU6" s="33">
        <v>8.3000000000000004E-2</v>
      </c>
      <c r="AV6" s="25">
        <v>7.0000000000000007E-2</v>
      </c>
      <c r="AW6" s="34">
        <v>2.2000000000000002</v>
      </c>
      <c r="AX6" s="35">
        <v>22</v>
      </c>
      <c r="AY6" s="25">
        <v>56.01</v>
      </c>
      <c r="AZ6" s="25"/>
      <c r="BA6" s="34">
        <v>10</v>
      </c>
      <c r="BB6" s="24">
        <v>353850</v>
      </c>
      <c r="BC6" s="33">
        <v>7.1999999999999995E-2</v>
      </c>
      <c r="BD6" s="25">
        <v>0.05</v>
      </c>
      <c r="BE6" s="34">
        <v>2.1</v>
      </c>
      <c r="BF6" s="35">
        <v>21</v>
      </c>
      <c r="BG6" s="25">
        <v>57.65</v>
      </c>
      <c r="BH6" s="25"/>
      <c r="BI6" s="25">
        <v>9</v>
      </c>
      <c r="BJ6" s="24">
        <v>508583</v>
      </c>
      <c r="BK6" s="33">
        <v>6.6000000000000003E-2</v>
      </c>
      <c r="BL6" s="25">
        <v>7.0000000000000007E-2</v>
      </c>
      <c r="BM6" s="25">
        <v>2.2000000000000002</v>
      </c>
      <c r="BN6" s="35">
        <v>22</v>
      </c>
      <c r="BO6" s="25">
        <v>56.55</v>
      </c>
      <c r="BP6" s="25"/>
      <c r="BQ6" s="25">
        <v>9.8000000000000007</v>
      </c>
      <c r="BR6" s="24">
        <v>510730</v>
      </c>
      <c r="BS6" s="33">
        <v>7.0999999999999994E-2</v>
      </c>
      <c r="BT6" s="25">
        <v>7.0000000000000007E-2</v>
      </c>
      <c r="BU6" s="34">
        <v>2.2000000000000002</v>
      </c>
      <c r="BV6" s="35">
        <v>22</v>
      </c>
      <c r="BW6" s="25">
        <v>56.8</v>
      </c>
      <c r="BX6" s="25"/>
      <c r="BY6" s="25">
        <v>9.4</v>
      </c>
      <c r="BZ6" s="24">
        <v>26023</v>
      </c>
      <c r="CA6" s="33">
        <v>6.7000000000000004E-2</v>
      </c>
      <c r="CB6" s="25">
        <v>7.0000000000000007E-2</v>
      </c>
      <c r="CC6" s="34">
        <v>2.2999999999999998</v>
      </c>
      <c r="CD6" s="35">
        <v>23</v>
      </c>
      <c r="CE6" s="25">
        <v>57.5</v>
      </c>
      <c r="CF6" s="25"/>
      <c r="CG6" s="25">
        <v>8.1999999999999993</v>
      </c>
      <c r="CH6" s="24"/>
      <c r="CI6" s="25"/>
      <c r="CJ6" s="25"/>
      <c r="CK6" s="25"/>
      <c r="CL6" s="25"/>
      <c r="CM6" s="25"/>
      <c r="CN6" s="25"/>
      <c r="CO6" s="25"/>
      <c r="CP6" s="24">
        <v>1164563</v>
      </c>
      <c r="CQ6" s="33">
        <v>5.3999999999999999E-2</v>
      </c>
      <c r="CR6" s="25">
        <v>0.04</v>
      </c>
      <c r="CS6" s="34">
        <v>2.1</v>
      </c>
      <c r="CT6" s="35">
        <v>21</v>
      </c>
      <c r="CU6" s="25">
        <v>52.3</v>
      </c>
      <c r="CV6" s="25">
        <v>0.99</v>
      </c>
      <c r="CW6" s="24">
        <v>961820</v>
      </c>
      <c r="CX6" s="33">
        <v>4.7E-2</v>
      </c>
      <c r="CY6" s="25">
        <v>0.04</v>
      </c>
      <c r="CZ6" s="34">
        <v>2.2000000000000002</v>
      </c>
      <c r="DA6" s="35">
        <v>22</v>
      </c>
      <c r="DB6" s="25">
        <v>52.5</v>
      </c>
      <c r="DC6" s="25">
        <v>0.3</v>
      </c>
      <c r="DD6" s="24"/>
      <c r="DE6" s="25"/>
      <c r="DF6" s="25"/>
      <c r="DG6" s="25"/>
      <c r="DH6" s="25"/>
      <c r="DI6" s="25"/>
      <c r="DJ6" s="25"/>
      <c r="DK6" s="25"/>
      <c r="DL6" s="58"/>
      <c r="DM6" s="24">
        <v>32951</v>
      </c>
      <c r="DN6" s="33">
        <v>5.8999999999999997E-2</v>
      </c>
      <c r="DO6" s="25">
        <v>0.05</v>
      </c>
      <c r="DP6" s="34">
        <v>2.2999999999999998</v>
      </c>
      <c r="DQ6" s="35">
        <v>23</v>
      </c>
      <c r="DR6" s="25">
        <v>58.9</v>
      </c>
      <c r="DS6" s="25"/>
      <c r="DT6" s="25">
        <v>7.6</v>
      </c>
      <c r="DU6" s="72"/>
      <c r="DV6" s="25"/>
      <c r="DW6" s="25"/>
      <c r="DX6" s="25"/>
      <c r="DY6" s="25"/>
      <c r="DZ6" s="25"/>
      <c r="EA6" s="25"/>
      <c r="EB6" s="25"/>
      <c r="EC6" s="25"/>
      <c r="ED6" s="56"/>
      <c r="EE6" s="24"/>
      <c r="EF6" s="25"/>
      <c r="EG6" s="25"/>
      <c r="EH6" s="25"/>
      <c r="EI6" s="25"/>
      <c r="EJ6" s="25"/>
      <c r="EK6" s="25"/>
      <c r="EL6" s="25"/>
      <c r="EM6" s="58"/>
      <c r="EN6" s="39"/>
      <c r="EO6" s="40">
        <f>[4]!Table1[[#This Row],[1]]</f>
        <v>46082</v>
      </c>
      <c r="EP6" s="40">
        <v>45978</v>
      </c>
      <c r="EQ6" s="40">
        <v>46074</v>
      </c>
      <c r="ER6" s="40" t="s">
        <v>70</v>
      </c>
      <c r="ES6" s="40">
        <v>45930</v>
      </c>
      <c r="ET6" s="40">
        <v>46055</v>
      </c>
      <c r="EU6" s="40" t="s">
        <v>71</v>
      </c>
      <c r="EV6" s="40">
        <v>45992</v>
      </c>
      <c r="EW6" s="40">
        <v>46081</v>
      </c>
      <c r="EX6" s="40" t="s">
        <v>71</v>
      </c>
      <c r="EY6" s="40">
        <v>45688</v>
      </c>
      <c r="EZ6" s="40">
        <v>46077</v>
      </c>
      <c r="FA6" s="40">
        <v>46038</v>
      </c>
      <c r="FB6" s="40">
        <v>46055</v>
      </c>
      <c r="FC6" s="40">
        <v>46055</v>
      </c>
      <c r="FD6" s="40">
        <v>46055</v>
      </c>
      <c r="FE6" s="40">
        <v>46037</v>
      </c>
      <c r="FF6" s="40">
        <v>46048</v>
      </c>
      <c r="FG6" s="40">
        <v>46041</v>
      </c>
      <c r="FH6" s="40">
        <v>46044</v>
      </c>
      <c r="FI6" s="40">
        <v>46044</v>
      </c>
      <c r="FJ6" s="40">
        <v>46047</v>
      </c>
      <c r="FK6" s="40">
        <v>46047</v>
      </c>
      <c r="FL6" s="40">
        <v>46056</v>
      </c>
      <c r="FM6" s="40">
        <v>46056</v>
      </c>
      <c r="FN6" s="40">
        <v>46056</v>
      </c>
      <c r="FO6" s="40"/>
      <c r="FP6" s="40"/>
      <c r="FQ6" s="40">
        <v>46023</v>
      </c>
      <c r="FR6" s="40">
        <v>46074</v>
      </c>
      <c r="FS6" s="40"/>
      <c r="FT6" s="40">
        <v>46022</v>
      </c>
      <c r="FU6" s="40">
        <v>46077</v>
      </c>
      <c r="FV6" s="40"/>
      <c r="FW6" s="40"/>
      <c r="FX6" s="40"/>
      <c r="FY6" s="40">
        <v>46054</v>
      </c>
      <c r="FZ6" s="40">
        <v>46054</v>
      </c>
      <c r="GA6" s="40"/>
      <c r="GB6" s="40"/>
      <c r="GC6" s="40"/>
      <c r="GD6" s="40"/>
    </row>
    <row r="7" spans="2:186" x14ac:dyDescent="0.35">
      <c r="B7" s="41">
        <f>B6+1</f>
        <v>46083</v>
      </c>
      <c r="C7" s="24">
        <v>2506149</v>
      </c>
      <c r="D7" s="25">
        <v>4.93</v>
      </c>
      <c r="E7" s="25">
        <v>0.27</v>
      </c>
      <c r="F7" s="25">
        <v>1.87</v>
      </c>
      <c r="G7" s="25">
        <v>51.72</v>
      </c>
      <c r="H7" s="25">
        <v>2.4500000000000002</v>
      </c>
      <c r="I7" s="25">
        <v>2.2200000000000002</v>
      </c>
      <c r="J7" s="25">
        <f t="shared" si="0"/>
        <v>7.120000000000001</v>
      </c>
      <c r="K7" s="24">
        <v>2577692</v>
      </c>
      <c r="L7" s="25">
        <v>5.03</v>
      </c>
      <c r="M7" s="25">
        <v>0.27</v>
      </c>
      <c r="N7" s="25">
        <v>1.85</v>
      </c>
      <c r="O7" s="25">
        <v>51.89898436964922</v>
      </c>
      <c r="P7" s="25">
        <v>2.48</v>
      </c>
      <c r="Q7" s="25">
        <v>2.25</v>
      </c>
      <c r="R7" s="25">
        <f t="shared" si="1"/>
        <v>7.21</v>
      </c>
      <c r="S7" s="24">
        <v>2042706</v>
      </c>
      <c r="T7" s="25">
        <v>5.4</v>
      </c>
      <c r="U7" s="25">
        <v>0.24</v>
      </c>
      <c r="V7" s="25">
        <v>1.8</v>
      </c>
      <c r="W7" s="25">
        <v>51.899832136988941</v>
      </c>
      <c r="X7" s="25">
        <v>2.5</v>
      </c>
      <c r="Y7" s="25">
        <v>2.25</v>
      </c>
      <c r="Z7" s="25">
        <f t="shared" si="2"/>
        <v>7.25</v>
      </c>
      <c r="AA7" s="24">
        <v>328064</v>
      </c>
      <c r="AB7" s="25">
        <v>84.88</v>
      </c>
      <c r="AC7" s="25">
        <v>0.31</v>
      </c>
      <c r="AD7" s="24">
        <v>529521</v>
      </c>
      <c r="AE7" s="33">
        <v>0.109</v>
      </c>
      <c r="AF7" s="25">
        <v>0.05</v>
      </c>
      <c r="AG7" s="34">
        <v>2.2000000000000002</v>
      </c>
      <c r="AH7" s="35">
        <v>22</v>
      </c>
      <c r="AI7" s="25">
        <v>36.6</v>
      </c>
      <c r="AJ7" s="25"/>
      <c r="AK7" s="25">
        <v>50.2</v>
      </c>
      <c r="AL7" s="24">
        <v>44014</v>
      </c>
      <c r="AM7" s="33">
        <v>9.5000000000000001E-2</v>
      </c>
      <c r="AN7" s="25">
        <v>0.04</v>
      </c>
      <c r="AO7" s="34">
        <v>2.2000000000000002</v>
      </c>
      <c r="AP7" s="35">
        <v>22</v>
      </c>
      <c r="AQ7" s="25">
        <v>35.204000000000008</v>
      </c>
      <c r="AR7" s="25"/>
      <c r="AS7" s="25">
        <v>50</v>
      </c>
      <c r="AT7" s="24">
        <v>536860</v>
      </c>
      <c r="AU7" s="33">
        <v>8.3000000000000004E-2</v>
      </c>
      <c r="AV7" s="25">
        <v>7.0000000000000007E-2</v>
      </c>
      <c r="AW7" s="34">
        <v>2.2000000000000002</v>
      </c>
      <c r="AX7" s="35">
        <v>22</v>
      </c>
      <c r="AY7" s="25">
        <v>56.01</v>
      </c>
      <c r="AZ7" s="25"/>
      <c r="BA7" s="34">
        <v>10</v>
      </c>
      <c r="BB7" s="24">
        <v>353850</v>
      </c>
      <c r="BC7" s="33">
        <v>7.1999999999999995E-2</v>
      </c>
      <c r="BD7" s="25">
        <v>0.05</v>
      </c>
      <c r="BE7" s="34">
        <v>2.1</v>
      </c>
      <c r="BF7" s="35">
        <v>21</v>
      </c>
      <c r="BG7" s="25">
        <v>57.65</v>
      </c>
      <c r="BH7" s="25"/>
      <c r="BI7" s="25">
        <v>9</v>
      </c>
      <c r="BJ7" s="24">
        <v>508583</v>
      </c>
      <c r="BK7" s="33">
        <v>6.6000000000000003E-2</v>
      </c>
      <c r="BL7" s="25">
        <v>7.0000000000000007E-2</v>
      </c>
      <c r="BM7" s="25">
        <v>2.2000000000000002</v>
      </c>
      <c r="BN7" s="35">
        <v>22</v>
      </c>
      <c r="BO7" s="25">
        <v>56.55</v>
      </c>
      <c r="BP7" s="25"/>
      <c r="BQ7" s="25">
        <v>9.8000000000000007</v>
      </c>
      <c r="BR7" s="24">
        <v>510730</v>
      </c>
      <c r="BS7" s="33">
        <v>7.0999999999999994E-2</v>
      </c>
      <c r="BT7" s="25">
        <v>7.0000000000000007E-2</v>
      </c>
      <c r="BU7" s="34">
        <v>2.2000000000000002</v>
      </c>
      <c r="BV7" s="35">
        <v>22</v>
      </c>
      <c r="BW7" s="25">
        <v>56.8</v>
      </c>
      <c r="BX7" s="25"/>
      <c r="BY7" s="25">
        <v>9.4</v>
      </c>
      <c r="BZ7" s="24">
        <v>26023</v>
      </c>
      <c r="CA7" s="33">
        <v>6.7000000000000004E-2</v>
      </c>
      <c r="CB7" s="25">
        <v>7.0000000000000007E-2</v>
      </c>
      <c r="CC7" s="34">
        <v>2.2999999999999998</v>
      </c>
      <c r="CD7" s="35">
        <v>23</v>
      </c>
      <c r="CE7" s="25">
        <v>57.5</v>
      </c>
      <c r="CF7" s="25"/>
      <c r="CG7" s="25">
        <v>8.1999999999999993</v>
      </c>
      <c r="CH7" s="24"/>
      <c r="CI7" s="25"/>
      <c r="CJ7" s="25"/>
      <c r="CK7" s="25"/>
      <c r="CL7" s="25"/>
      <c r="CM7" s="25"/>
      <c r="CN7" s="25"/>
      <c r="CO7" s="25"/>
      <c r="CP7" s="24">
        <v>1164563</v>
      </c>
      <c r="CQ7" s="33">
        <v>5.3999999999999999E-2</v>
      </c>
      <c r="CR7" s="25">
        <v>0.04</v>
      </c>
      <c r="CS7" s="34">
        <v>2.1</v>
      </c>
      <c r="CT7" s="35">
        <v>21</v>
      </c>
      <c r="CU7" s="25">
        <v>52.3</v>
      </c>
      <c r="CV7" s="25">
        <v>0.99</v>
      </c>
      <c r="CW7" s="24">
        <v>961820</v>
      </c>
      <c r="CX7" s="33">
        <v>4.7E-2</v>
      </c>
      <c r="CY7" s="25">
        <v>0.04</v>
      </c>
      <c r="CZ7" s="34">
        <v>2.2000000000000002</v>
      </c>
      <c r="DA7" s="35">
        <v>22</v>
      </c>
      <c r="DB7" s="25">
        <v>52.5</v>
      </c>
      <c r="DC7" s="25">
        <v>0.3</v>
      </c>
      <c r="DD7" s="24"/>
      <c r="DE7" s="25"/>
      <c r="DF7" s="25"/>
      <c r="DG7" s="25"/>
      <c r="DH7" s="25"/>
      <c r="DI7" s="25"/>
      <c r="DJ7" s="25"/>
      <c r="DK7" s="25"/>
      <c r="DL7" s="58"/>
      <c r="DM7" s="24">
        <v>32951</v>
      </c>
      <c r="DN7" s="33">
        <v>5.8999999999999997E-2</v>
      </c>
      <c r="DO7" s="25">
        <v>0.05</v>
      </c>
      <c r="DP7" s="34">
        <v>2.2999999999999998</v>
      </c>
      <c r="DQ7" s="35">
        <v>23</v>
      </c>
      <c r="DR7" s="25">
        <v>58.9</v>
      </c>
      <c r="DS7" s="25"/>
      <c r="DT7" s="25">
        <v>7.6</v>
      </c>
      <c r="DU7" s="57"/>
      <c r="DV7" s="49"/>
      <c r="DW7" s="49"/>
      <c r="DX7" s="49"/>
      <c r="DY7" s="49"/>
      <c r="DZ7" s="49"/>
      <c r="EA7" s="49"/>
      <c r="EB7" s="49"/>
      <c r="EC7" s="49"/>
      <c r="ED7" s="56"/>
      <c r="EE7" s="42"/>
      <c r="EF7" s="49"/>
      <c r="EG7" s="49"/>
      <c r="EH7" s="49"/>
      <c r="EI7" s="49"/>
      <c r="EJ7" s="49"/>
      <c r="EK7" s="49"/>
      <c r="EL7" s="49"/>
      <c r="EM7" s="58"/>
      <c r="EN7" s="39"/>
      <c r="EO7" s="40">
        <f>EO6+1</f>
        <v>46083</v>
      </c>
      <c r="EP7" s="40">
        <v>45978</v>
      </c>
      <c r="EQ7" s="40">
        <v>46074</v>
      </c>
      <c r="ER7" s="40" t="s">
        <v>70</v>
      </c>
      <c r="ES7" s="40">
        <v>45930</v>
      </c>
      <c r="ET7" s="40">
        <v>46055</v>
      </c>
      <c r="EU7" s="40" t="s">
        <v>71</v>
      </c>
      <c r="EV7" s="40">
        <v>45992</v>
      </c>
      <c r="EW7" s="40">
        <v>46081</v>
      </c>
      <c r="EX7" s="40" t="s">
        <v>71</v>
      </c>
      <c r="EY7" s="40">
        <v>45688</v>
      </c>
      <c r="EZ7" s="40">
        <v>46077</v>
      </c>
      <c r="FA7" s="40">
        <v>46038</v>
      </c>
      <c r="FB7" s="40">
        <v>46055</v>
      </c>
      <c r="FC7" s="40">
        <v>46055</v>
      </c>
      <c r="FD7" s="40">
        <v>46055</v>
      </c>
      <c r="FE7" s="40">
        <v>46037</v>
      </c>
      <c r="FF7" s="40">
        <v>46048</v>
      </c>
      <c r="FG7" s="40">
        <v>46041</v>
      </c>
      <c r="FH7" s="40">
        <v>46044</v>
      </c>
      <c r="FI7" s="40">
        <v>46044</v>
      </c>
      <c r="FJ7" s="40">
        <v>46047</v>
      </c>
      <c r="FK7" s="40">
        <v>46047</v>
      </c>
      <c r="FL7" s="40">
        <v>46056</v>
      </c>
      <c r="FM7" s="40">
        <v>46056</v>
      </c>
      <c r="FN7" s="40">
        <v>46056</v>
      </c>
      <c r="FO7" s="40"/>
      <c r="FP7" s="40"/>
      <c r="FQ7" s="40">
        <v>46023</v>
      </c>
      <c r="FR7" s="40">
        <v>46074</v>
      </c>
      <c r="FS7" s="40"/>
      <c r="FT7" s="40">
        <v>46022</v>
      </c>
      <c r="FU7" s="40">
        <v>46077</v>
      </c>
      <c r="FV7" s="40"/>
      <c r="FW7" s="40"/>
      <c r="FX7" s="40"/>
      <c r="FY7" s="40">
        <v>46054</v>
      </c>
      <c r="FZ7" s="40">
        <v>46054</v>
      </c>
      <c r="GA7" s="40"/>
      <c r="GB7" s="40"/>
      <c r="GC7" s="40"/>
      <c r="GD7" s="40"/>
    </row>
    <row r="8" spans="2:186" x14ac:dyDescent="0.35">
      <c r="B8" s="41">
        <f t="shared" ref="B8:B37" si="3">B7+1</f>
        <v>46084</v>
      </c>
      <c r="C8" s="24">
        <v>2506149</v>
      </c>
      <c r="D8" s="25">
        <v>4.9400000000000004</v>
      </c>
      <c r="E8" s="25">
        <v>0.27</v>
      </c>
      <c r="F8" s="25">
        <v>1.87</v>
      </c>
      <c r="G8" s="25">
        <v>51.72</v>
      </c>
      <c r="H8" s="25">
        <v>2.4700000000000002</v>
      </c>
      <c r="I8" s="25">
        <v>2.2200000000000002</v>
      </c>
      <c r="J8" s="25">
        <f t="shared" si="0"/>
        <v>7.16</v>
      </c>
      <c r="K8" s="24">
        <v>2577692</v>
      </c>
      <c r="L8" s="25">
        <v>5.05</v>
      </c>
      <c r="M8" s="25">
        <v>0.27</v>
      </c>
      <c r="N8" s="25">
        <v>1.85</v>
      </c>
      <c r="O8" s="25">
        <v>51.89898436964922</v>
      </c>
      <c r="P8" s="25">
        <v>2.48</v>
      </c>
      <c r="Q8" s="25">
        <v>2.25</v>
      </c>
      <c r="R8" s="25">
        <f t="shared" si="1"/>
        <v>7.21</v>
      </c>
      <c r="S8" s="24">
        <v>2142966</v>
      </c>
      <c r="T8" s="25">
        <v>5.38</v>
      </c>
      <c r="U8" s="25">
        <v>0.24</v>
      </c>
      <c r="V8" s="25">
        <v>1.8</v>
      </c>
      <c r="W8" s="25">
        <v>51.899832136988941</v>
      </c>
      <c r="X8" s="25">
        <v>2.5</v>
      </c>
      <c r="Y8" s="25">
        <v>2.25</v>
      </c>
      <c r="Z8" s="25">
        <f t="shared" si="2"/>
        <v>7.25</v>
      </c>
      <c r="AA8" s="24">
        <v>328064</v>
      </c>
      <c r="AB8" s="25">
        <v>84.88</v>
      </c>
      <c r="AC8" s="25">
        <v>0.31</v>
      </c>
      <c r="AD8" s="24">
        <v>529521</v>
      </c>
      <c r="AE8" s="33">
        <v>0.11</v>
      </c>
      <c r="AF8" s="25">
        <v>0.05</v>
      </c>
      <c r="AG8" s="34">
        <v>2.2000000000000002</v>
      </c>
      <c r="AH8" s="35">
        <v>22</v>
      </c>
      <c r="AI8" s="25">
        <v>36.6</v>
      </c>
      <c r="AJ8" s="25"/>
      <c r="AK8" s="25">
        <v>50.2</v>
      </c>
      <c r="AL8" s="24">
        <v>44014</v>
      </c>
      <c r="AM8" s="33">
        <v>9.5000000000000001E-2</v>
      </c>
      <c r="AN8" s="25">
        <v>0.04</v>
      </c>
      <c r="AO8" s="34">
        <v>2.2000000000000002</v>
      </c>
      <c r="AP8" s="35">
        <v>22</v>
      </c>
      <c r="AQ8" s="25">
        <v>35.204000000000008</v>
      </c>
      <c r="AR8" s="25"/>
      <c r="AS8" s="25">
        <v>50</v>
      </c>
      <c r="AT8" s="24">
        <v>536860</v>
      </c>
      <c r="AU8" s="33">
        <v>8.3000000000000004E-2</v>
      </c>
      <c r="AV8" s="25">
        <v>7.0000000000000007E-2</v>
      </c>
      <c r="AW8" s="34">
        <v>2.2000000000000002</v>
      </c>
      <c r="AX8" s="35">
        <v>22</v>
      </c>
      <c r="AY8" s="25">
        <v>56.01</v>
      </c>
      <c r="AZ8" s="25"/>
      <c r="BA8" s="34">
        <v>10</v>
      </c>
      <c r="BB8" s="24">
        <v>353850</v>
      </c>
      <c r="BC8" s="33">
        <v>7.1999999999999995E-2</v>
      </c>
      <c r="BD8" s="25">
        <v>0.05</v>
      </c>
      <c r="BE8" s="34">
        <v>2.1</v>
      </c>
      <c r="BF8" s="35">
        <v>21</v>
      </c>
      <c r="BG8" s="25">
        <v>57.65</v>
      </c>
      <c r="BH8" s="25"/>
      <c r="BI8" s="25">
        <v>9</v>
      </c>
      <c r="BJ8" s="24">
        <v>508583</v>
      </c>
      <c r="BK8" s="33">
        <v>6.6000000000000003E-2</v>
      </c>
      <c r="BL8" s="25">
        <v>7.0000000000000007E-2</v>
      </c>
      <c r="BM8" s="25">
        <v>2.2000000000000002</v>
      </c>
      <c r="BN8" s="35">
        <v>22</v>
      </c>
      <c r="BO8" s="25">
        <v>56.55</v>
      </c>
      <c r="BP8" s="25"/>
      <c r="BQ8" s="25">
        <v>9.8000000000000007</v>
      </c>
      <c r="BR8" s="24">
        <v>510730</v>
      </c>
      <c r="BS8" s="33">
        <v>7.0999999999999994E-2</v>
      </c>
      <c r="BT8" s="25">
        <v>7.0000000000000007E-2</v>
      </c>
      <c r="BU8" s="34">
        <v>2.2000000000000002</v>
      </c>
      <c r="BV8" s="35">
        <v>22</v>
      </c>
      <c r="BW8" s="25">
        <v>56.8</v>
      </c>
      <c r="BX8" s="25"/>
      <c r="BY8" s="25">
        <v>9.4</v>
      </c>
      <c r="BZ8" s="24">
        <v>26023</v>
      </c>
      <c r="CA8" s="33">
        <v>6.7000000000000004E-2</v>
      </c>
      <c r="CB8" s="25">
        <v>7.0000000000000007E-2</v>
      </c>
      <c r="CC8" s="34">
        <v>2.2999999999999998</v>
      </c>
      <c r="CD8" s="35">
        <v>23</v>
      </c>
      <c r="CE8" s="25">
        <v>57.5</v>
      </c>
      <c r="CF8" s="25"/>
      <c r="CG8" s="25">
        <v>8.1999999999999993</v>
      </c>
      <c r="CH8" s="42"/>
      <c r="CI8" s="49"/>
      <c r="CJ8" s="49"/>
      <c r="CK8" s="49"/>
      <c r="CL8" s="49"/>
      <c r="CM8" s="49"/>
      <c r="CN8" s="49"/>
      <c r="CO8" s="49"/>
      <c r="CP8" s="24">
        <v>1164563</v>
      </c>
      <c r="CQ8" s="33">
        <v>5.3999999999999999E-2</v>
      </c>
      <c r="CR8" s="25">
        <v>0.04</v>
      </c>
      <c r="CS8" s="34">
        <v>2.1</v>
      </c>
      <c r="CT8" s="35">
        <v>21</v>
      </c>
      <c r="CU8" s="25">
        <v>52.3</v>
      </c>
      <c r="CV8" s="25">
        <v>0.99</v>
      </c>
      <c r="CW8" s="24">
        <v>961820</v>
      </c>
      <c r="CX8" s="33">
        <v>4.9000000000000002E-2</v>
      </c>
      <c r="CY8" s="25">
        <v>0.05</v>
      </c>
      <c r="CZ8" s="34">
        <v>2.2000000000000002</v>
      </c>
      <c r="DA8" s="35">
        <v>22</v>
      </c>
      <c r="DB8" s="25">
        <v>52.5</v>
      </c>
      <c r="DC8" s="25">
        <v>0.3</v>
      </c>
      <c r="DD8" s="42"/>
      <c r="DE8" s="49"/>
      <c r="DF8" s="49"/>
      <c r="DG8" s="49"/>
      <c r="DH8" s="49"/>
      <c r="DI8" s="49"/>
      <c r="DJ8" s="49"/>
      <c r="DK8" s="49"/>
      <c r="DL8" s="56"/>
      <c r="DM8" s="24">
        <v>32951</v>
      </c>
      <c r="DN8" s="33">
        <v>5.8999999999999997E-2</v>
      </c>
      <c r="DO8" s="25">
        <v>0.05</v>
      </c>
      <c r="DP8" s="34">
        <v>2.2999999999999998</v>
      </c>
      <c r="DQ8" s="35">
        <v>23</v>
      </c>
      <c r="DR8" s="25">
        <v>58.9</v>
      </c>
      <c r="DS8" s="25"/>
      <c r="DT8" s="25">
        <v>7.6</v>
      </c>
      <c r="DU8" s="57"/>
      <c r="DV8" s="49"/>
      <c r="DW8" s="49"/>
      <c r="DX8" s="49"/>
      <c r="DY8" s="49"/>
      <c r="DZ8" s="49"/>
      <c r="EA8" s="49"/>
      <c r="EB8" s="49"/>
      <c r="EC8" s="49"/>
      <c r="ED8" s="56"/>
      <c r="EE8" s="42"/>
      <c r="EF8" s="49"/>
      <c r="EG8" s="49"/>
      <c r="EH8" s="49"/>
      <c r="EI8" s="49"/>
      <c r="EJ8" s="49"/>
      <c r="EK8" s="49"/>
      <c r="EL8" s="49"/>
      <c r="EM8" s="58"/>
      <c r="EN8" s="39"/>
      <c r="EO8" s="40">
        <f t="shared" ref="EO8:EO37" si="4">EO7+1</f>
        <v>46084</v>
      </c>
      <c r="EP8" s="40">
        <v>45978</v>
      </c>
      <c r="EQ8" s="40">
        <v>46074</v>
      </c>
      <c r="ER8" s="40" t="s">
        <v>70</v>
      </c>
      <c r="ES8" s="40">
        <v>45930</v>
      </c>
      <c r="ET8" s="40">
        <v>46055</v>
      </c>
      <c r="EU8" s="40" t="s">
        <v>71</v>
      </c>
      <c r="EV8" s="40">
        <v>45992</v>
      </c>
      <c r="EW8" s="40">
        <v>46083</v>
      </c>
      <c r="EX8" s="40" t="s">
        <v>71</v>
      </c>
      <c r="EY8" s="40">
        <v>45688</v>
      </c>
      <c r="EZ8" s="40">
        <v>46077</v>
      </c>
      <c r="FA8" s="40">
        <v>46038</v>
      </c>
      <c r="FB8" s="40">
        <v>46055</v>
      </c>
      <c r="FC8" s="40">
        <v>46055</v>
      </c>
      <c r="FD8" s="40">
        <v>46055</v>
      </c>
      <c r="FE8" s="40">
        <v>46037</v>
      </c>
      <c r="FF8" s="40">
        <v>46048</v>
      </c>
      <c r="FG8" s="40">
        <v>46041</v>
      </c>
      <c r="FH8" s="40">
        <v>46044</v>
      </c>
      <c r="FI8" s="40">
        <v>46044</v>
      </c>
      <c r="FJ8" s="40">
        <v>46047</v>
      </c>
      <c r="FK8" s="40">
        <v>46047</v>
      </c>
      <c r="FL8" s="40">
        <v>46056</v>
      </c>
      <c r="FM8" s="40">
        <v>46056</v>
      </c>
      <c r="FN8" s="40">
        <v>46056</v>
      </c>
      <c r="FO8" s="40"/>
      <c r="FP8" s="40"/>
      <c r="FQ8" s="40">
        <v>46023</v>
      </c>
      <c r="FR8" s="40">
        <v>46074</v>
      </c>
      <c r="FS8" s="40"/>
      <c r="FT8" s="40">
        <v>46022</v>
      </c>
      <c r="FU8" s="40">
        <v>46077</v>
      </c>
      <c r="FV8" s="40"/>
      <c r="FW8" s="40"/>
      <c r="FX8" s="40"/>
      <c r="FY8" s="40">
        <v>46054</v>
      </c>
      <c r="FZ8" s="40">
        <v>46054</v>
      </c>
      <c r="GA8" s="40"/>
      <c r="GB8" s="40"/>
      <c r="GC8" s="40"/>
      <c r="GD8" s="40"/>
    </row>
    <row r="9" spans="2:186" x14ac:dyDescent="0.35">
      <c r="B9" s="41">
        <f t="shared" si="3"/>
        <v>46085</v>
      </c>
      <c r="C9" s="24">
        <v>2506149</v>
      </c>
      <c r="D9" s="25">
        <v>4.95</v>
      </c>
      <c r="E9" s="25">
        <v>0.27</v>
      </c>
      <c r="F9" s="25">
        <v>1.87</v>
      </c>
      <c r="G9" s="25">
        <v>51.72</v>
      </c>
      <c r="H9" s="25">
        <v>2.4700000000000002</v>
      </c>
      <c r="I9" s="25">
        <v>2.25</v>
      </c>
      <c r="J9" s="25">
        <f t="shared" si="0"/>
        <v>7.19</v>
      </c>
      <c r="K9" s="24">
        <v>2577692</v>
      </c>
      <c r="L9" s="25">
        <v>5.07</v>
      </c>
      <c r="M9" s="25">
        <v>0.27</v>
      </c>
      <c r="N9" s="25">
        <v>1.85</v>
      </c>
      <c r="O9" s="25">
        <v>51.89898436964922</v>
      </c>
      <c r="P9" s="25">
        <v>2.4900000000000002</v>
      </c>
      <c r="Q9" s="25">
        <v>2.2799999999999998</v>
      </c>
      <c r="R9" s="25">
        <f t="shared" si="1"/>
        <v>7.26</v>
      </c>
      <c r="S9" s="26">
        <v>2242976</v>
      </c>
      <c r="T9" s="25">
        <v>5.36</v>
      </c>
      <c r="U9" s="25">
        <v>0.24356704663803799</v>
      </c>
      <c r="V9" s="25">
        <v>1.8049046891273024</v>
      </c>
      <c r="W9" s="27">
        <v>51.86</v>
      </c>
      <c r="X9" s="25">
        <v>2.46</v>
      </c>
      <c r="Y9" s="25">
        <v>2.2000000000000002</v>
      </c>
      <c r="Z9" s="25">
        <f t="shared" si="2"/>
        <v>7.12</v>
      </c>
      <c r="AA9" s="24">
        <v>328064</v>
      </c>
      <c r="AB9" s="25">
        <v>84.88</v>
      </c>
      <c r="AC9" s="25">
        <v>0.31</v>
      </c>
      <c r="AD9" s="24">
        <v>529521</v>
      </c>
      <c r="AE9" s="33">
        <v>0.112</v>
      </c>
      <c r="AF9" s="25">
        <v>0.05</v>
      </c>
      <c r="AG9" s="34">
        <v>2.2000000000000002</v>
      </c>
      <c r="AH9" s="35">
        <v>22</v>
      </c>
      <c r="AI9" s="25">
        <v>36.6</v>
      </c>
      <c r="AJ9" s="25"/>
      <c r="AK9" s="25">
        <v>50.2</v>
      </c>
      <c r="AL9" s="24">
        <v>44014</v>
      </c>
      <c r="AM9" s="33">
        <v>9.5000000000000001E-2</v>
      </c>
      <c r="AN9" s="25">
        <v>0.04</v>
      </c>
      <c r="AO9" s="34">
        <v>2.2000000000000002</v>
      </c>
      <c r="AP9" s="35">
        <v>22</v>
      </c>
      <c r="AQ9" s="25">
        <v>35.204000000000008</v>
      </c>
      <c r="AR9" s="25"/>
      <c r="AS9" s="25">
        <v>50</v>
      </c>
      <c r="AT9" s="24">
        <v>536860</v>
      </c>
      <c r="AU9" s="33">
        <v>8.3000000000000004E-2</v>
      </c>
      <c r="AV9" s="25">
        <v>7.0000000000000007E-2</v>
      </c>
      <c r="AW9" s="34">
        <v>2.2000000000000002</v>
      </c>
      <c r="AX9" s="35">
        <v>22</v>
      </c>
      <c r="AY9" s="25">
        <v>56.01</v>
      </c>
      <c r="AZ9" s="25">
        <v>1.39</v>
      </c>
      <c r="BA9" s="34">
        <v>10</v>
      </c>
      <c r="BB9" s="24">
        <v>353850</v>
      </c>
      <c r="BC9" s="33">
        <v>7.3999999999999996E-2</v>
      </c>
      <c r="BD9" s="25">
        <v>0.06</v>
      </c>
      <c r="BE9" s="34">
        <v>2.1</v>
      </c>
      <c r="BF9" s="35">
        <v>21</v>
      </c>
      <c r="BG9" s="25">
        <v>57.65</v>
      </c>
      <c r="BH9" s="25">
        <v>1.6</v>
      </c>
      <c r="BI9" s="25">
        <v>9</v>
      </c>
      <c r="BJ9" s="24">
        <v>508583</v>
      </c>
      <c r="BK9" s="33">
        <v>7.0000000000000007E-2</v>
      </c>
      <c r="BL9" s="25">
        <v>7.0000000000000007E-2</v>
      </c>
      <c r="BM9" s="25">
        <v>2.2000000000000002</v>
      </c>
      <c r="BN9" s="35">
        <v>22</v>
      </c>
      <c r="BO9" s="25">
        <v>56.55</v>
      </c>
      <c r="BP9" s="25">
        <v>1.3</v>
      </c>
      <c r="BQ9" s="25">
        <v>9.8000000000000007</v>
      </c>
      <c r="BR9" s="24">
        <v>510730</v>
      </c>
      <c r="BS9" s="33">
        <v>7.0999999999999994E-2</v>
      </c>
      <c r="BT9" s="25">
        <v>7.0000000000000007E-2</v>
      </c>
      <c r="BU9" s="34">
        <v>2.2000000000000002</v>
      </c>
      <c r="BV9" s="35">
        <v>22</v>
      </c>
      <c r="BW9" s="25">
        <v>56.8</v>
      </c>
      <c r="BX9" s="25">
        <v>1.49</v>
      </c>
      <c r="BY9" s="25">
        <v>9.4</v>
      </c>
      <c r="BZ9" s="24">
        <v>26023</v>
      </c>
      <c r="CA9" s="33">
        <v>7.0999999999999994E-2</v>
      </c>
      <c r="CB9" s="25">
        <v>7.0000000000000007E-2</v>
      </c>
      <c r="CC9" s="34">
        <v>2.4</v>
      </c>
      <c r="CD9" s="35">
        <v>24</v>
      </c>
      <c r="CE9" s="25">
        <v>57.5</v>
      </c>
      <c r="CF9" s="25">
        <v>1.4</v>
      </c>
      <c r="CG9" s="25">
        <v>8.1999999999999993</v>
      </c>
      <c r="CH9" s="42"/>
      <c r="CI9" s="49"/>
      <c r="CJ9" s="49"/>
      <c r="CK9" s="49"/>
      <c r="CL9" s="49"/>
      <c r="CM9" s="49"/>
      <c r="CN9" s="49"/>
      <c r="CO9" s="49"/>
      <c r="CP9" s="24">
        <v>1164563</v>
      </c>
      <c r="CQ9" s="33">
        <v>5.3999999999999999E-2</v>
      </c>
      <c r="CR9" s="25">
        <v>0.04</v>
      </c>
      <c r="CS9" s="34">
        <v>2.1</v>
      </c>
      <c r="CT9" s="35">
        <v>21</v>
      </c>
      <c r="CU9" s="25">
        <v>52.3</v>
      </c>
      <c r="CV9" s="25">
        <v>1.1499999999999999</v>
      </c>
      <c r="CW9" s="24">
        <v>961820</v>
      </c>
      <c r="CX9" s="33">
        <v>4.9000000000000002E-2</v>
      </c>
      <c r="CY9" s="25">
        <v>0.05</v>
      </c>
      <c r="CZ9" s="34">
        <v>2.2000000000000002</v>
      </c>
      <c r="DA9" s="35">
        <v>22</v>
      </c>
      <c r="DB9" s="25">
        <v>52.5</v>
      </c>
      <c r="DC9" s="25">
        <v>0.6</v>
      </c>
      <c r="DD9" s="42"/>
      <c r="DE9" s="49"/>
      <c r="DF9" s="49"/>
      <c r="DG9" s="49"/>
      <c r="DH9" s="49"/>
      <c r="DI9" s="49"/>
      <c r="DJ9" s="49"/>
      <c r="DK9" s="49"/>
      <c r="DL9" s="56"/>
      <c r="DM9" s="24">
        <v>32951</v>
      </c>
      <c r="DN9" s="33">
        <v>6.7000000000000004E-2</v>
      </c>
      <c r="DO9" s="25">
        <v>0.06</v>
      </c>
      <c r="DP9" s="34">
        <v>2.4</v>
      </c>
      <c r="DQ9" s="35">
        <v>24</v>
      </c>
      <c r="DR9" s="25">
        <v>58.9</v>
      </c>
      <c r="DS9" s="25"/>
      <c r="DT9" s="25">
        <v>7.6</v>
      </c>
      <c r="DU9" s="57"/>
      <c r="DV9" s="49"/>
      <c r="DW9" s="49"/>
      <c r="DX9" s="49"/>
      <c r="DY9" s="49"/>
      <c r="DZ9" s="49"/>
      <c r="EA9" s="49"/>
      <c r="EB9" s="49"/>
      <c r="EC9" s="49"/>
      <c r="ED9" s="56"/>
      <c r="EE9" s="42"/>
      <c r="EF9" s="49"/>
      <c r="EG9" s="49"/>
      <c r="EH9" s="49"/>
      <c r="EI9" s="49"/>
      <c r="EJ9" s="49"/>
      <c r="EK9" s="49"/>
      <c r="EL9" s="49"/>
      <c r="EM9" s="58"/>
      <c r="EN9" s="39"/>
      <c r="EO9" s="40">
        <f t="shared" si="4"/>
        <v>46085</v>
      </c>
      <c r="EP9" s="40">
        <v>45978</v>
      </c>
      <c r="EQ9" s="40">
        <v>46074</v>
      </c>
      <c r="ER9" s="40" t="s">
        <v>70</v>
      </c>
      <c r="ES9" s="40">
        <v>45930</v>
      </c>
      <c r="ET9" s="40">
        <v>46055</v>
      </c>
      <c r="EU9" s="40" t="s">
        <v>71</v>
      </c>
      <c r="EV9" s="40">
        <v>45992</v>
      </c>
      <c r="EW9" s="40">
        <v>46084</v>
      </c>
      <c r="EX9" s="40" t="s">
        <v>71</v>
      </c>
      <c r="EY9" s="40">
        <v>45688</v>
      </c>
      <c r="EZ9" s="40">
        <v>46077</v>
      </c>
      <c r="FA9" s="40">
        <v>46038</v>
      </c>
      <c r="FB9" s="40">
        <v>46055</v>
      </c>
      <c r="FC9" s="40">
        <v>46055</v>
      </c>
      <c r="FD9" s="40">
        <v>46055</v>
      </c>
      <c r="FE9" s="40">
        <v>46037</v>
      </c>
      <c r="FF9" s="40">
        <v>46048</v>
      </c>
      <c r="FG9" s="40">
        <v>46041</v>
      </c>
      <c r="FH9" s="40">
        <v>46044</v>
      </c>
      <c r="FI9" s="40">
        <v>46044</v>
      </c>
      <c r="FJ9" s="40">
        <v>46047</v>
      </c>
      <c r="FK9" s="40">
        <v>46047</v>
      </c>
      <c r="FL9" s="40">
        <v>46056</v>
      </c>
      <c r="FM9" s="40">
        <v>46056</v>
      </c>
      <c r="FN9" s="40">
        <v>46056</v>
      </c>
      <c r="FO9" s="40"/>
      <c r="FP9" s="40"/>
      <c r="FQ9" s="40">
        <v>46023</v>
      </c>
      <c r="FR9" s="40">
        <v>46074</v>
      </c>
      <c r="FS9" s="40"/>
      <c r="FT9" s="40">
        <v>46022</v>
      </c>
      <c r="FU9" s="40">
        <v>46077</v>
      </c>
      <c r="FV9" s="40"/>
      <c r="FW9" s="40"/>
      <c r="FX9" s="40"/>
      <c r="FY9" s="40">
        <v>46054</v>
      </c>
      <c r="FZ9" s="40">
        <v>46054</v>
      </c>
      <c r="GA9" s="40"/>
      <c r="GB9" s="40"/>
      <c r="GC9" s="40"/>
      <c r="GD9" s="40"/>
    </row>
    <row r="10" spans="2:186" x14ac:dyDescent="0.35">
      <c r="B10" s="41">
        <f t="shared" si="3"/>
        <v>46086</v>
      </c>
      <c r="C10" s="24">
        <v>2506149</v>
      </c>
      <c r="D10" s="25">
        <v>4.9800000000000004</v>
      </c>
      <c r="E10" s="25">
        <v>0.27</v>
      </c>
      <c r="F10" s="25">
        <v>1.87</v>
      </c>
      <c r="G10" s="25">
        <v>51.72</v>
      </c>
      <c r="H10" s="25">
        <v>2.5</v>
      </c>
      <c r="I10" s="25">
        <v>2.2999999999999998</v>
      </c>
      <c r="J10" s="25">
        <f t="shared" si="0"/>
        <v>7.3</v>
      </c>
      <c r="K10" s="24">
        <v>2577692</v>
      </c>
      <c r="L10" s="25">
        <v>5.09</v>
      </c>
      <c r="M10" s="25">
        <v>0.27</v>
      </c>
      <c r="N10" s="25">
        <v>1.85</v>
      </c>
      <c r="O10" s="25">
        <v>51.89898436964922</v>
      </c>
      <c r="P10" s="25">
        <v>2.4900000000000002</v>
      </c>
      <c r="Q10" s="25">
        <v>2.35</v>
      </c>
      <c r="R10" s="25">
        <f t="shared" si="1"/>
        <v>7.33</v>
      </c>
      <c r="S10" s="26">
        <v>2342896</v>
      </c>
      <c r="T10" s="25">
        <v>5.34</v>
      </c>
      <c r="U10" s="25">
        <v>0.32</v>
      </c>
      <c r="V10" s="25">
        <v>1.81</v>
      </c>
      <c r="W10" s="25">
        <v>51.8</v>
      </c>
      <c r="X10" s="25">
        <v>2.4</v>
      </c>
      <c r="Y10" s="25">
        <v>2.15</v>
      </c>
      <c r="Z10" s="25">
        <f t="shared" si="2"/>
        <v>6.9499999999999993</v>
      </c>
      <c r="AA10" s="24">
        <v>328064</v>
      </c>
      <c r="AB10" s="25">
        <v>84.88</v>
      </c>
      <c r="AC10" s="25">
        <v>0.31</v>
      </c>
      <c r="AD10" s="24">
        <v>529521</v>
      </c>
      <c r="AE10" s="33">
        <v>0.115</v>
      </c>
      <c r="AF10" s="25">
        <v>7.0000000000000007E-2</v>
      </c>
      <c r="AG10" s="34">
        <v>2.2000000000000002</v>
      </c>
      <c r="AH10" s="35">
        <v>22</v>
      </c>
      <c r="AI10" s="25">
        <v>36.6</v>
      </c>
      <c r="AJ10" s="25"/>
      <c r="AK10" s="25">
        <v>50.2</v>
      </c>
      <c r="AL10" s="24">
        <v>44014</v>
      </c>
      <c r="AM10" s="33">
        <v>0.1</v>
      </c>
      <c r="AN10" s="25">
        <v>0.06</v>
      </c>
      <c r="AO10" s="34">
        <v>2.2000000000000002</v>
      </c>
      <c r="AP10" s="35">
        <v>22</v>
      </c>
      <c r="AQ10" s="25">
        <v>35.204000000000008</v>
      </c>
      <c r="AR10" s="25"/>
      <c r="AS10" s="25">
        <v>50</v>
      </c>
      <c r="AT10" s="24">
        <v>536860</v>
      </c>
      <c r="AU10" s="33">
        <v>8.3000000000000004E-2</v>
      </c>
      <c r="AV10" s="25">
        <v>7.0000000000000007E-2</v>
      </c>
      <c r="AW10" s="34">
        <v>2.2000000000000002</v>
      </c>
      <c r="AX10" s="35">
        <v>22</v>
      </c>
      <c r="AY10" s="25">
        <v>56.01</v>
      </c>
      <c r="AZ10" s="25">
        <v>1.39</v>
      </c>
      <c r="BA10" s="34">
        <v>10</v>
      </c>
      <c r="BB10" s="24">
        <v>353850</v>
      </c>
      <c r="BC10" s="33">
        <v>7.5999999999999998E-2</v>
      </c>
      <c r="BD10" s="25">
        <v>0.06</v>
      </c>
      <c r="BE10" s="34">
        <v>2.1</v>
      </c>
      <c r="BF10" s="35">
        <v>21</v>
      </c>
      <c r="BG10" s="25">
        <v>57.65</v>
      </c>
      <c r="BH10" s="25">
        <v>1.6</v>
      </c>
      <c r="BI10" s="25">
        <v>9</v>
      </c>
      <c r="BJ10" s="24">
        <v>508583</v>
      </c>
      <c r="BK10" s="33">
        <v>7.1999999999999995E-2</v>
      </c>
      <c r="BL10" s="25">
        <v>7.0000000000000007E-2</v>
      </c>
      <c r="BM10" s="25">
        <v>2.2000000000000002</v>
      </c>
      <c r="BN10" s="35">
        <v>22</v>
      </c>
      <c r="BO10" s="25">
        <v>56.55</v>
      </c>
      <c r="BP10" s="25">
        <v>1.3</v>
      </c>
      <c r="BQ10" s="25">
        <v>9.8000000000000007</v>
      </c>
      <c r="BR10" s="24">
        <v>510730</v>
      </c>
      <c r="BS10" s="33">
        <v>7.0999999999999994E-2</v>
      </c>
      <c r="BT10" s="25">
        <v>7.0000000000000007E-2</v>
      </c>
      <c r="BU10" s="34">
        <v>2.2999999999999998</v>
      </c>
      <c r="BV10" s="35">
        <v>23</v>
      </c>
      <c r="BW10" s="25">
        <v>56.8</v>
      </c>
      <c r="BX10" s="25">
        <v>1.49</v>
      </c>
      <c r="BY10" s="25">
        <v>9.4</v>
      </c>
      <c r="BZ10" s="24">
        <v>26023</v>
      </c>
      <c r="CA10" s="33">
        <v>7.4999999999999997E-2</v>
      </c>
      <c r="CB10" s="25">
        <v>7.0000000000000007E-2</v>
      </c>
      <c r="CC10" s="34">
        <v>2.4</v>
      </c>
      <c r="CD10" s="35">
        <v>24</v>
      </c>
      <c r="CE10" s="25">
        <v>57.5</v>
      </c>
      <c r="CF10" s="25">
        <v>1.4</v>
      </c>
      <c r="CG10" s="25">
        <v>8.1999999999999993</v>
      </c>
      <c r="CH10" s="42"/>
      <c r="CI10" s="49"/>
      <c r="CJ10" s="49"/>
      <c r="CK10" s="49"/>
      <c r="CL10" s="49"/>
      <c r="CM10" s="49"/>
      <c r="CN10" s="49"/>
      <c r="CO10" s="49"/>
      <c r="CP10" s="24">
        <v>1164563</v>
      </c>
      <c r="CQ10" s="33">
        <v>5.5E-2</v>
      </c>
      <c r="CR10" s="25">
        <v>0.04</v>
      </c>
      <c r="CS10" s="34">
        <v>2.1</v>
      </c>
      <c r="CT10" s="35">
        <v>21</v>
      </c>
      <c r="CU10" s="25">
        <v>52.3</v>
      </c>
      <c r="CV10" s="25">
        <v>1.1499999999999999</v>
      </c>
      <c r="CW10" s="24">
        <v>961820</v>
      </c>
      <c r="CX10" s="33">
        <v>5.0999999999999997E-2</v>
      </c>
      <c r="CY10" s="25">
        <v>0.05</v>
      </c>
      <c r="CZ10" s="34">
        <v>2.2000000000000002</v>
      </c>
      <c r="DA10" s="35">
        <v>22</v>
      </c>
      <c r="DB10" s="25">
        <v>52.5</v>
      </c>
      <c r="DC10" s="25">
        <v>0.6</v>
      </c>
      <c r="DD10" s="42"/>
      <c r="DE10" s="49"/>
      <c r="DF10" s="49"/>
      <c r="DG10" s="49"/>
      <c r="DH10" s="49"/>
      <c r="DI10" s="49"/>
      <c r="DJ10" s="49"/>
      <c r="DK10" s="49"/>
      <c r="DL10" s="56"/>
      <c r="DM10" s="24">
        <v>32951</v>
      </c>
      <c r="DN10" s="33">
        <v>7.0000000000000007E-2</v>
      </c>
      <c r="DO10" s="25">
        <v>0.06</v>
      </c>
      <c r="DP10" s="34">
        <v>2.4</v>
      </c>
      <c r="DQ10" s="35">
        <v>24</v>
      </c>
      <c r="DR10" s="25">
        <v>58.9</v>
      </c>
      <c r="DS10" s="25"/>
      <c r="DT10" s="25">
        <v>7.6</v>
      </c>
      <c r="DU10" s="57"/>
      <c r="DV10" s="49"/>
      <c r="DW10" s="49"/>
      <c r="DX10" s="49"/>
      <c r="DY10" s="49"/>
      <c r="DZ10" s="49"/>
      <c r="EA10" s="49"/>
      <c r="EB10" s="49"/>
      <c r="EC10" s="49"/>
      <c r="ED10" s="56"/>
      <c r="EE10" s="42"/>
      <c r="EF10" s="49"/>
      <c r="EG10" s="49"/>
      <c r="EH10" s="49"/>
      <c r="EI10" s="49"/>
      <c r="EJ10" s="49"/>
      <c r="EK10" s="49"/>
      <c r="EL10" s="49"/>
      <c r="EM10" s="58"/>
      <c r="EN10" s="39"/>
      <c r="EO10" s="40">
        <f t="shared" si="4"/>
        <v>46086</v>
      </c>
      <c r="EP10" s="40">
        <v>45978</v>
      </c>
      <c r="EQ10" s="40">
        <v>46074</v>
      </c>
      <c r="ER10" s="40" t="s">
        <v>70</v>
      </c>
      <c r="ES10" s="40">
        <v>45930</v>
      </c>
      <c r="ET10" s="40">
        <v>46055</v>
      </c>
      <c r="EU10" s="40" t="s">
        <v>71</v>
      </c>
      <c r="EV10" s="40">
        <v>45992</v>
      </c>
      <c r="EW10" s="40">
        <v>46085</v>
      </c>
      <c r="EX10" s="40" t="s">
        <v>71</v>
      </c>
      <c r="EY10" s="40">
        <v>45688</v>
      </c>
      <c r="EZ10" s="40">
        <v>46077</v>
      </c>
      <c r="FA10" s="40">
        <v>46038</v>
      </c>
      <c r="FB10" s="40">
        <v>46055</v>
      </c>
      <c r="FC10" s="40">
        <v>46055</v>
      </c>
      <c r="FD10" s="40">
        <v>46055</v>
      </c>
      <c r="FE10" s="40">
        <v>46037</v>
      </c>
      <c r="FF10" s="40">
        <v>46048</v>
      </c>
      <c r="FG10" s="40">
        <v>46041</v>
      </c>
      <c r="FH10" s="40">
        <v>46044</v>
      </c>
      <c r="FI10" s="40">
        <v>46044</v>
      </c>
      <c r="FJ10" s="40">
        <v>46047</v>
      </c>
      <c r="FK10" s="40">
        <v>46047</v>
      </c>
      <c r="FL10" s="40">
        <v>46056</v>
      </c>
      <c r="FM10" s="40">
        <v>46056</v>
      </c>
      <c r="FN10" s="40">
        <v>46056</v>
      </c>
      <c r="FO10" s="40"/>
      <c r="FP10" s="40"/>
      <c r="FQ10" s="40">
        <v>46023</v>
      </c>
      <c r="FR10" s="40">
        <v>46074</v>
      </c>
      <c r="FS10" s="40"/>
      <c r="FT10" s="40">
        <v>46022</v>
      </c>
      <c r="FU10" s="40">
        <v>46077</v>
      </c>
      <c r="FV10" s="40"/>
      <c r="FW10" s="40"/>
      <c r="FX10" s="40"/>
      <c r="FY10" s="40">
        <v>46054</v>
      </c>
      <c r="FZ10" s="40">
        <v>46054</v>
      </c>
      <c r="GA10" s="40"/>
      <c r="GB10" s="40"/>
      <c r="GC10" s="40"/>
      <c r="GD10" s="40"/>
    </row>
    <row r="11" spans="2:186" x14ac:dyDescent="0.35">
      <c r="B11" s="41">
        <f t="shared" si="3"/>
        <v>46087</v>
      </c>
      <c r="C11" s="24">
        <v>2506149</v>
      </c>
      <c r="D11" s="25">
        <v>4.9800000000000004</v>
      </c>
      <c r="E11" s="25">
        <v>0.27</v>
      </c>
      <c r="F11" s="25">
        <v>1.87</v>
      </c>
      <c r="G11" s="25">
        <v>51.72</v>
      </c>
      <c r="H11" s="25">
        <v>2.5</v>
      </c>
      <c r="I11" s="25">
        <v>2.2999999999999998</v>
      </c>
      <c r="J11" s="25">
        <f t="shared" si="0"/>
        <v>7.3</v>
      </c>
      <c r="K11" s="24">
        <v>2577692</v>
      </c>
      <c r="L11" s="25">
        <v>5.09</v>
      </c>
      <c r="M11" s="25">
        <v>0.27</v>
      </c>
      <c r="N11" s="25">
        <v>1.85</v>
      </c>
      <c r="O11" s="25">
        <v>51.89898436964922</v>
      </c>
      <c r="P11" s="25">
        <v>2.4900000000000002</v>
      </c>
      <c r="Q11" s="25">
        <v>2.35</v>
      </c>
      <c r="R11" s="25">
        <f t="shared" si="1"/>
        <v>7.33</v>
      </c>
      <c r="S11" s="26">
        <v>2443036</v>
      </c>
      <c r="T11" s="25">
        <v>5.3</v>
      </c>
      <c r="U11" s="25">
        <v>0.32</v>
      </c>
      <c r="V11" s="25">
        <v>1.81</v>
      </c>
      <c r="W11" s="27">
        <v>51.77</v>
      </c>
      <c r="X11" s="25">
        <v>2.37</v>
      </c>
      <c r="Y11" s="25">
        <v>2.12</v>
      </c>
      <c r="Z11" s="25">
        <f t="shared" si="2"/>
        <v>6.86</v>
      </c>
      <c r="AA11" s="24">
        <v>328064</v>
      </c>
      <c r="AB11" s="25">
        <v>84.88</v>
      </c>
      <c r="AC11" s="25">
        <v>0.31</v>
      </c>
      <c r="AD11" s="24">
        <v>529521</v>
      </c>
      <c r="AE11" s="33">
        <v>0.11799999999999999</v>
      </c>
      <c r="AF11" s="25">
        <v>7.0000000000000007E-2</v>
      </c>
      <c r="AG11" s="34">
        <v>2.2000000000000002</v>
      </c>
      <c r="AH11" s="35">
        <v>22</v>
      </c>
      <c r="AI11" s="25">
        <v>36.6</v>
      </c>
      <c r="AJ11" s="25"/>
      <c r="AK11" s="25">
        <v>50.2</v>
      </c>
      <c r="AL11" s="24">
        <v>44014</v>
      </c>
      <c r="AM11" s="33">
        <v>0.105</v>
      </c>
      <c r="AN11" s="25">
        <v>0.06</v>
      </c>
      <c r="AO11" s="34">
        <v>2.2000000000000002</v>
      </c>
      <c r="AP11" s="35">
        <v>22</v>
      </c>
      <c r="AQ11" s="25">
        <v>35.204000000000008</v>
      </c>
      <c r="AR11" s="25"/>
      <c r="AS11" s="25">
        <v>50</v>
      </c>
      <c r="AT11" s="24">
        <v>536860</v>
      </c>
      <c r="AU11" s="33">
        <v>8.4000000000000005E-2</v>
      </c>
      <c r="AV11" s="25">
        <v>7.0000000000000007E-2</v>
      </c>
      <c r="AW11" s="34">
        <v>2.2000000000000002</v>
      </c>
      <c r="AX11" s="35">
        <v>22</v>
      </c>
      <c r="AY11" s="25">
        <v>56.01</v>
      </c>
      <c r="AZ11" s="25">
        <v>1.39</v>
      </c>
      <c r="BA11" s="34">
        <v>10</v>
      </c>
      <c r="BB11" s="24">
        <v>344790</v>
      </c>
      <c r="BC11" s="33">
        <v>7.5999999999999998E-2</v>
      </c>
      <c r="BD11" s="25">
        <v>7.0000000000000007E-2</v>
      </c>
      <c r="BE11" s="34">
        <v>2.1</v>
      </c>
      <c r="BF11" s="35">
        <v>21</v>
      </c>
      <c r="BG11" s="25">
        <v>57.65</v>
      </c>
      <c r="BH11" s="25">
        <v>1.6</v>
      </c>
      <c r="BI11" s="25">
        <v>9</v>
      </c>
      <c r="BJ11" s="24">
        <v>508583</v>
      </c>
      <c r="BK11" s="33">
        <v>7.1999999999999995E-2</v>
      </c>
      <c r="BL11" s="25">
        <v>7.0000000000000007E-2</v>
      </c>
      <c r="BM11" s="25">
        <v>2.2000000000000002</v>
      </c>
      <c r="BN11" s="35">
        <v>22</v>
      </c>
      <c r="BO11" s="25">
        <v>56.55</v>
      </c>
      <c r="BP11" s="25">
        <v>1.3</v>
      </c>
      <c r="BQ11" s="25">
        <v>9.8000000000000007</v>
      </c>
      <c r="BR11" s="24">
        <v>510730</v>
      </c>
      <c r="BS11" s="33">
        <v>7.0999999999999994E-2</v>
      </c>
      <c r="BT11" s="25">
        <v>7.0000000000000007E-2</v>
      </c>
      <c r="BU11" s="34">
        <v>2.2999999999999998</v>
      </c>
      <c r="BV11" s="35">
        <v>23</v>
      </c>
      <c r="BW11" s="25">
        <v>56.8</v>
      </c>
      <c r="BX11" s="25">
        <v>1.49</v>
      </c>
      <c r="BY11" s="25">
        <v>9.4</v>
      </c>
      <c r="BZ11" s="24">
        <v>26023</v>
      </c>
      <c r="CA11" s="33">
        <v>7.8E-2</v>
      </c>
      <c r="CB11" s="25">
        <v>7.0000000000000007E-2</v>
      </c>
      <c r="CC11" s="34">
        <v>2.4</v>
      </c>
      <c r="CD11" s="35">
        <v>24</v>
      </c>
      <c r="CE11" s="25">
        <v>57.5</v>
      </c>
      <c r="CF11" s="25">
        <v>1.4</v>
      </c>
      <c r="CG11" s="25">
        <v>8.1999999999999993</v>
      </c>
      <c r="CH11" s="42"/>
      <c r="CI11" s="49"/>
      <c r="CJ11" s="49"/>
      <c r="CK11" s="49"/>
      <c r="CL11" s="49"/>
      <c r="CM11" s="49"/>
      <c r="CN11" s="49"/>
      <c r="CO11" s="49"/>
      <c r="CP11" s="24">
        <v>1164563</v>
      </c>
      <c r="CQ11" s="33">
        <v>5.6000000000000001E-2</v>
      </c>
      <c r="CR11" s="25">
        <v>0.04</v>
      </c>
      <c r="CS11" s="34">
        <v>2.1</v>
      </c>
      <c r="CT11" s="35">
        <v>21</v>
      </c>
      <c r="CU11" s="25">
        <v>52.3</v>
      </c>
      <c r="CV11" s="25">
        <v>1.18</v>
      </c>
      <c r="CW11" s="24">
        <v>961820</v>
      </c>
      <c r="CX11" s="33">
        <v>5.1999999999999998E-2</v>
      </c>
      <c r="CY11" s="25">
        <v>0.05</v>
      </c>
      <c r="CZ11" s="34">
        <v>2.2000000000000002</v>
      </c>
      <c r="DA11" s="35">
        <v>22</v>
      </c>
      <c r="DB11" s="25">
        <v>52.5</v>
      </c>
      <c r="DC11" s="25">
        <v>0.8</v>
      </c>
      <c r="DD11" s="42"/>
      <c r="DE11" s="49"/>
      <c r="DF11" s="49"/>
      <c r="DG11" s="49"/>
      <c r="DH11" s="49"/>
      <c r="DI11" s="49"/>
      <c r="DJ11" s="49"/>
      <c r="DK11" s="49"/>
      <c r="DL11" s="56"/>
      <c r="DM11" s="24">
        <v>32951</v>
      </c>
      <c r="DN11" s="33">
        <v>7.4999999999999997E-2</v>
      </c>
      <c r="DO11" s="25">
        <v>0.06</v>
      </c>
      <c r="DP11" s="34">
        <v>2.4</v>
      </c>
      <c r="DQ11" s="35">
        <v>24</v>
      </c>
      <c r="DR11" s="25">
        <v>58.9</v>
      </c>
      <c r="DS11" s="25"/>
      <c r="DT11" s="25">
        <v>7.6</v>
      </c>
      <c r="DU11" s="57"/>
      <c r="DV11" s="49"/>
      <c r="DW11" s="49"/>
      <c r="DX11" s="49"/>
      <c r="DY11" s="49"/>
      <c r="DZ11" s="49"/>
      <c r="EA11" s="49"/>
      <c r="EB11" s="49"/>
      <c r="EC11" s="49"/>
      <c r="ED11" s="56"/>
      <c r="EE11" s="42"/>
      <c r="EF11" s="49"/>
      <c r="EG11" s="49"/>
      <c r="EH11" s="49"/>
      <c r="EI11" s="49"/>
      <c r="EJ11" s="49"/>
      <c r="EK11" s="49"/>
      <c r="EL11" s="49"/>
      <c r="EM11" s="58"/>
      <c r="EN11" s="39"/>
      <c r="EO11" s="40">
        <f t="shared" si="4"/>
        <v>46087</v>
      </c>
      <c r="EP11" s="40">
        <v>45978</v>
      </c>
      <c r="EQ11" s="40">
        <v>46074</v>
      </c>
      <c r="ER11" s="40" t="s">
        <v>70</v>
      </c>
      <c r="ES11" s="40">
        <v>45930</v>
      </c>
      <c r="ET11" s="40">
        <v>46055</v>
      </c>
      <c r="EU11" s="40" t="s">
        <v>71</v>
      </c>
      <c r="EV11" s="40">
        <v>45992</v>
      </c>
      <c r="EW11" s="40">
        <v>46086</v>
      </c>
      <c r="EX11" s="40" t="s">
        <v>71</v>
      </c>
      <c r="EY11" s="40">
        <v>45688</v>
      </c>
      <c r="EZ11" s="40">
        <v>46077</v>
      </c>
      <c r="FA11" s="40">
        <v>46038</v>
      </c>
      <c r="FB11" s="40">
        <v>46055</v>
      </c>
      <c r="FC11" s="40">
        <v>46055</v>
      </c>
      <c r="FD11" s="40">
        <v>46055</v>
      </c>
      <c r="FE11" s="40">
        <v>46037</v>
      </c>
      <c r="FF11" s="40">
        <v>46048</v>
      </c>
      <c r="FG11" s="40">
        <v>46041</v>
      </c>
      <c r="FH11" s="40">
        <v>46044</v>
      </c>
      <c r="FI11" s="40">
        <v>46044</v>
      </c>
      <c r="FJ11" s="40">
        <v>46047</v>
      </c>
      <c r="FK11" s="40">
        <v>46047</v>
      </c>
      <c r="FL11" s="40">
        <v>46056</v>
      </c>
      <c r="FM11" s="40">
        <v>46056</v>
      </c>
      <c r="FN11" s="40">
        <v>46056</v>
      </c>
      <c r="FO11" s="40"/>
      <c r="FP11" s="40"/>
      <c r="FQ11" s="40">
        <v>46023</v>
      </c>
      <c r="FR11" s="40">
        <v>46074</v>
      </c>
      <c r="FS11" s="40"/>
      <c r="FT11" s="40">
        <v>46022</v>
      </c>
      <c r="FU11" s="40">
        <v>46077</v>
      </c>
      <c r="FV11" s="40"/>
      <c r="FW11" s="40"/>
      <c r="FX11" s="40"/>
      <c r="FY11" s="40">
        <v>46054</v>
      </c>
      <c r="FZ11" s="40">
        <v>46054</v>
      </c>
      <c r="GA11" s="40"/>
      <c r="GB11" s="40"/>
      <c r="GC11" s="40"/>
      <c r="GD11" s="40"/>
    </row>
    <row r="12" spans="2:186" x14ac:dyDescent="0.35">
      <c r="B12" s="41">
        <f t="shared" si="3"/>
        <v>46088</v>
      </c>
      <c r="C12" s="24">
        <v>2506149</v>
      </c>
      <c r="D12" s="25">
        <v>4.9800000000000004</v>
      </c>
      <c r="E12" s="25">
        <v>0.27</v>
      </c>
      <c r="F12" s="25">
        <v>1.87</v>
      </c>
      <c r="G12" s="25">
        <v>51.72</v>
      </c>
      <c r="H12" s="25">
        <v>2.5</v>
      </c>
      <c r="I12" s="25">
        <v>2.2999999999999998</v>
      </c>
      <c r="J12" s="25">
        <f t="shared" si="0"/>
        <v>7.3</v>
      </c>
      <c r="K12" s="24">
        <v>2577692</v>
      </c>
      <c r="L12" s="25">
        <v>5.13</v>
      </c>
      <c r="M12" s="25">
        <v>0.27</v>
      </c>
      <c r="N12" s="25">
        <v>1.85</v>
      </c>
      <c r="O12" s="25">
        <v>51.89898436964922</v>
      </c>
      <c r="P12" s="25">
        <v>2.4900000000000002</v>
      </c>
      <c r="Q12" s="25">
        <v>2.35</v>
      </c>
      <c r="R12" s="25">
        <f t="shared" si="1"/>
        <v>7.33</v>
      </c>
      <c r="S12" s="26">
        <v>2529566</v>
      </c>
      <c r="T12" s="25">
        <v>5.28</v>
      </c>
      <c r="U12" s="25">
        <v>0.26</v>
      </c>
      <c r="V12" s="25">
        <v>1.78</v>
      </c>
      <c r="W12" s="27">
        <v>51.65</v>
      </c>
      <c r="X12" s="25">
        <v>2.2999999999999998</v>
      </c>
      <c r="Y12" s="25">
        <v>2.1</v>
      </c>
      <c r="Z12" s="25">
        <f t="shared" si="2"/>
        <v>6.6999999999999993</v>
      </c>
      <c r="AA12" s="24">
        <v>328064</v>
      </c>
      <c r="AB12" s="25">
        <v>84.88</v>
      </c>
      <c r="AC12" s="25">
        <v>0.31</v>
      </c>
      <c r="AD12" s="24">
        <v>529521</v>
      </c>
      <c r="AE12" s="33">
        <v>0.124</v>
      </c>
      <c r="AF12" s="25">
        <v>7.0000000000000007E-2</v>
      </c>
      <c r="AG12" s="34">
        <v>2.2000000000000002</v>
      </c>
      <c r="AH12" s="35">
        <v>22</v>
      </c>
      <c r="AI12" s="25">
        <v>36.6</v>
      </c>
      <c r="AJ12" s="25"/>
      <c r="AK12" s="25">
        <v>50.2</v>
      </c>
      <c r="AL12" s="24">
        <v>44014</v>
      </c>
      <c r="AM12" s="33">
        <v>0.108</v>
      </c>
      <c r="AN12" s="25">
        <v>0.06</v>
      </c>
      <c r="AO12" s="34">
        <v>2.2000000000000002</v>
      </c>
      <c r="AP12" s="35">
        <v>22</v>
      </c>
      <c r="AQ12" s="25">
        <v>35.204000000000008</v>
      </c>
      <c r="AR12" s="25"/>
      <c r="AS12" s="25">
        <v>50</v>
      </c>
      <c r="AT12" s="24">
        <v>536860</v>
      </c>
      <c r="AU12" s="33">
        <v>8.4000000000000005E-2</v>
      </c>
      <c r="AV12" s="25">
        <v>7.0000000000000007E-2</v>
      </c>
      <c r="AW12" s="34">
        <v>2.2000000000000002</v>
      </c>
      <c r="AX12" s="35">
        <v>22</v>
      </c>
      <c r="AY12" s="25">
        <v>56.01</v>
      </c>
      <c r="AZ12" s="25">
        <v>1.39</v>
      </c>
      <c r="BA12" s="34">
        <v>10</v>
      </c>
      <c r="BB12" s="24">
        <v>278400</v>
      </c>
      <c r="BC12" s="33">
        <v>7.5999999999999998E-2</v>
      </c>
      <c r="BD12" s="25">
        <v>7.0000000000000007E-2</v>
      </c>
      <c r="BE12" s="34">
        <v>2.1</v>
      </c>
      <c r="BF12" s="35">
        <v>21</v>
      </c>
      <c r="BG12" s="25">
        <v>57.65</v>
      </c>
      <c r="BH12" s="25">
        <v>1.6</v>
      </c>
      <c r="BI12" s="25">
        <v>9</v>
      </c>
      <c r="BJ12" s="24">
        <v>508583</v>
      </c>
      <c r="BK12" s="33">
        <v>7.1999999999999995E-2</v>
      </c>
      <c r="BL12" s="25">
        <v>7.0000000000000007E-2</v>
      </c>
      <c r="BM12" s="25">
        <v>2.2000000000000002</v>
      </c>
      <c r="BN12" s="35">
        <v>22</v>
      </c>
      <c r="BO12" s="25">
        <v>56.55</v>
      </c>
      <c r="BP12" s="25">
        <v>1.3</v>
      </c>
      <c r="BQ12" s="25">
        <v>9.8000000000000007</v>
      </c>
      <c r="BR12" s="24">
        <v>510730</v>
      </c>
      <c r="BS12" s="33">
        <v>7.0999999999999994E-2</v>
      </c>
      <c r="BT12" s="25">
        <v>7.0000000000000007E-2</v>
      </c>
      <c r="BU12" s="34">
        <v>2.2999999999999998</v>
      </c>
      <c r="BV12" s="35">
        <v>23</v>
      </c>
      <c r="BW12" s="25">
        <v>56.8</v>
      </c>
      <c r="BX12" s="25">
        <v>1.49</v>
      </c>
      <c r="BY12" s="25">
        <v>9.4</v>
      </c>
      <c r="BZ12" s="24">
        <v>26023</v>
      </c>
      <c r="CA12" s="33">
        <v>0.08</v>
      </c>
      <c r="CB12" s="25">
        <v>7.0000000000000007E-2</v>
      </c>
      <c r="CC12" s="34">
        <v>2.4</v>
      </c>
      <c r="CD12" s="35">
        <v>24</v>
      </c>
      <c r="CE12" s="25">
        <v>57.5</v>
      </c>
      <c r="CF12" s="25">
        <v>1.4</v>
      </c>
      <c r="CG12" s="25">
        <v>8.1999999999999993</v>
      </c>
      <c r="CH12" s="42"/>
      <c r="CI12" s="49"/>
      <c r="CJ12" s="49"/>
      <c r="CK12" s="49"/>
      <c r="CL12" s="49"/>
      <c r="CM12" s="49"/>
      <c r="CN12" s="49"/>
      <c r="CO12" s="49"/>
      <c r="CP12" s="24">
        <v>1164563</v>
      </c>
      <c r="CQ12" s="33">
        <v>5.6000000000000001E-2</v>
      </c>
      <c r="CR12" s="25">
        <v>0.04</v>
      </c>
      <c r="CS12" s="34">
        <v>2.1</v>
      </c>
      <c r="CT12" s="35">
        <v>21</v>
      </c>
      <c r="CU12" s="25">
        <v>52.3</v>
      </c>
      <c r="CV12" s="25">
        <v>1.18</v>
      </c>
      <c r="CW12" s="24">
        <v>961820</v>
      </c>
      <c r="CX12" s="33">
        <v>5.1999999999999998E-2</v>
      </c>
      <c r="CY12" s="25">
        <v>0.05</v>
      </c>
      <c r="CZ12" s="34">
        <v>2.2000000000000002</v>
      </c>
      <c r="DA12" s="35">
        <v>22</v>
      </c>
      <c r="DB12" s="25">
        <v>52.5</v>
      </c>
      <c r="DC12" s="25">
        <v>0.8</v>
      </c>
      <c r="DD12" s="42"/>
      <c r="DE12" s="49"/>
      <c r="DF12" s="49"/>
      <c r="DG12" s="49"/>
      <c r="DH12" s="49"/>
      <c r="DI12" s="49"/>
      <c r="DJ12" s="49"/>
      <c r="DK12" s="49"/>
      <c r="DL12" s="56"/>
      <c r="DM12" s="24">
        <v>32951</v>
      </c>
      <c r="DN12" s="33">
        <v>0.08</v>
      </c>
      <c r="DO12" s="25">
        <v>0.06</v>
      </c>
      <c r="DP12" s="34">
        <v>2.4</v>
      </c>
      <c r="DQ12" s="35">
        <v>24</v>
      </c>
      <c r="DR12" s="25">
        <v>58.9</v>
      </c>
      <c r="DS12" s="25"/>
      <c r="DT12" s="25">
        <v>7.6</v>
      </c>
      <c r="DU12" s="57"/>
      <c r="DV12" s="49"/>
      <c r="DW12" s="49"/>
      <c r="DX12" s="49"/>
      <c r="DY12" s="49"/>
      <c r="DZ12" s="49"/>
      <c r="EA12" s="49"/>
      <c r="EB12" s="49"/>
      <c r="EC12" s="49"/>
      <c r="ED12" s="56"/>
      <c r="EE12" s="42"/>
      <c r="EF12" s="49"/>
      <c r="EG12" s="49"/>
      <c r="EH12" s="49"/>
      <c r="EI12" s="49"/>
      <c r="EJ12" s="49"/>
      <c r="EK12" s="49"/>
      <c r="EL12" s="49"/>
      <c r="EM12" s="58"/>
      <c r="EN12" s="39"/>
      <c r="EO12" s="40">
        <f t="shared" si="4"/>
        <v>46088</v>
      </c>
      <c r="EP12" s="40">
        <v>45978</v>
      </c>
      <c r="EQ12" s="40">
        <v>46074</v>
      </c>
      <c r="ER12" s="40" t="s">
        <v>70</v>
      </c>
      <c r="ES12" s="40">
        <v>45930</v>
      </c>
      <c r="ET12" s="40">
        <v>46055</v>
      </c>
      <c r="EU12" s="40" t="s">
        <v>71</v>
      </c>
      <c r="EV12" s="40">
        <v>45992</v>
      </c>
      <c r="EW12" s="40">
        <v>46087</v>
      </c>
      <c r="EX12" s="40" t="s">
        <v>71</v>
      </c>
      <c r="EY12" s="40">
        <v>45688</v>
      </c>
      <c r="EZ12" s="40">
        <v>46077</v>
      </c>
      <c r="FA12" s="40">
        <v>46038</v>
      </c>
      <c r="FB12" s="40">
        <v>46055</v>
      </c>
      <c r="FC12" s="40">
        <v>46055</v>
      </c>
      <c r="FD12" s="40">
        <v>46055</v>
      </c>
      <c r="FE12" s="40">
        <v>46037</v>
      </c>
      <c r="FF12" s="40">
        <v>46048</v>
      </c>
      <c r="FG12" s="40">
        <v>46041</v>
      </c>
      <c r="FH12" s="40">
        <v>46044</v>
      </c>
      <c r="FI12" s="40">
        <v>46044</v>
      </c>
      <c r="FJ12" s="40">
        <v>46047</v>
      </c>
      <c r="FK12" s="40">
        <v>46047</v>
      </c>
      <c r="FL12" s="40">
        <v>46056</v>
      </c>
      <c r="FM12" s="40">
        <v>46056</v>
      </c>
      <c r="FN12" s="40">
        <v>46056</v>
      </c>
      <c r="FO12" s="40"/>
      <c r="FP12" s="40"/>
      <c r="FQ12" s="40">
        <v>46023</v>
      </c>
      <c r="FR12" s="40">
        <v>46074</v>
      </c>
      <c r="FS12" s="40"/>
      <c r="FT12" s="40">
        <v>46022</v>
      </c>
      <c r="FU12" s="40">
        <v>46077</v>
      </c>
      <c r="FV12" s="40"/>
      <c r="FW12" s="40"/>
      <c r="FX12" s="40"/>
      <c r="FY12" s="40">
        <v>46054</v>
      </c>
      <c r="FZ12" s="40">
        <v>46054</v>
      </c>
      <c r="GA12" s="40"/>
      <c r="GB12" s="40"/>
      <c r="GC12" s="40"/>
      <c r="GD12" s="40"/>
    </row>
    <row r="13" spans="2:186" x14ac:dyDescent="0.35">
      <c r="B13" s="41">
        <f t="shared" si="3"/>
        <v>46089</v>
      </c>
      <c r="C13" s="24">
        <v>2506149</v>
      </c>
      <c r="D13" s="25">
        <v>5</v>
      </c>
      <c r="E13" s="25">
        <v>0.27</v>
      </c>
      <c r="F13" s="25">
        <v>1.87</v>
      </c>
      <c r="G13" s="25">
        <v>51.72</v>
      </c>
      <c r="H13" s="25">
        <v>2.58</v>
      </c>
      <c r="I13" s="25">
        <v>2.33</v>
      </c>
      <c r="J13" s="25">
        <f t="shared" si="0"/>
        <v>7.49</v>
      </c>
      <c r="K13" s="24">
        <v>2577692</v>
      </c>
      <c r="L13" s="25">
        <v>5.13</v>
      </c>
      <c r="M13" s="25">
        <v>0.27</v>
      </c>
      <c r="N13" s="25">
        <v>1.85</v>
      </c>
      <c r="O13" s="25">
        <v>51.89898436964922</v>
      </c>
      <c r="P13" s="25">
        <v>2.5</v>
      </c>
      <c r="Q13" s="25">
        <v>2.35</v>
      </c>
      <c r="R13" s="25">
        <f t="shared" si="1"/>
        <v>7.35</v>
      </c>
      <c r="S13" s="26">
        <v>2529566</v>
      </c>
      <c r="T13" s="25">
        <v>5.28</v>
      </c>
      <c r="U13" s="25">
        <v>0.26</v>
      </c>
      <c r="V13" s="25">
        <v>1.78</v>
      </c>
      <c r="W13" s="27">
        <v>51.65</v>
      </c>
      <c r="X13" s="25">
        <v>2.2999999999999998</v>
      </c>
      <c r="Y13" s="25">
        <v>2.1</v>
      </c>
      <c r="Z13" s="25">
        <f t="shared" si="2"/>
        <v>6.6999999999999993</v>
      </c>
      <c r="AA13" s="24">
        <v>328064</v>
      </c>
      <c r="AB13" s="25">
        <v>84.88</v>
      </c>
      <c r="AC13" s="25">
        <v>0.31</v>
      </c>
      <c r="AD13" s="24">
        <v>529521</v>
      </c>
      <c r="AE13" s="33">
        <v>0.126</v>
      </c>
      <c r="AF13" s="25">
        <v>7.0000000000000007E-2</v>
      </c>
      <c r="AG13" s="34">
        <v>2.2000000000000002</v>
      </c>
      <c r="AH13" s="35">
        <v>22</v>
      </c>
      <c r="AI13" s="25">
        <v>36.6</v>
      </c>
      <c r="AJ13" s="25"/>
      <c r="AK13" s="25">
        <v>50.2</v>
      </c>
      <c r="AL13" s="24">
        <v>44014</v>
      </c>
      <c r="AM13" s="33">
        <v>0.11</v>
      </c>
      <c r="AN13" s="25">
        <v>0.06</v>
      </c>
      <c r="AO13" s="34">
        <v>2.2000000000000002</v>
      </c>
      <c r="AP13" s="35">
        <v>22</v>
      </c>
      <c r="AQ13" s="25">
        <v>35.204000000000008</v>
      </c>
      <c r="AR13" s="25"/>
      <c r="AS13" s="25">
        <v>50</v>
      </c>
      <c r="AT13" s="24">
        <v>536860</v>
      </c>
      <c r="AU13" s="33">
        <v>8.5000000000000006E-2</v>
      </c>
      <c r="AV13" s="25">
        <v>7.0000000000000007E-2</v>
      </c>
      <c r="AW13" s="34">
        <v>2.2000000000000002</v>
      </c>
      <c r="AX13" s="35">
        <v>22</v>
      </c>
      <c r="AY13" s="25">
        <v>56.01</v>
      </c>
      <c r="AZ13" s="25">
        <v>1.39</v>
      </c>
      <c r="BA13" s="34">
        <v>10</v>
      </c>
      <c r="BB13" s="24">
        <v>269360</v>
      </c>
      <c r="BC13" s="33">
        <v>7.6999999999999999E-2</v>
      </c>
      <c r="BD13" s="25">
        <v>7.0000000000000007E-2</v>
      </c>
      <c r="BE13" s="34">
        <v>2.1</v>
      </c>
      <c r="BF13" s="35">
        <v>21</v>
      </c>
      <c r="BG13" s="25">
        <v>57.65</v>
      </c>
      <c r="BH13" s="25">
        <v>1.6</v>
      </c>
      <c r="BI13" s="25">
        <v>9</v>
      </c>
      <c r="BJ13" s="24">
        <v>508583</v>
      </c>
      <c r="BK13" s="33">
        <v>7.2999999999999995E-2</v>
      </c>
      <c r="BL13" s="25">
        <v>7.0000000000000007E-2</v>
      </c>
      <c r="BM13" s="25">
        <v>2.2000000000000002</v>
      </c>
      <c r="BN13" s="35">
        <v>22</v>
      </c>
      <c r="BO13" s="25">
        <v>56.55</v>
      </c>
      <c r="BP13" s="25">
        <v>1.3</v>
      </c>
      <c r="BQ13" s="25">
        <v>9.8000000000000007</v>
      </c>
      <c r="BR13" s="24">
        <v>510730</v>
      </c>
      <c r="BS13" s="33">
        <v>7.1999999999999995E-2</v>
      </c>
      <c r="BT13" s="25">
        <v>7.0000000000000007E-2</v>
      </c>
      <c r="BU13" s="34">
        <v>2.2999999999999998</v>
      </c>
      <c r="BV13" s="35">
        <v>23</v>
      </c>
      <c r="BW13" s="25">
        <v>56.8</v>
      </c>
      <c r="BX13" s="25">
        <v>1.49</v>
      </c>
      <c r="BY13" s="25">
        <v>9.4</v>
      </c>
      <c r="BZ13" s="24">
        <v>26023</v>
      </c>
      <c r="CA13" s="33">
        <v>8.3000000000000004E-2</v>
      </c>
      <c r="CB13" s="25">
        <v>7.0000000000000007E-2</v>
      </c>
      <c r="CC13" s="34">
        <v>2.4</v>
      </c>
      <c r="CD13" s="35">
        <v>24</v>
      </c>
      <c r="CE13" s="25">
        <v>57.5</v>
      </c>
      <c r="CF13" s="25">
        <v>1.4</v>
      </c>
      <c r="CG13" s="25">
        <v>8.1999999999999993</v>
      </c>
      <c r="CH13" s="42"/>
      <c r="CI13" s="49"/>
      <c r="CJ13" s="49"/>
      <c r="CK13" s="49"/>
      <c r="CL13" s="49"/>
      <c r="CM13" s="49"/>
      <c r="CN13" s="49"/>
      <c r="CO13" s="49"/>
      <c r="CP13" s="24">
        <v>1164563</v>
      </c>
      <c r="CQ13" s="33">
        <v>5.8000000000000003E-2</v>
      </c>
      <c r="CR13" s="25">
        <v>0.04</v>
      </c>
      <c r="CS13" s="34">
        <v>2.1</v>
      </c>
      <c r="CT13" s="35">
        <v>21</v>
      </c>
      <c r="CU13" s="25">
        <v>52.3</v>
      </c>
      <c r="CV13" s="25">
        <v>1.18</v>
      </c>
      <c r="CW13" s="24">
        <v>961820</v>
      </c>
      <c r="CX13" s="33">
        <v>5.2999999999999999E-2</v>
      </c>
      <c r="CY13" s="25">
        <v>0.05</v>
      </c>
      <c r="CZ13" s="34">
        <v>2.2000000000000002</v>
      </c>
      <c r="DA13" s="35">
        <v>22</v>
      </c>
      <c r="DB13" s="25">
        <v>52.5</v>
      </c>
      <c r="DC13" s="25">
        <v>0.8</v>
      </c>
      <c r="DD13" s="42"/>
      <c r="DE13" s="49"/>
      <c r="DF13" s="49"/>
      <c r="DG13" s="49"/>
      <c r="DH13" s="49"/>
      <c r="DI13" s="49"/>
      <c r="DJ13" s="49"/>
      <c r="DK13" s="49"/>
      <c r="DL13" s="56"/>
      <c r="DM13" s="24">
        <v>32951</v>
      </c>
      <c r="DN13" s="33">
        <v>8.2000000000000003E-2</v>
      </c>
      <c r="DO13" s="25">
        <v>0.06</v>
      </c>
      <c r="DP13" s="34">
        <v>2.4</v>
      </c>
      <c r="DQ13" s="35">
        <v>24</v>
      </c>
      <c r="DR13" s="25">
        <v>58.9</v>
      </c>
      <c r="DS13" s="25"/>
      <c r="DT13" s="25">
        <v>7.6</v>
      </c>
      <c r="DU13" s="57"/>
      <c r="DV13" s="49"/>
      <c r="DW13" s="49"/>
      <c r="DX13" s="49"/>
      <c r="DY13" s="49"/>
      <c r="DZ13" s="49"/>
      <c r="EA13" s="49"/>
      <c r="EB13" s="49"/>
      <c r="EC13" s="49"/>
      <c r="ED13" s="56"/>
      <c r="EE13" s="42"/>
      <c r="EF13" s="49"/>
      <c r="EG13" s="49"/>
      <c r="EH13" s="49"/>
      <c r="EI13" s="49"/>
      <c r="EJ13" s="49"/>
      <c r="EK13" s="49"/>
      <c r="EL13" s="49"/>
      <c r="EM13" s="58"/>
      <c r="EN13" s="39"/>
      <c r="EO13" s="40">
        <f t="shared" si="4"/>
        <v>46089</v>
      </c>
      <c r="EP13" s="40">
        <v>45978</v>
      </c>
      <c r="EQ13" s="40">
        <v>46074</v>
      </c>
      <c r="ER13" s="40" t="s">
        <v>70</v>
      </c>
      <c r="ES13" s="40">
        <v>45930</v>
      </c>
      <c r="ET13" s="40">
        <v>46055</v>
      </c>
      <c r="EU13" s="40" t="s">
        <v>71</v>
      </c>
      <c r="EV13" s="40">
        <v>45992</v>
      </c>
      <c r="EW13" s="40">
        <v>46087</v>
      </c>
      <c r="EX13" s="40" t="s">
        <v>71</v>
      </c>
      <c r="EY13" s="40">
        <v>45688</v>
      </c>
      <c r="EZ13" s="40">
        <v>46077</v>
      </c>
      <c r="FA13" s="40">
        <v>46038</v>
      </c>
      <c r="FB13" s="40">
        <v>46055</v>
      </c>
      <c r="FC13" s="40">
        <v>46055</v>
      </c>
      <c r="FD13" s="40">
        <v>46055</v>
      </c>
      <c r="FE13" s="40">
        <v>46037</v>
      </c>
      <c r="FF13" s="40">
        <v>46048</v>
      </c>
      <c r="FG13" s="40">
        <v>46041</v>
      </c>
      <c r="FH13" s="40">
        <v>46044</v>
      </c>
      <c r="FI13" s="40">
        <v>46044</v>
      </c>
      <c r="FJ13" s="40">
        <v>46047</v>
      </c>
      <c r="FK13" s="40">
        <v>46047</v>
      </c>
      <c r="FL13" s="40">
        <v>46056</v>
      </c>
      <c r="FM13" s="40">
        <v>46056</v>
      </c>
      <c r="FN13" s="40">
        <v>46056</v>
      </c>
      <c r="FO13" s="40"/>
      <c r="FP13" s="40"/>
      <c r="FQ13" s="40">
        <v>46023</v>
      </c>
      <c r="FR13" s="40">
        <v>46074</v>
      </c>
      <c r="FS13" s="40"/>
      <c r="FT13" s="40">
        <v>46022</v>
      </c>
      <c r="FU13" s="40">
        <v>46077</v>
      </c>
      <c r="FV13" s="40"/>
      <c r="FW13" s="40"/>
      <c r="FX13" s="40"/>
      <c r="FY13" s="40">
        <v>46054</v>
      </c>
      <c r="FZ13" s="40">
        <v>46054</v>
      </c>
      <c r="GA13" s="40"/>
      <c r="GB13" s="40"/>
      <c r="GC13" s="40"/>
      <c r="GD13" s="40"/>
    </row>
    <row r="14" spans="2:186" x14ac:dyDescent="0.35">
      <c r="B14" s="41">
        <f t="shared" si="3"/>
        <v>46090</v>
      </c>
      <c r="C14" s="24">
        <v>2506149</v>
      </c>
      <c r="D14" s="25">
        <v>5</v>
      </c>
      <c r="E14" s="25">
        <v>0.27</v>
      </c>
      <c r="F14" s="25">
        <v>1.87</v>
      </c>
      <c r="G14" s="25">
        <v>51.72</v>
      </c>
      <c r="H14" s="25">
        <v>2.58</v>
      </c>
      <c r="I14" s="25">
        <v>2.33</v>
      </c>
      <c r="J14" s="25">
        <f t="shared" si="0"/>
        <v>7.49</v>
      </c>
      <c r="K14" s="24">
        <v>2577692</v>
      </c>
      <c r="L14" s="25">
        <v>5.14</v>
      </c>
      <c r="M14" s="25">
        <v>0.27</v>
      </c>
      <c r="N14" s="25">
        <v>1.85</v>
      </c>
      <c r="O14" s="25">
        <v>51.89898436964922</v>
      </c>
      <c r="P14" s="25">
        <v>2.5</v>
      </c>
      <c r="Q14" s="25">
        <v>2.35</v>
      </c>
      <c r="R14" s="25">
        <f t="shared" si="1"/>
        <v>7.35</v>
      </c>
      <c r="S14" s="26">
        <v>2529566</v>
      </c>
      <c r="T14" s="25">
        <v>5.29</v>
      </c>
      <c r="U14" s="25">
        <v>0.26</v>
      </c>
      <c r="V14" s="25">
        <v>1.78</v>
      </c>
      <c r="W14" s="27">
        <v>51.65</v>
      </c>
      <c r="X14" s="25">
        <v>2.2999999999999998</v>
      </c>
      <c r="Y14" s="25">
        <v>2.1</v>
      </c>
      <c r="Z14" s="25">
        <f t="shared" si="2"/>
        <v>6.6999999999999993</v>
      </c>
      <c r="AA14" s="24">
        <v>328064</v>
      </c>
      <c r="AB14" s="25">
        <v>84.88</v>
      </c>
      <c r="AC14" s="25">
        <v>0.31</v>
      </c>
      <c r="AD14" s="24">
        <v>529521</v>
      </c>
      <c r="AE14" s="33">
        <v>0.127</v>
      </c>
      <c r="AF14" s="25">
        <v>7.0000000000000007E-2</v>
      </c>
      <c r="AG14" s="34">
        <v>2.2000000000000002</v>
      </c>
      <c r="AH14" s="35">
        <v>22</v>
      </c>
      <c r="AI14" s="25">
        <v>36.6</v>
      </c>
      <c r="AJ14" s="25"/>
      <c r="AK14" s="25">
        <v>50.2</v>
      </c>
      <c r="AL14" s="24">
        <v>44014</v>
      </c>
      <c r="AM14" s="33">
        <v>0.113</v>
      </c>
      <c r="AN14" s="25">
        <v>0.06</v>
      </c>
      <c r="AO14" s="34">
        <v>2.2000000000000002</v>
      </c>
      <c r="AP14" s="35">
        <v>22</v>
      </c>
      <c r="AQ14" s="25">
        <v>35.204000000000008</v>
      </c>
      <c r="AR14" s="25"/>
      <c r="AS14" s="25">
        <v>50</v>
      </c>
      <c r="AT14" s="24">
        <v>536860</v>
      </c>
      <c r="AU14" s="33">
        <v>8.5000000000000006E-2</v>
      </c>
      <c r="AV14" s="25">
        <v>7.0000000000000007E-2</v>
      </c>
      <c r="AW14" s="34">
        <v>2.2000000000000002</v>
      </c>
      <c r="AX14" s="35">
        <v>22</v>
      </c>
      <c r="AY14" s="25">
        <v>56.01</v>
      </c>
      <c r="AZ14" s="25">
        <v>1.39</v>
      </c>
      <c r="BA14" s="34">
        <v>10</v>
      </c>
      <c r="BB14" s="24">
        <v>269360</v>
      </c>
      <c r="BC14" s="33">
        <v>7.6999999999999999E-2</v>
      </c>
      <c r="BD14" s="25">
        <v>7.0000000000000007E-2</v>
      </c>
      <c r="BE14" s="34">
        <v>2.1</v>
      </c>
      <c r="BF14" s="35">
        <v>21</v>
      </c>
      <c r="BG14" s="25">
        <v>57.65</v>
      </c>
      <c r="BH14" s="25">
        <v>1.6</v>
      </c>
      <c r="BI14" s="25">
        <v>9</v>
      </c>
      <c r="BJ14" s="24">
        <v>508583</v>
      </c>
      <c r="BK14" s="33">
        <v>7.2999999999999995E-2</v>
      </c>
      <c r="BL14" s="25">
        <v>7.0000000000000007E-2</v>
      </c>
      <c r="BM14" s="25">
        <v>2.2000000000000002</v>
      </c>
      <c r="BN14" s="35">
        <v>22</v>
      </c>
      <c r="BO14" s="25">
        <v>56.55</v>
      </c>
      <c r="BP14" s="25">
        <v>1.3</v>
      </c>
      <c r="BQ14" s="25">
        <v>9.8000000000000007</v>
      </c>
      <c r="BR14" s="24">
        <v>510730</v>
      </c>
      <c r="BS14" s="33">
        <v>7.1999999999999995E-2</v>
      </c>
      <c r="BT14" s="25">
        <v>7.0000000000000007E-2</v>
      </c>
      <c r="BU14" s="34">
        <v>2.2999999999999998</v>
      </c>
      <c r="BV14" s="35">
        <v>23</v>
      </c>
      <c r="BW14" s="25">
        <v>56.8</v>
      </c>
      <c r="BX14" s="25">
        <v>1.49</v>
      </c>
      <c r="BY14" s="25">
        <v>9.4</v>
      </c>
      <c r="BZ14" s="24">
        <v>26023</v>
      </c>
      <c r="CA14" s="33">
        <v>8.5999999999999993E-2</v>
      </c>
      <c r="CB14" s="25">
        <v>7.0000000000000007E-2</v>
      </c>
      <c r="CC14" s="34">
        <v>2.4</v>
      </c>
      <c r="CD14" s="35">
        <v>24</v>
      </c>
      <c r="CE14" s="25">
        <v>57.5</v>
      </c>
      <c r="CF14" s="25">
        <v>1.4</v>
      </c>
      <c r="CG14" s="25">
        <v>8.1999999999999993</v>
      </c>
      <c r="CH14" s="42"/>
      <c r="CI14" s="49"/>
      <c r="CJ14" s="49"/>
      <c r="CK14" s="49"/>
      <c r="CL14" s="49"/>
      <c r="CM14" s="49"/>
      <c r="CN14" s="49"/>
      <c r="CO14" s="49"/>
      <c r="CP14" s="24">
        <v>1164563</v>
      </c>
      <c r="CQ14" s="33">
        <v>5.8000000000000003E-2</v>
      </c>
      <c r="CR14" s="25">
        <v>0.04</v>
      </c>
      <c r="CS14" s="34">
        <v>2.1</v>
      </c>
      <c r="CT14" s="35">
        <v>21</v>
      </c>
      <c r="CU14" s="25">
        <v>52.3</v>
      </c>
      <c r="CV14" s="25">
        <v>1.18</v>
      </c>
      <c r="CW14" s="24">
        <v>961820</v>
      </c>
      <c r="CX14" s="33">
        <v>5.2999999999999999E-2</v>
      </c>
      <c r="CY14" s="25">
        <v>0.05</v>
      </c>
      <c r="CZ14" s="34">
        <v>2.2000000000000002</v>
      </c>
      <c r="DA14" s="35">
        <v>22</v>
      </c>
      <c r="DB14" s="25">
        <v>52.5</v>
      </c>
      <c r="DC14" s="25">
        <v>0.8</v>
      </c>
      <c r="DD14" s="42"/>
      <c r="DE14" s="49"/>
      <c r="DF14" s="49"/>
      <c r="DG14" s="49"/>
      <c r="DH14" s="49"/>
      <c r="DI14" s="49"/>
      <c r="DJ14" s="49"/>
      <c r="DK14" s="49"/>
      <c r="DL14" s="56"/>
      <c r="DM14" s="24">
        <v>32951</v>
      </c>
      <c r="DN14" s="33">
        <v>8.5000000000000006E-2</v>
      </c>
      <c r="DO14" s="25">
        <v>0.06</v>
      </c>
      <c r="DP14" s="34">
        <v>2.4</v>
      </c>
      <c r="DQ14" s="35">
        <v>24</v>
      </c>
      <c r="DR14" s="25">
        <v>58.9</v>
      </c>
      <c r="DS14" s="25"/>
      <c r="DT14" s="25">
        <v>7.6</v>
      </c>
      <c r="DU14" s="57"/>
      <c r="DV14" s="49"/>
      <c r="DW14" s="49"/>
      <c r="DX14" s="49"/>
      <c r="DY14" s="49"/>
      <c r="DZ14" s="49"/>
      <c r="EA14" s="49"/>
      <c r="EB14" s="49"/>
      <c r="EC14" s="49"/>
      <c r="ED14" s="56"/>
      <c r="EE14" s="42"/>
      <c r="EF14" s="49"/>
      <c r="EG14" s="49"/>
      <c r="EH14" s="49"/>
      <c r="EI14" s="49"/>
      <c r="EJ14" s="49"/>
      <c r="EK14" s="49"/>
      <c r="EL14" s="49"/>
      <c r="EM14" s="58"/>
      <c r="EN14" s="39"/>
      <c r="EO14" s="40">
        <f t="shared" si="4"/>
        <v>46090</v>
      </c>
      <c r="EP14" s="40">
        <v>45978</v>
      </c>
      <c r="EQ14" s="40">
        <v>46074</v>
      </c>
      <c r="ER14" s="40" t="s">
        <v>70</v>
      </c>
      <c r="ES14" s="40">
        <v>45930</v>
      </c>
      <c r="ET14" s="40">
        <v>46055</v>
      </c>
      <c r="EU14" s="40" t="s">
        <v>71</v>
      </c>
      <c r="EV14" s="40">
        <v>45992</v>
      </c>
      <c r="EW14" s="40">
        <v>46087</v>
      </c>
      <c r="EX14" s="40" t="s">
        <v>71</v>
      </c>
      <c r="EY14" s="40">
        <v>45688</v>
      </c>
      <c r="EZ14" s="40">
        <v>46077</v>
      </c>
      <c r="FA14" s="40">
        <v>46038</v>
      </c>
      <c r="FB14" s="40">
        <v>46055</v>
      </c>
      <c r="FC14" s="40">
        <v>46055</v>
      </c>
      <c r="FD14" s="40">
        <v>46055</v>
      </c>
      <c r="FE14" s="40">
        <v>46037</v>
      </c>
      <c r="FF14" s="40">
        <v>46048</v>
      </c>
      <c r="FG14" s="40">
        <v>46041</v>
      </c>
      <c r="FH14" s="40">
        <v>46044</v>
      </c>
      <c r="FI14" s="40">
        <v>46044</v>
      </c>
      <c r="FJ14" s="40">
        <v>46047</v>
      </c>
      <c r="FK14" s="40">
        <v>46047</v>
      </c>
      <c r="FL14" s="40">
        <v>46056</v>
      </c>
      <c r="FM14" s="40">
        <v>46056</v>
      </c>
      <c r="FN14" s="40">
        <v>46056</v>
      </c>
      <c r="FO14" s="40"/>
      <c r="FP14" s="40"/>
      <c r="FQ14" s="40">
        <v>46023</v>
      </c>
      <c r="FR14" s="40">
        <v>46074</v>
      </c>
      <c r="FS14" s="40"/>
      <c r="FT14" s="40">
        <v>46022</v>
      </c>
      <c r="FU14" s="40">
        <v>46077</v>
      </c>
      <c r="FV14" s="40"/>
      <c r="FW14" s="40"/>
      <c r="FX14" s="40"/>
      <c r="FY14" s="40">
        <v>46054</v>
      </c>
      <c r="FZ14" s="40">
        <v>46054</v>
      </c>
      <c r="GA14" s="40"/>
      <c r="GB14" s="40"/>
      <c r="GC14" s="40"/>
      <c r="GD14" s="40"/>
    </row>
    <row r="15" spans="2:186" x14ac:dyDescent="0.35">
      <c r="B15" s="41">
        <f t="shared" si="3"/>
        <v>46091</v>
      </c>
      <c r="C15" s="24">
        <v>2506149</v>
      </c>
      <c r="D15" s="25">
        <v>5.05</v>
      </c>
      <c r="E15" s="25">
        <v>0.27</v>
      </c>
      <c r="F15" s="25">
        <v>1.87</v>
      </c>
      <c r="G15" s="25">
        <v>51.72</v>
      </c>
      <c r="H15" s="25">
        <v>2.65</v>
      </c>
      <c r="I15" s="25">
        <v>2.35</v>
      </c>
      <c r="J15" s="25">
        <f t="shared" si="0"/>
        <v>7.65</v>
      </c>
      <c r="K15" s="24">
        <v>2577692</v>
      </c>
      <c r="L15" s="25">
        <v>5.14</v>
      </c>
      <c r="M15" s="25">
        <v>0.27</v>
      </c>
      <c r="N15" s="25">
        <v>1.85</v>
      </c>
      <c r="O15" s="25">
        <v>51.89898436964922</v>
      </c>
      <c r="P15" s="25">
        <v>2.5</v>
      </c>
      <c r="Q15" s="25">
        <v>2.35</v>
      </c>
      <c r="R15" s="25">
        <f t="shared" si="1"/>
        <v>7.35</v>
      </c>
      <c r="S15" s="26">
        <v>2529566</v>
      </c>
      <c r="T15" s="25">
        <v>5.29</v>
      </c>
      <c r="U15" s="25">
        <v>0.26</v>
      </c>
      <c r="V15" s="25">
        <v>1.78</v>
      </c>
      <c r="W15" s="27">
        <v>51.65</v>
      </c>
      <c r="X15" s="25">
        <v>2.38</v>
      </c>
      <c r="Y15" s="25">
        <v>2.1</v>
      </c>
      <c r="Z15" s="25">
        <f t="shared" si="2"/>
        <v>6.8599999999999994</v>
      </c>
      <c r="AA15" s="24">
        <v>328064</v>
      </c>
      <c r="AB15" s="25">
        <v>84.88</v>
      </c>
      <c r="AC15" s="25">
        <v>0.31</v>
      </c>
      <c r="AD15" s="24">
        <v>529521</v>
      </c>
      <c r="AE15" s="33">
        <v>0.129</v>
      </c>
      <c r="AF15" s="25">
        <v>7.0000000000000007E-2</v>
      </c>
      <c r="AG15" s="34">
        <v>2.2000000000000002</v>
      </c>
      <c r="AH15" s="35">
        <v>22</v>
      </c>
      <c r="AI15" s="25">
        <v>36.6</v>
      </c>
      <c r="AJ15" s="25"/>
      <c r="AK15" s="25">
        <v>50.2</v>
      </c>
      <c r="AL15" s="24">
        <v>44014</v>
      </c>
      <c r="AM15" s="33">
        <v>0.11600000000000001</v>
      </c>
      <c r="AN15" s="25">
        <v>0.06</v>
      </c>
      <c r="AO15" s="34">
        <v>2.2000000000000002</v>
      </c>
      <c r="AP15" s="35">
        <v>22</v>
      </c>
      <c r="AQ15" s="25">
        <v>35.204000000000008</v>
      </c>
      <c r="AR15" s="25"/>
      <c r="AS15" s="25">
        <v>50</v>
      </c>
      <c r="AT15" s="24">
        <v>536860</v>
      </c>
      <c r="AU15" s="33">
        <v>8.5000000000000006E-2</v>
      </c>
      <c r="AV15" s="25">
        <v>7.0000000000000007E-2</v>
      </c>
      <c r="AW15" s="34">
        <v>2.2000000000000002</v>
      </c>
      <c r="AX15" s="35">
        <v>22</v>
      </c>
      <c r="AY15" s="25">
        <v>56.01</v>
      </c>
      <c r="AZ15" s="25">
        <v>1.39</v>
      </c>
      <c r="BA15" s="34">
        <v>10</v>
      </c>
      <c r="BB15" s="24">
        <v>184780</v>
      </c>
      <c r="BC15" s="33">
        <v>7.6999999999999999E-2</v>
      </c>
      <c r="BD15" s="25">
        <v>7.0000000000000007E-2</v>
      </c>
      <c r="BE15" s="34">
        <v>2.1</v>
      </c>
      <c r="BF15" s="35">
        <v>21</v>
      </c>
      <c r="BG15" s="25">
        <v>57.65</v>
      </c>
      <c r="BH15" s="25">
        <v>1.6</v>
      </c>
      <c r="BI15" s="25">
        <v>9</v>
      </c>
      <c r="BJ15" s="24">
        <v>508583</v>
      </c>
      <c r="BK15" s="33">
        <v>7.5999999999999998E-2</v>
      </c>
      <c r="BL15" s="25">
        <v>7.0000000000000007E-2</v>
      </c>
      <c r="BM15" s="25">
        <v>2.2000000000000002</v>
      </c>
      <c r="BN15" s="35">
        <v>22</v>
      </c>
      <c r="BO15" s="25">
        <v>56.55</v>
      </c>
      <c r="BP15" s="25">
        <v>1.3</v>
      </c>
      <c r="BQ15" s="25">
        <v>9.8000000000000007</v>
      </c>
      <c r="BR15" s="24">
        <v>510730</v>
      </c>
      <c r="BS15" s="33">
        <v>7.2999999999999995E-2</v>
      </c>
      <c r="BT15" s="25">
        <v>7.0000000000000007E-2</v>
      </c>
      <c r="BU15" s="34">
        <v>2.2999999999999998</v>
      </c>
      <c r="BV15" s="35">
        <v>23</v>
      </c>
      <c r="BW15" s="25">
        <v>56.8</v>
      </c>
      <c r="BX15" s="25">
        <v>1.49</v>
      </c>
      <c r="BY15" s="25">
        <v>9.4</v>
      </c>
      <c r="BZ15" s="24">
        <v>26023</v>
      </c>
      <c r="CA15" s="33">
        <v>8.8999999999999996E-2</v>
      </c>
      <c r="CB15" s="25">
        <v>7.0000000000000007E-2</v>
      </c>
      <c r="CC15" s="34">
        <v>2.4</v>
      </c>
      <c r="CD15" s="35">
        <v>24</v>
      </c>
      <c r="CE15" s="25">
        <v>57.5</v>
      </c>
      <c r="CF15" s="25">
        <v>1.4</v>
      </c>
      <c r="CG15" s="25">
        <v>8.1999999999999993</v>
      </c>
      <c r="CH15" s="42"/>
      <c r="CI15" s="49"/>
      <c r="CJ15" s="49"/>
      <c r="CK15" s="73"/>
      <c r="CL15" s="49"/>
      <c r="CM15" s="49"/>
      <c r="CN15" s="49"/>
      <c r="CO15" s="49"/>
      <c r="CP15" s="24">
        <v>1164563</v>
      </c>
      <c r="CQ15" s="33">
        <v>5.8999999999999997E-2</v>
      </c>
      <c r="CR15" s="25">
        <v>0.04</v>
      </c>
      <c r="CS15" s="34">
        <v>2.1</v>
      </c>
      <c r="CT15" s="35">
        <v>21</v>
      </c>
      <c r="CU15" s="25">
        <v>52.3</v>
      </c>
      <c r="CV15" s="25">
        <v>1.18</v>
      </c>
      <c r="CW15" s="24">
        <v>961820</v>
      </c>
      <c r="CX15" s="33">
        <v>5.5E-2</v>
      </c>
      <c r="CY15" s="25">
        <v>0.05</v>
      </c>
      <c r="CZ15" s="34">
        <v>2.2000000000000002</v>
      </c>
      <c r="DA15" s="35">
        <v>22</v>
      </c>
      <c r="DB15" s="25">
        <v>52.5</v>
      </c>
      <c r="DC15" s="25">
        <v>0.8</v>
      </c>
      <c r="DD15" s="42"/>
      <c r="DE15" s="49"/>
      <c r="DF15" s="49"/>
      <c r="DG15" s="49"/>
      <c r="DH15" s="49"/>
      <c r="DI15" s="49"/>
      <c r="DJ15" s="49"/>
      <c r="DK15" s="49"/>
      <c r="DL15" s="56"/>
      <c r="DM15" s="24">
        <v>32951</v>
      </c>
      <c r="DN15" s="33">
        <v>8.7999999999999995E-2</v>
      </c>
      <c r="DO15" s="25">
        <v>0.06</v>
      </c>
      <c r="DP15" s="34">
        <v>2.4</v>
      </c>
      <c r="DQ15" s="35">
        <v>24</v>
      </c>
      <c r="DR15" s="25">
        <v>58.9</v>
      </c>
      <c r="DS15" s="25"/>
      <c r="DT15" s="25">
        <v>7.6</v>
      </c>
      <c r="DU15" s="57"/>
      <c r="DV15" s="49"/>
      <c r="DW15" s="49"/>
      <c r="DX15" s="49"/>
      <c r="DY15" s="49"/>
      <c r="DZ15" s="49"/>
      <c r="EA15" s="49"/>
      <c r="EB15" s="49"/>
      <c r="EC15" s="49"/>
      <c r="ED15" s="56"/>
      <c r="EE15" s="42"/>
      <c r="EF15" s="49"/>
      <c r="EG15" s="49"/>
      <c r="EH15" s="49"/>
      <c r="EI15" s="49"/>
      <c r="EJ15" s="49"/>
      <c r="EK15" s="49"/>
      <c r="EL15" s="49"/>
      <c r="EM15" s="58"/>
      <c r="EN15" s="39"/>
      <c r="EO15" s="40">
        <f t="shared" si="4"/>
        <v>46091</v>
      </c>
      <c r="EP15" s="40">
        <v>45978</v>
      </c>
      <c r="EQ15" s="40">
        <v>46074</v>
      </c>
      <c r="ER15" s="40" t="s">
        <v>70</v>
      </c>
      <c r="ES15" s="40">
        <v>45930</v>
      </c>
      <c r="ET15" s="40">
        <v>46055</v>
      </c>
      <c r="EU15" s="40" t="s">
        <v>71</v>
      </c>
      <c r="EV15" s="40">
        <v>45992</v>
      </c>
      <c r="EW15" s="40">
        <v>46087</v>
      </c>
      <c r="EX15" s="40" t="s">
        <v>71</v>
      </c>
      <c r="EY15" s="40">
        <v>45688</v>
      </c>
      <c r="EZ15" s="40">
        <v>46077</v>
      </c>
      <c r="FA15" s="40">
        <v>46038</v>
      </c>
      <c r="FB15" s="40">
        <v>46055</v>
      </c>
      <c r="FC15" s="40">
        <v>46055</v>
      </c>
      <c r="FD15" s="40">
        <v>46055</v>
      </c>
      <c r="FE15" s="40">
        <v>46037</v>
      </c>
      <c r="FF15" s="40">
        <v>46048</v>
      </c>
      <c r="FG15" s="40">
        <v>46041</v>
      </c>
      <c r="FH15" s="40">
        <v>46044</v>
      </c>
      <c r="FI15" s="40">
        <v>46044</v>
      </c>
      <c r="FJ15" s="40">
        <v>46047</v>
      </c>
      <c r="FK15" s="40">
        <v>46047</v>
      </c>
      <c r="FL15" s="40">
        <v>46056</v>
      </c>
      <c r="FM15" s="40">
        <v>46056</v>
      </c>
      <c r="FN15" s="40">
        <v>46056</v>
      </c>
      <c r="FO15" s="40"/>
      <c r="FP15" s="40"/>
      <c r="FQ15" s="40">
        <v>46023</v>
      </c>
      <c r="FR15" s="40">
        <v>46074</v>
      </c>
      <c r="FS15" s="40"/>
      <c r="FT15" s="40">
        <v>46022</v>
      </c>
      <c r="FU15" s="40">
        <v>46077</v>
      </c>
      <c r="FV15" s="40"/>
      <c r="FW15" s="40"/>
      <c r="FX15" s="40"/>
      <c r="FY15" s="40">
        <v>46054</v>
      </c>
      <c r="FZ15" s="40">
        <v>46054</v>
      </c>
      <c r="GA15" s="40"/>
      <c r="GB15" s="40"/>
      <c r="GC15" s="40"/>
      <c r="GD15" s="40"/>
    </row>
    <row r="16" spans="2:186" x14ac:dyDescent="0.35">
      <c r="B16" s="41">
        <f t="shared" si="3"/>
        <v>46092</v>
      </c>
      <c r="C16" s="24">
        <v>2506149</v>
      </c>
      <c r="D16" s="25">
        <v>5.08</v>
      </c>
      <c r="E16" s="25">
        <v>0.27</v>
      </c>
      <c r="F16" s="25">
        <v>1.87</v>
      </c>
      <c r="G16" s="25">
        <v>51.72</v>
      </c>
      <c r="H16" s="25">
        <v>2.7</v>
      </c>
      <c r="I16" s="25">
        <v>2.35</v>
      </c>
      <c r="J16" s="25">
        <f t="shared" si="0"/>
        <v>7.75</v>
      </c>
      <c r="K16" s="24">
        <v>2577692</v>
      </c>
      <c r="L16" s="25">
        <v>5.15</v>
      </c>
      <c r="M16" s="25">
        <v>0.27</v>
      </c>
      <c r="N16" s="25">
        <v>1.85</v>
      </c>
      <c r="O16" s="25">
        <v>51.89898436964922</v>
      </c>
      <c r="P16" s="25">
        <v>2.5499999999999998</v>
      </c>
      <c r="Q16" s="25">
        <v>2.35</v>
      </c>
      <c r="R16" s="25">
        <f t="shared" si="1"/>
        <v>7.4499999999999993</v>
      </c>
      <c r="S16" s="26">
        <v>2529566</v>
      </c>
      <c r="T16" s="25">
        <v>5.3</v>
      </c>
      <c r="U16" s="25">
        <v>0.26</v>
      </c>
      <c r="V16" s="25">
        <v>1.78</v>
      </c>
      <c r="W16" s="27">
        <v>51.65</v>
      </c>
      <c r="X16" s="25">
        <v>2.41</v>
      </c>
      <c r="Y16" s="25">
        <v>2.15</v>
      </c>
      <c r="Z16" s="25">
        <f t="shared" si="2"/>
        <v>6.9700000000000006</v>
      </c>
      <c r="AA16" s="24">
        <v>328064</v>
      </c>
      <c r="AB16" s="25">
        <v>84.88</v>
      </c>
      <c r="AC16" s="25">
        <v>0.31</v>
      </c>
      <c r="AD16" s="24">
        <v>529521</v>
      </c>
      <c r="AE16" s="33">
        <v>0.13100000000000001</v>
      </c>
      <c r="AF16" s="25">
        <v>7.0000000000000007E-2</v>
      </c>
      <c r="AG16" s="34">
        <v>2.2000000000000002</v>
      </c>
      <c r="AH16" s="35">
        <v>22</v>
      </c>
      <c r="AI16" s="25">
        <v>36.6</v>
      </c>
      <c r="AJ16" s="25"/>
      <c r="AK16" s="25">
        <v>50.2</v>
      </c>
      <c r="AL16" s="24">
        <v>44014</v>
      </c>
      <c r="AM16" s="33">
        <v>0.12</v>
      </c>
      <c r="AN16" s="25">
        <v>0.06</v>
      </c>
      <c r="AO16" s="34">
        <v>2.2000000000000002</v>
      </c>
      <c r="AP16" s="35">
        <v>22</v>
      </c>
      <c r="AQ16" s="25">
        <v>35.204000000000008</v>
      </c>
      <c r="AR16" s="25"/>
      <c r="AS16" s="25">
        <v>50</v>
      </c>
      <c r="AT16" s="24">
        <v>536860</v>
      </c>
      <c r="AU16" s="33">
        <v>8.5999999999999993E-2</v>
      </c>
      <c r="AV16" s="25">
        <v>7.0000000000000007E-2</v>
      </c>
      <c r="AW16" s="34">
        <v>2.2000000000000002</v>
      </c>
      <c r="AX16" s="35">
        <v>22</v>
      </c>
      <c r="AY16" s="25">
        <v>56.01</v>
      </c>
      <c r="AZ16" s="25">
        <v>1.39</v>
      </c>
      <c r="BA16" s="34">
        <v>10</v>
      </c>
      <c r="BB16" s="24">
        <v>184780</v>
      </c>
      <c r="BC16" s="33">
        <v>0.08</v>
      </c>
      <c r="BD16" s="25">
        <v>7.0000000000000007E-2</v>
      </c>
      <c r="BE16" s="34">
        <v>2.1</v>
      </c>
      <c r="BF16" s="35">
        <v>21</v>
      </c>
      <c r="BG16" s="25">
        <v>57.65</v>
      </c>
      <c r="BH16" s="25">
        <v>1.6</v>
      </c>
      <c r="BI16" s="25">
        <v>9</v>
      </c>
      <c r="BJ16" s="24">
        <v>508583</v>
      </c>
      <c r="BK16" s="33">
        <v>7.8E-2</v>
      </c>
      <c r="BL16" s="25">
        <v>7.0000000000000007E-2</v>
      </c>
      <c r="BM16" s="25">
        <v>2.2000000000000002</v>
      </c>
      <c r="BN16" s="35">
        <v>22</v>
      </c>
      <c r="BO16" s="25">
        <v>56.55</v>
      </c>
      <c r="BP16" s="25">
        <v>1.3</v>
      </c>
      <c r="BQ16" s="25">
        <v>9.8000000000000007</v>
      </c>
      <c r="BR16" s="24">
        <v>510730</v>
      </c>
      <c r="BS16" s="33">
        <v>7.2999999999999995E-2</v>
      </c>
      <c r="BT16" s="25">
        <v>7.0000000000000007E-2</v>
      </c>
      <c r="BU16" s="34">
        <v>2.2999999999999998</v>
      </c>
      <c r="BV16" s="35">
        <v>23</v>
      </c>
      <c r="BW16" s="25">
        <v>56.8</v>
      </c>
      <c r="BX16" s="25">
        <v>1.54</v>
      </c>
      <c r="BY16" s="25">
        <v>9.4</v>
      </c>
      <c r="BZ16" s="24">
        <v>26023</v>
      </c>
      <c r="CA16" s="33">
        <v>9.2999999999999999E-2</v>
      </c>
      <c r="CB16" s="25">
        <v>0.08</v>
      </c>
      <c r="CC16" s="34">
        <v>2.5</v>
      </c>
      <c r="CD16" s="35">
        <v>25</v>
      </c>
      <c r="CE16" s="25">
        <v>57.5</v>
      </c>
      <c r="CF16" s="25">
        <v>1.64</v>
      </c>
      <c r="CG16" s="25">
        <v>8.1999999999999993</v>
      </c>
      <c r="CH16" s="42"/>
      <c r="CI16" s="49"/>
      <c r="CJ16" s="49"/>
      <c r="CK16" s="49"/>
      <c r="CL16" s="49"/>
      <c r="CM16" s="49"/>
      <c r="CN16" s="49"/>
      <c r="CO16" s="49"/>
      <c r="CP16" s="24">
        <v>1164563</v>
      </c>
      <c r="CQ16" s="33">
        <v>6.3E-2</v>
      </c>
      <c r="CR16" s="25">
        <v>0.04</v>
      </c>
      <c r="CS16" s="34">
        <v>2.2000000000000002</v>
      </c>
      <c r="CT16" s="35">
        <v>22</v>
      </c>
      <c r="CU16" s="25">
        <v>52.3</v>
      </c>
      <c r="CV16" s="25">
        <v>1.25</v>
      </c>
      <c r="CW16" s="24">
        <v>961820</v>
      </c>
      <c r="CX16" s="33">
        <v>5.6000000000000001E-2</v>
      </c>
      <c r="CY16" s="25">
        <v>0.05</v>
      </c>
      <c r="CZ16" s="34">
        <v>2.2000000000000002</v>
      </c>
      <c r="DA16" s="35">
        <v>22</v>
      </c>
      <c r="DB16" s="25">
        <v>52.5</v>
      </c>
      <c r="DC16" s="25">
        <v>1</v>
      </c>
      <c r="DD16" s="42"/>
      <c r="DE16" s="49"/>
      <c r="DF16" s="49"/>
      <c r="DG16" s="49"/>
      <c r="DH16" s="49"/>
      <c r="DI16" s="49"/>
      <c r="DJ16" s="49"/>
      <c r="DK16" s="49"/>
      <c r="DL16" s="56"/>
      <c r="DM16" s="24">
        <v>32951</v>
      </c>
      <c r="DN16" s="33">
        <v>9.4E-2</v>
      </c>
      <c r="DO16" s="25">
        <v>0.06</v>
      </c>
      <c r="DP16" s="34">
        <v>2.4</v>
      </c>
      <c r="DQ16" s="35">
        <v>24</v>
      </c>
      <c r="DR16" s="25">
        <v>58.9</v>
      </c>
      <c r="DS16" s="25"/>
      <c r="DT16" s="25">
        <v>7.6</v>
      </c>
      <c r="DU16" s="57"/>
      <c r="DV16" s="49"/>
      <c r="DW16" s="49"/>
      <c r="DX16" s="49"/>
      <c r="DY16" s="49"/>
      <c r="DZ16" s="49"/>
      <c r="EA16" s="49"/>
      <c r="EB16" s="49"/>
      <c r="EC16" s="49"/>
      <c r="ED16" s="56"/>
      <c r="EE16" s="42"/>
      <c r="EF16" s="49"/>
      <c r="EG16" s="49"/>
      <c r="EH16" s="49"/>
      <c r="EI16" s="49"/>
      <c r="EJ16" s="49"/>
      <c r="EK16" s="49"/>
      <c r="EL16" s="49"/>
      <c r="EM16" s="58"/>
      <c r="EN16" s="39"/>
      <c r="EO16" s="40">
        <f t="shared" si="4"/>
        <v>46092</v>
      </c>
      <c r="EP16" s="40">
        <v>45978</v>
      </c>
      <c r="EQ16" s="40">
        <v>46074</v>
      </c>
      <c r="ER16" s="40" t="s">
        <v>70</v>
      </c>
      <c r="ES16" s="40">
        <v>45930</v>
      </c>
      <c r="ET16" s="40">
        <v>46055</v>
      </c>
      <c r="EU16" s="40" t="s">
        <v>71</v>
      </c>
      <c r="EV16" s="40">
        <v>45992</v>
      </c>
      <c r="EW16" s="40">
        <v>46087</v>
      </c>
      <c r="EX16" s="40" t="s">
        <v>71</v>
      </c>
      <c r="EY16" s="40">
        <v>45688</v>
      </c>
      <c r="EZ16" s="40">
        <v>46077</v>
      </c>
      <c r="FA16" s="40">
        <v>46038</v>
      </c>
      <c r="FB16" s="40">
        <v>46055</v>
      </c>
      <c r="FC16" s="40">
        <v>46055</v>
      </c>
      <c r="FD16" s="40">
        <v>46055</v>
      </c>
      <c r="FE16" s="40">
        <v>46037</v>
      </c>
      <c r="FF16" s="40">
        <v>46048</v>
      </c>
      <c r="FG16" s="40">
        <v>46041</v>
      </c>
      <c r="FH16" s="40">
        <v>46044</v>
      </c>
      <c r="FI16" s="40">
        <v>46044</v>
      </c>
      <c r="FJ16" s="40">
        <v>46047</v>
      </c>
      <c r="FK16" s="40">
        <v>46047</v>
      </c>
      <c r="FL16" s="40">
        <v>46056</v>
      </c>
      <c r="FM16" s="40">
        <v>46056</v>
      </c>
      <c r="FN16" s="40">
        <v>46056</v>
      </c>
      <c r="FO16" s="40"/>
      <c r="FP16" s="40"/>
      <c r="FQ16" s="40">
        <v>46023</v>
      </c>
      <c r="FR16" s="40">
        <v>46074</v>
      </c>
      <c r="FS16" s="40"/>
      <c r="FT16" s="40">
        <v>46022</v>
      </c>
      <c r="FU16" s="40">
        <v>46077</v>
      </c>
      <c r="FV16" s="40"/>
      <c r="FW16" s="40"/>
      <c r="FX16" s="40"/>
      <c r="FY16" s="40">
        <v>46054</v>
      </c>
      <c r="FZ16" s="40">
        <v>46054</v>
      </c>
      <c r="GA16" s="40"/>
      <c r="GB16" s="40"/>
      <c r="GC16" s="40"/>
      <c r="GD16" s="40"/>
    </row>
    <row r="17" spans="2:186" x14ac:dyDescent="0.35">
      <c r="B17" s="41">
        <f t="shared" si="3"/>
        <v>46093</v>
      </c>
      <c r="C17" s="24">
        <v>2506149</v>
      </c>
      <c r="D17" s="25">
        <v>5.13</v>
      </c>
      <c r="E17" s="25">
        <v>0.27</v>
      </c>
      <c r="F17" s="25">
        <v>1.87</v>
      </c>
      <c r="G17" s="25">
        <v>51.72</v>
      </c>
      <c r="H17" s="25">
        <v>2.74</v>
      </c>
      <c r="I17" s="25">
        <v>2.4500000000000002</v>
      </c>
      <c r="J17" s="25">
        <f t="shared" si="0"/>
        <v>7.9300000000000006</v>
      </c>
      <c r="K17" s="24">
        <v>2577692</v>
      </c>
      <c r="L17" s="25">
        <v>5.15</v>
      </c>
      <c r="M17" s="25">
        <v>0.27</v>
      </c>
      <c r="N17" s="25">
        <v>1.85</v>
      </c>
      <c r="O17" s="25">
        <v>51.89898436964922</v>
      </c>
      <c r="P17" s="25">
        <v>2.58</v>
      </c>
      <c r="Q17" s="25">
        <v>2.4</v>
      </c>
      <c r="R17" s="25">
        <f t="shared" si="1"/>
        <v>7.5600000000000005</v>
      </c>
      <c r="S17" s="26">
        <v>2529566</v>
      </c>
      <c r="T17" s="25">
        <v>5.31</v>
      </c>
      <c r="U17" s="25">
        <v>0.26</v>
      </c>
      <c r="V17" s="25">
        <v>1.78</v>
      </c>
      <c r="W17" s="27">
        <v>51.65</v>
      </c>
      <c r="X17" s="25">
        <v>2.46</v>
      </c>
      <c r="Y17" s="25">
        <v>2.15</v>
      </c>
      <c r="Z17" s="25">
        <f t="shared" si="2"/>
        <v>7.07</v>
      </c>
      <c r="AA17" s="24">
        <v>328064</v>
      </c>
      <c r="AB17" s="25">
        <v>84.88</v>
      </c>
      <c r="AC17" s="25">
        <v>0.31</v>
      </c>
      <c r="AD17" s="24">
        <v>529521</v>
      </c>
      <c r="AE17" s="33">
        <v>0.13100000000000001</v>
      </c>
      <c r="AF17" s="25">
        <v>7.0000000000000007E-2</v>
      </c>
      <c r="AG17" s="34">
        <v>2.2000000000000002</v>
      </c>
      <c r="AH17" s="35">
        <v>22</v>
      </c>
      <c r="AI17" s="25">
        <v>36.6</v>
      </c>
      <c r="AJ17" s="25"/>
      <c r="AK17" s="25">
        <v>50.2</v>
      </c>
      <c r="AL17" s="24">
        <v>44014</v>
      </c>
      <c r="AM17" s="33">
        <v>0.123</v>
      </c>
      <c r="AN17" s="25">
        <v>0.06</v>
      </c>
      <c r="AO17" s="34">
        <v>2.2000000000000002</v>
      </c>
      <c r="AP17" s="35">
        <v>22</v>
      </c>
      <c r="AQ17" s="25">
        <v>35.204000000000008</v>
      </c>
      <c r="AR17" s="25"/>
      <c r="AS17" s="25">
        <v>50</v>
      </c>
      <c r="AT17" s="24">
        <v>536860</v>
      </c>
      <c r="AU17" s="33">
        <v>8.5999999999999993E-2</v>
      </c>
      <c r="AV17" s="25">
        <v>7.0000000000000007E-2</v>
      </c>
      <c r="AW17" s="34">
        <v>2.2000000000000002</v>
      </c>
      <c r="AX17" s="35">
        <v>22</v>
      </c>
      <c r="AY17" s="25">
        <v>56.01</v>
      </c>
      <c r="AZ17" s="25">
        <v>1.55</v>
      </c>
      <c r="BA17" s="34">
        <v>10</v>
      </c>
      <c r="BB17" s="24">
        <v>131620</v>
      </c>
      <c r="BC17" s="33">
        <v>8.4000000000000005E-2</v>
      </c>
      <c r="BD17" s="25">
        <v>7.0000000000000007E-2</v>
      </c>
      <c r="BE17" s="34">
        <v>2.1</v>
      </c>
      <c r="BF17" s="35">
        <v>21</v>
      </c>
      <c r="BG17" s="25">
        <v>57.65</v>
      </c>
      <c r="BH17" s="25">
        <v>1.65</v>
      </c>
      <c r="BI17" s="25">
        <v>9</v>
      </c>
      <c r="BJ17" s="24">
        <v>508583</v>
      </c>
      <c r="BK17" s="33">
        <v>8.1000000000000003E-2</v>
      </c>
      <c r="BL17" s="25">
        <v>7.0000000000000007E-2</v>
      </c>
      <c r="BM17" s="25">
        <v>2.2000000000000002</v>
      </c>
      <c r="BN17" s="35">
        <v>22</v>
      </c>
      <c r="BO17" s="25">
        <v>56.55</v>
      </c>
      <c r="BP17" s="25">
        <v>1.41</v>
      </c>
      <c r="BQ17" s="25">
        <v>9.8000000000000007</v>
      </c>
      <c r="BR17" s="24">
        <v>510730</v>
      </c>
      <c r="BS17" s="33">
        <v>7.3999999999999996E-2</v>
      </c>
      <c r="BT17" s="25">
        <v>7.0000000000000007E-2</v>
      </c>
      <c r="BU17" s="34">
        <v>2.2999999999999998</v>
      </c>
      <c r="BV17" s="35">
        <v>23</v>
      </c>
      <c r="BW17" s="25">
        <v>56.8</v>
      </c>
      <c r="BX17" s="25">
        <v>1.54</v>
      </c>
      <c r="BY17" s="25">
        <v>9.4</v>
      </c>
      <c r="BZ17" s="24">
        <v>26023</v>
      </c>
      <c r="CA17" s="33">
        <v>9.5000000000000001E-2</v>
      </c>
      <c r="CB17" s="25">
        <v>0.08</v>
      </c>
      <c r="CC17" s="34">
        <v>2.5</v>
      </c>
      <c r="CD17" s="35">
        <v>25</v>
      </c>
      <c r="CE17" s="25">
        <v>57.5</v>
      </c>
      <c r="CF17" s="25">
        <v>1.64</v>
      </c>
      <c r="CG17" s="25">
        <v>8.1999999999999993</v>
      </c>
      <c r="CH17" s="42"/>
      <c r="CI17" s="49"/>
      <c r="CJ17" s="49"/>
      <c r="CK17" s="49"/>
      <c r="CL17" s="49"/>
      <c r="CM17" s="49"/>
      <c r="CN17" s="49"/>
      <c r="CO17" s="49"/>
      <c r="CP17" s="24">
        <v>1164563</v>
      </c>
      <c r="CQ17" s="33">
        <v>6.5000000000000002E-2</v>
      </c>
      <c r="CR17" s="25">
        <v>0.04</v>
      </c>
      <c r="CS17" s="34">
        <v>2.2000000000000002</v>
      </c>
      <c r="CT17" s="35">
        <v>22</v>
      </c>
      <c r="CU17" s="25">
        <v>52.3</v>
      </c>
      <c r="CV17" s="25">
        <v>1.3</v>
      </c>
      <c r="CW17" s="24">
        <v>961820</v>
      </c>
      <c r="CX17" s="33">
        <v>5.6000000000000001E-2</v>
      </c>
      <c r="CY17" s="25">
        <v>0.05</v>
      </c>
      <c r="CZ17" s="34">
        <v>2.2000000000000002</v>
      </c>
      <c r="DA17" s="35">
        <v>22</v>
      </c>
      <c r="DB17" s="25">
        <v>52.5</v>
      </c>
      <c r="DC17" s="25">
        <v>1.1000000000000001</v>
      </c>
      <c r="DD17" s="42"/>
      <c r="DE17" s="49"/>
      <c r="DF17" s="49"/>
      <c r="DG17" s="49"/>
      <c r="DH17" s="49"/>
      <c r="DI17" s="49"/>
      <c r="DJ17" s="49"/>
      <c r="DK17" s="49"/>
      <c r="DL17" s="56"/>
      <c r="DM17" s="24">
        <v>32951</v>
      </c>
      <c r="DN17" s="33">
        <v>9.8000000000000004E-2</v>
      </c>
      <c r="DO17" s="25">
        <v>0.06</v>
      </c>
      <c r="DP17" s="34">
        <v>2.4</v>
      </c>
      <c r="DQ17" s="35">
        <v>24</v>
      </c>
      <c r="DR17" s="25">
        <v>58.9</v>
      </c>
      <c r="DS17" s="25"/>
      <c r="DT17" s="25">
        <v>7.6</v>
      </c>
      <c r="DU17" s="57"/>
      <c r="DV17" s="49"/>
      <c r="DW17" s="49"/>
      <c r="DX17" s="49"/>
      <c r="DY17" s="49"/>
      <c r="DZ17" s="49"/>
      <c r="EA17" s="49"/>
      <c r="EB17" s="49"/>
      <c r="EC17" s="49"/>
      <c r="ED17" s="56"/>
      <c r="EE17" s="42"/>
      <c r="EF17" s="49"/>
      <c r="EG17" s="49"/>
      <c r="EH17" s="49"/>
      <c r="EI17" s="49"/>
      <c r="EJ17" s="49"/>
      <c r="EK17" s="49"/>
      <c r="EL17" s="49"/>
      <c r="EM17" s="58"/>
      <c r="EN17" s="39"/>
      <c r="EO17" s="40">
        <f t="shared" si="4"/>
        <v>46093</v>
      </c>
      <c r="EP17" s="40">
        <v>45978</v>
      </c>
      <c r="EQ17" s="40">
        <v>46074</v>
      </c>
      <c r="ER17" s="40" t="s">
        <v>70</v>
      </c>
      <c r="ES17" s="40">
        <v>45930</v>
      </c>
      <c r="ET17" s="40">
        <v>46055</v>
      </c>
      <c r="EU17" s="40" t="s">
        <v>71</v>
      </c>
      <c r="EV17" s="40">
        <v>45992</v>
      </c>
      <c r="EW17" s="40">
        <v>46087</v>
      </c>
      <c r="EX17" s="40" t="s">
        <v>71</v>
      </c>
      <c r="EY17" s="40">
        <v>45688</v>
      </c>
      <c r="EZ17" s="40">
        <v>46077</v>
      </c>
      <c r="FA17" s="40">
        <v>46038</v>
      </c>
      <c r="FB17" s="40">
        <v>46055</v>
      </c>
      <c r="FC17" s="40">
        <v>46055</v>
      </c>
      <c r="FD17" s="40">
        <v>46055</v>
      </c>
      <c r="FE17" s="40">
        <v>46037</v>
      </c>
      <c r="FF17" s="40">
        <v>46048</v>
      </c>
      <c r="FG17" s="40">
        <v>46041</v>
      </c>
      <c r="FH17" s="40">
        <v>46044</v>
      </c>
      <c r="FI17" s="40">
        <v>46044</v>
      </c>
      <c r="FJ17" s="40">
        <v>46047</v>
      </c>
      <c r="FK17" s="40">
        <v>46047</v>
      </c>
      <c r="FL17" s="40">
        <v>46056</v>
      </c>
      <c r="FM17" s="40">
        <v>46056</v>
      </c>
      <c r="FN17" s="40">
        <v>46056</v>
      </c>
      <c r="FO17" s="40"/>
      <c r="FP17" s="40"/>
      <c r="FQ17" s="40">
        <v>46023</v>
      </c>
      <c r="FR17" s="40">
        <v>46074</v>
      </c>
      <c r="FS17" s="40"/>
      <c r="FT17" s="40">
        <v>46022</v>
      </c>
      <c r="FU17" s="40">
        <v>46077</v>
      </c>
      <c r="FV17" s="40"/>
      <c r="FW17" s="40"/>
      <c r="FX17" s="40"/>
      <c r="FY17" s="40">
        <v>46054</v>
      </c>
      <c r="FZ17" s="40">
        <v>46054</v>
      </c>
      <c r="GA17" s="40"/>
      <c r="GB17" s="40"/>
      <c r="GC17" s="40"/>
      <c r="GD17" s="40"/>
    </row>
    <row r="18" spans="2:186" x14ac:dyDescent="0.35">
      <c r="B18" s="41">
        <f t="shared" si="3"/>
        <v>46094</v>
      </c>
      <c r="C18" s="24">
        <v>2506149</v>
      </c>
      <c r="D18" s="25">
        <v>5.16</v>
      </c>
      <c r="E18" s="25">
        <v>0.27</v>
      </c>
      <c r="F18" s="25">
        <v>1.87</v>
      </c>
      <c r="G18" s="25">
        <v>51.72</v>
      </c>
      <c r="H18" s="25">
        <v>2.74</v>
      </c>
      <c r="I18" s="25">
        <v>2.4500000000000002</v>
      </c>
      <c r="J18" s="25">
        <f t="shared" si="0"/>
        <v>7.9300000000000006</v>
      </c>
      <c r="K18" s="24">
        <v>2577692</v>
      </c>
      <c r="L18" s="25">
        <v>5.16</v>
      </c>
      <c r="M18" s="25">
        <v>0.27</v>
      </c>
      <c r="N18" s="25">
        <v>1.85</v>
      </c>
      <c r="O18" s="25">
        <v>51.89898436964922</v>
      </c>
      <c r="P18" s="25">
        <v>2.58</v>
      </c>
      <c r="Q18" s="25">
        <v>2.4</v>
      </c>
      <c r="R18" s="25">
        <f t="shared" si="1"/>
        <v>7.5600000000000005</v>
      </c>
      <c r="S18" s="26">
        <v>2529566</v>
      </c>
      <c r="T18" s="25">
        <v>5.32</v>
      </c>
      <c r="U18" s="25">
        <v>0.26</v>
      </c>
      <c r="V18" s="25">
        <v>1.78</v>
      </c>
      <c r="W18" s="27">
        <v>51.65</v>
      </c>
      <c r="X18" s="25">
        <v>2.46</v>
      </c>
      <c r="Y18" s="25">
        <v>2.15</v>
      </c>
      <c r="Z18" s="25">
        <f t="shared" si="2"/>
        <v>7.07</v>
      </c>
      <c r="AA18" s="24">
        <v>328064</v>
      </c>
      <c r="AB18" s="25">
        <v>84.88</v>
      </c>
      <c r="AC18" s="25">
        <v>0.31</v>
      </c>
      <c r="AD18" s="24">
        <v>529521</v>
      </c>
      <c r="AE18" s="33">
        <v>0.13200000000000001</v>
      </c>
      <c r="AF18" s="25">
        <v>7.0000000000000007E-2</v>
      </c>
      <c r="AG18" s="34">
        <v>2.2000000000000002</v>
      </c>
      <c r="AH18" s="35">
        <v>22</v>
      </c>
      <c r="AI18" s="25">
        <v>36.6</v>
      </c>
      <c r="AJ18" s="25"/>
      <c r="AK18" s="25">
        <v>50.2</v>
      </c>
      <c r="AL18" s="24">
        <v>44014</v>
      </c>
      <c r="AM18" s="33">
        <v>0.126</v>
      </c>
      <c r="AN18" s="25">
        <v>0.06</v>
      </c>
      <c r="AO18" s="34">
        <v>2.2000000000000002</v>
      </c>
      <c r="AP18" s="35">
        <v>22</v>
      </c>
      <c r="AQ18" s="25">
        <v>35.204000000000008</v>
      </c>
      <c r="AR18" s="25"/>
      <c r="AS18" s="25">
        <v>50</v>
      </c>
      <c r="AT18" s="24">
        <v>536860</v>
      </c>
      <c r="AU18" s="33">
        <v>8.5999999999999993E-2</v>
      </c>
      <c r="AV18" s="25">
        <v>7.0000000000000007E-2</v>
      </c>
      <c r="AW18" s="34">
        <v>2.2000000000000002</v>
      </c>
      <c r="AX18" s="35">
        <v>22</v>
      </c>
      <c r="AY18" s="25">
        <v>56.01</v>
      </c>
      <c r="AZ18" s="25">
        <v>1.65</v>
      </c>
      <c r="BA18" s="34">
        <v>10</v>
      </c>
      <c r="BB18" s="24">
        <v>112410</v>
      </c>
      <c r="BC18" s="33">
        <v>8.6999999999999994E-2</v>
      </c>
      <c r="BD18" s="25">
        <v>7.0000000000000007E-2</v>
      </c>
      <c r="BE18" s="34">
        <v>2.1</v>
      </c>
      <c r="BF18" s="35">
        <v>21</v>
      </c>
      <c r="BG18" s="25">
        <v>57.65</v>
      </c>
      <c r="BH18" s="25">
        <v>1.65</v>
      </c>
      <c r="BI18" s="25">
        <v>9</v>
      </c>
      <c r="BJ18" s="24">
        <v>508583</v>
      </c>
      <c r="BK18" s="33">
        <v>8.1000000000000003E-2</v>
      </c>
      <c r="BL18" s="25">
        <v>7.0000000000000007E-2</v>
      </c>
      <c r="BM18" s="25">
        <v>2.2000000000000002</v>
      </c>
      <c r="BN18" s="35">
        <v>22</v>
      </c>
      <c r="BO18" s="25">
        <v>56.55</v>
      </c>
      <c r="BP18" s="25">
        <v>1.46</v>
      </c>
      <c r="BQ18" s="25">
        <v>9.8000000000000007</v>
      </c>
      <c r="BR18" s="24">
        <v>510730</v>
      </c>
      <c r="BS18" s="33">
        <v>7.3999999999999996E-2</v>
      </c>
      <c r="BT18" s="25">
        <v>7.0000000000000007E-2</v>
      </c>
      <c r="BU18" s="34">
        <v>2.2999999999999998</v>
      </c>
      <c r="BV18" s="35">
        <v>23</v>
      </c>
      <c r="BW18" s="25">
        <v>56.8</v>
      </c>
      <c r="BX18" s="25">
        <v>1.54</v>
      </c>
      <c r="BY18" s="25">
        <v>9.4</v>
      </c>
      <c r="BZ18" s="24">
        <v>26023</v>
      </c>
      <c r="CA18" s="33">
        <v>9.8000000000000004E-2</v>
      </c>
      <c r="CB18" s="25">
        <v>0.08</v>
      </c>
      <c r="CC18" s="34">
        <v>2.5</v>
      </c>
      <c r="CD18" s="35">
        <v>25</v>
      </c>
      <c r="CE18" s="25">
        <v>57.5</v>
      </c>
      <c r="CF18" s="25">
        <v>1.64</v>
      </c>
      <c r="CG18" s="25">
        <v>8.1999999999999993</v>
      </c>
      <c r="CH18" s="42"/>
      <c r="CI18" s="49"/>
      <c r="CJ18" s="49"/>
      <c r="CK18" s="49"/>
      <c r="CL18" s="49"/>
      <c r="CM18" s="49"/>
      <c r="CN18" s="49"/>
      <c r="CO18" s="49"/>
      <c r="CP18" s="24">
        <v>1164563</v>
      </c>
      <c r="CQ18" s="33">
        <v>6.6000000000000003E-2</v>
      </c>
      <c r="CR18" s="25">
        <v>0.04</v>
      </c>
      <c r="CS18" s="34">
        <v>2.2000000000000002</v>
      </c>
      <c r="CT18" s="35">
        <v>22</v>
      </c>
      <c r="CU18" s="25">
        <v>52.3</v>
      </c>
      <c r="CV18" s="25">
        <v>1.35</v>
      </c>
      <c r="CW18" s="24">
        <v>961820</v>
      </c>
      <c r="CX18" s="33">
        <v>5.6000000000000001E-2</v>
      </c>
      <c r="CY18" s="25">
        <v>0.05</v>
      </c>
      <c r="CZ18" s="34">
        <v>2.2000000000000002</v>
      </c>
      <c r="DA18" s="35">
        <v>22</v>
      </c>
      <c r="DB18" s="25">
        <v>52.5</v>
      </c>
      <c r="DC18" s="25">
        <v>1.2</v>
      </c>
      <c r="DD18" s="42"/>
      <c r="DE18" s="49"/>
      <c r="DF18" s="49"/>
      <c r="DG18" s="49"/>
      <c r="DH18" s="49"/>
      <c r="DI18" s="49"/>
      <c r="DJ18" s="49"/>
      <c r="DK18" s="49"/>
      <c r="DL18" s="56"/>
      <c r="DM18" s="24">
        <v>32951</v>
      </c>
      <c r="DN18" s="33">
        <v>0.1</v>
      </c>
      <c r="DO18" s="25">
        <v>0.06</v>
      </c>
      <c r="DP18" s="34">
        <v>2.4</v>
      </c>
      <c r="DQ18" s="35">
        <v>24</v>
      </c>
      <c r="DR18" s="25">
        <v>58.9</v>
      </c>
      <c r="DS18" s="25"/>
      <c r="DT18" s="25">
        <v>7.6</v>
      </c>
      <c r="DU18" s="57"/>
      <c r="DV18" s="49"/>
      <c r="DW18" s="49"/>
      <c r="DX18" s="49"/>
      <c r="DY18" s="49"/>
      <c r="DZ18" s="49"/>
      <c r="EA18" s="49"/>
      <c r="EB18" s="49"/>
      <c r="EC18" s="49"/>
      <c r="ED18" s="56"/>
      <c r="EE18" s="42"/>
      <c r="EF18" s="49"/>
      <c r="EG18" s="49"/>
      <c r="EH18" s="49"/>
      <c r="EI18" s="49"/>
      <c r="EJ18" s="49"/>
      <c r="EK18" s="49"/>
      <c r="EL18" s="49"/>
      <c r="EM18" s="58"/>
      <c r="EN18" s="39"/>
      <c r="EO18" s="40">
        <f t="shared" si="4"/>
        <v>46094</v>
      </c>
      <c r="EP18" s="40">
        <v>45978</v>
      </c>
      <c r="EQ18" s="40">
        <v>46074</v>
      </c>
      <c r="ER18" s="40" t="s">
        <v>70</v>
      </c>
      <c r="ES18" s="40">
        <v>45930</v>
      </c>
      <c r="ET18" s="40">
        <v>46055</v>
      </c>
      <c r="EU18" s="40" t="s">
        <v>71</v>
      </c>
      <c r="EV18" s="40">
        <v>45992</v>
      </c>
      <c r="EW18" s="40">
        <v>46087</v>
      </c>
      <c r="EX18" s="40" t="s">
        <v>71</v>
      </c>
      <c r="EY18" s="40">
        <v>45688</v>
      </c>
      <c r="EZ18" s="40">
        <v>46077</v>
      </c>
      <c r="FA18" s="40">
        <v>46038</v>
      </c>
      <c r="FB18" s="40">
        <v>46055</v>
      </c>
      <c r="FC18" s="40">
        <v>46055</v>
      </c>
      <c r="FD18" s="40">
        <v>46055</v>
      </c>
      <c r="FE18" s="40">
        <v>46037</v>
      </c>
      <c r="FF18" s="40">
        <v>46048</v>
      </c>
      <c r="FG18" s="40">
        <v>46041</v>
      </c>
      <c r="FH18" s="40">
        <v>46044</v>
      </c>
      <c r="FI18" s="40">
        <v>46044</v>
      </c>
      <c r="FJ18" s="40">
        <v>46047</v>
      </c>
      <c r="FK18" s="40">
        <v>46047</v>
      </c>
      <c r="FL18" s="40">
        <v>46056</v>
      </c>
      <c r="FM18" s="40">
        <v>46056</v>
      </c>
      <c r="FN18" s="40">
        <v>46056</v>
      </c>
      <c r="FO18" s="40"/>
      <c r="FP18" s="40"/>
      <c r="FQ18" s="40">
        <v>46023</v>
      </c>
      <c r="FR18" s="40">
        <v>46074</v>
      </c>
      <c r="FS18" s="40"/>
      <c r="FT18" s="40">
        <v>46022</v>
      </c>
      <c r="FU18" s="40">
        <v>46077</v>
      </c>
      <c r="FV18" s="40"/>
      <c r="FW18" s="40"/>
      <c r="FX18" s="40"/>
      <c r="FY18" s="40">
        <v>46054</v>
      </c>
      <c r="FZ18" s="40">
        <v>46054</v>
      </c>
      <c r="GA18" s="40"/>
      <c r="GB18" s="40"/>
      <c r="GC18" s="40"/>
      <c r="GD18" s="40"/>
    </row>
    <row r="19" spans="2:186" x14ac:dyDescent="0.35">
      <c r="B19" s="41">
        <f t="shared" si="3"/>
        <v>46095</v>
      </c>
      <c r="C19" s="24">
        <v>2506149</v>
      </c>
      <c r="D19" s="25">
        <v>5.17</v>
      </c>
      <c r="E19" s="25">
        <v>0.27</v>
      </c>
      <c r="F19" s="25">
        <v>1.87</v>
      </c>
      <c r="G19" s="25">
        <v>51.72</v>
      </c>
      <c r="H19" s="25">
        <v>2.74</v>
      </c>
      <c r="I19" s="25">
        <v>2.4500000000000002</v>
      </c>
      <c r="J19" s="25">
        <f t="shared" si="0"/>
        <v>7.9300000000000006</v>
      </c>
      <c r="K19" s="24">
        <v>2577692</v>
      </c>
      <c r="L19" s="25">
        <v>5.16</v>
      </c>
      <c r="M19" s="25">
        <v>0.27</v>
      </c>
      <c r="N19" s="25">
        <v>1.85</v>
      </c>
      <c r="O19" s="25">
        <v>51.89898436964922</v>
      </c>
      <c r="P19" s="25">
        <v>2.58</v>
      </c>
      <c r="Q19" s="25">
        <v>2.4</v>
      </c>
      <c r="R19" s="25">
        <f t="shared" si="1"/>
        <v>7.5600000000000005</v>
      </c>
      <c r="S19" s="26">
        <v>2529566</v>
      </c>
      <c r="T19" s="25">
        <v>5.32</v>
      </c>
      <c r="U19" s="25">
        <v>0.26</v>
      </c>
      <c r="V19" s="25">
        <v>1.78</v>
      </c>
      <c r="W19" s="27">
        <v>51.65</v>
      </c>
      <c r="X19" s="25">
        <v>2.46</v>
      </c>
      <c r="Y19" s="25">
        <v>2.15</v>
      </c>
      <c r="Z19" s="25">
        <f t="shared" si="2"/>
        <v>7.07</v>
      </c>
      <c r="AA19" s="24">
        <v>328064</v>
      </c>
      <c r="AB19" s="25">
        <v>84.88</v>
      </c>
      <c r="AC19" s="25">
        <v>0.31</v>
      </c>
      <c r="AD19" s="24">
        <v>529521</v>
      </c>
      <c r="AE19" s="33">
        <v>0.13400000000000001</v>
      </c>
      <c r="AF19" s="25">
        <v>7.0000000000000007E-2</v>
      </c>
      <c r="AG19" s="34">
        <v>2.2000000000000002</v>
      </c>
      <c r="AH19" s="35">
        <v>22</v>
      </c>
      <c r="AI19" s="25">
        <v>36.6</v>
      </c>
      <c r="AJ19" s="25"/>
      <c r="AK19" s="25">
        <v>50.2</v>
      </c>
      <c r="AL19" s="24">
        <v>44014</v>
      </c>
      <c r="AM19" s="33">
        <v>0.128</v>
      </c>
      <c r="AN19" s="25">
        <v>0.06</v>
      </c>
      <c r="AO19" s="34">
        <v>2.2000000000000002</v>
      </c>
      <c r="AP19" s="35">
        <v>22</v>
      </c>
      <c r="AQ19" s="25">
        <v>35.204000000000008</v>
      </c>
      <c r="AR19" s="25"/>
      <c r="AS19" s="25">
        <v>50</v>
      </c>
      <c r="AT19" s="24">
        <v>536860</v>
      </c>
      <c r="AU19" s="33">
        <v>8.5999999999999993E-2</v>
      </c>
      <c r="AV19" s="25">
        <v>7.0000000000000007E-2</v>
      </c>
      <c r="AW19" s="34">
        <v>2.2000000000000002</v>
      </c>
      <c r="AX19" s="35">
        <v>22</v>
      </c>
      <c r="AY19" s="25">
        <v>56.01</v>
      </c>
      <c r="AZ19" s="25">
        <v>1.65</v>
      </c>
      <c r="BA19" s="34">
        <v>10</v>
      </c>
      <c r="BB19" s="24">
        <v>74740</v>
      </c>
      <c r="BC19" s="33">
        <v>8.6999999999999994E-2</v>
      </c>
      <c r="BD19" s="25">
        <v>7.0000000000000007E-2</v>
      </c>
      <c r="BE19" s="34">
        <v>2.1</v>
      </c>
      <c r="BF19" s="35">
        <v>21</v>
      </c>
      <c r="BG19" s="25">
        <v>57.65</v>
      </c>
      <c r="BH19" s="25">
        <v>1.65</v>
      </c>
      <c r="BI19" s="25">
        <v>9</v>
      </c>
      <c r="BJ19" s="24">
        <v>508583</v>
      </c>
      <c r="BK19" s="33">
        <v>8.1000000000000003E-2</v>
      </c>
      <c r="BL19" s="25">
        <v>7.0000000000000007E-2</v>
      </c>
      <c r="BM19" s="25">
        <v>2.2000000000000002</v>
      </c>
      <c r="BN19" s="35">
        <v>22</v>
      </c>
      <c r="BO19" s="25">
        <v>56.55</v>
      </c>
      <c r="BP19" s="25">
        <v>1.46</v>
      </c>
      <c r="BQ19" s="25">
        <v>9.8000000000000007</v>
      </c>
      <c r="BR19" s="24">
        <v>510730</v>
      </c>
      <c r="BS19" s="33">
        <v>7.4999999999999997E-2</v>
      </c>
      <c r="BT19" s="25">
        <v>7.0000000000000007E-2</v>
      </c>
      <c r="BU19" s="34">
        <v>2.2999999999999998</v>
      </c>
      <c r="BV19" s="35">
        <v>23</v>
      </c>
      <c r="BW19" s="25">
        <v>56.8</v>
      </c>
      <c r="BX19" s="25">
        <v>1.54</v>
      </c>
      <c r="BY19" s="25">
        <v>9.4</v>
      </c>
      <c r="BZ19" s="24">
        <v>26023</v>
      </c>
      <c r="CA19" s="33">
        <v>0.1</v>
      </c>
      <c r="CB19" s="25">
        <v>0.08</v>
      </c>
      <c r="CC19" s="34">
        <v>2.5</v>
      </c>
      <c r="CD19" s="35">
        <v>25</v>
      </c>
      <c r="CE19" s="25">
        <v>57.5</v>
      </c>
      <c r="CF19" s="25">
        <v>1.64</v>
      </c>
      <c r="CG19" s="25">
        <v>8.1999999999999993</v>
      </c>
      <c r="CH19" s="42"/>
      <c r="CI19" s="49"/>
      <c r="CJ19" s="49"/>
      <c r="CK19" s="49"/>
      <c r="CL19" s="49"/>
      <c r="CM19" s="49"/>
      <c r="CN19" s="49"/>
      <c r="CO19" s="49"/>
      <c r="CP19" s="24">
        <v>1164563</v>
      </c>
      <c r="CQ19" s="33">
        <v>6.6000000000000003E-2</v>
      </c>
      <c r="CR19" s="25">
        <v>0.04</v>
      </c>
      <c r="CS19" s="34">
        <v>2.2000000000000002</v>
      </c>
      <c r="CT19" s="35">
        <v>22</v>
      </c>
      <c r="CU19" s="25">
        <v>52.3</v>
      </c>
      <c r="CV19" s="25">
        <v>1.35</v>
      </c>
      <c r="CW19" s="24">
        <v>961820</v>
      </c>
      <c r="CX19" s="33">
        <v>5.7000000000000002E-2</v>
      </c>
      <c r="CY19" s="25">
        <v>0.05</v>
      </c>
      <c r="CZ19" s="34">
        <v>2.2000000000000002</v>
      </c>
      <c r="DA19" s="35">
        <v>22</v>
      </c>
      <c r="DB19" s="25">
        <v>52.5</v>
      </c>
      <c r="DC19" s="25">
        <v>1.2</v>
      </c>
      <c r="DD19" s="42"/>
      <c r="DE19" s="49"/>
      <c r="DF19" s="49"/>
      <c r="DG19" s="49"/>
      <c r="DH19" s="49"/>
      <c r="DI19" s="49"/>
      <c r="DJ19" s="49"/>
      <c r="DK19" s="49"/>
      <c r="DL19" s="56"/>
      <c r="DM19" s="24">
        <v>32951</v>
      </c>
      <c r="DN19" s="33">
        <v>0.1</v>
      </c>
      <c r="DO19" s="25">
        <v>0.06</v>
      </c>
      <c r="DP19" s="34">
        <v>2.4</v>
      </c>
      <c r="DQ19" s="35">
        <v>24</v>
      </c>
      <c r="DR19" s="25">
        <v>58.9</v>
      </c>
      <c r="DS19" s="25"/>
      <c r="DT19" s="25">
        <v>7.6</v>
      </c>
      <c r="DU19" s="57"/>
      <c r="DV19" s="49"/>
      <c r="DW19" s="49"/>
      <c r="DX19" s="49"/>
      <c r="DY19" s="49"/>
      <c r="DZ19" s="49"/>
      <c r="EA19" s="49"/>
      <c r="EB19" s="49"/>
      <c r="EC19" s="49"/>
      <c r="ED19" s="56"/>
      <c r="EE19" s="42"/>
      <c r="EF19" s="49"/>
      <c r="EG19" s="49"/>
      <c r="EH19" s="49"/>
      <c r="EI19" s="49"/>
      <c r="EJ19" s="49"/>
      <c r="EK19" s="49"/>
      <c r="EL19" s="49"/>
      <c r="EM19" s="58"/>
      <c r="EN19" s="39"/>
      <c r="EO19" s="40">
        <f t="shared" si="4"/>
        <v>46095</v>
      </c>
      <c r="EP19" s="40">
        <v>45978</v>
      </c>
      <c r="EQ19" s="40">
        <v>46074</v>
      </c>
      <c r="ER19" s="40" t="s">
        <v>70</v>
      </c>
      <c r="ES19" s="40">
        <v>45930</v>
      </c>
      <c r="ET19" s="40">
        <v>46055</v>
      </c>
      <c r="EU19" s="40" t="s">
        <v>71</v>
      </c>
      <c r="EV19" s="40">
        <v>45992</v>
      </c>
      <c r="EW19" s="40">
        <v>46087</v>
      </c>
      <c r="EX19" s="40" t="s">
        <v>71</v>
      </c>
      <c r="EY19" s="40">
        <v>45688</v>
      </c>
      <c r="EZ19" s="40">
        <v>46077</v>
      </c>
      <c r="FA19" s="40">
        <v>46038</v>
      </c>
      <c r="FB19" s="40">
        <v>46055</v>
      </c>
      <c r="FC19" s="40">
        <v>46055</v>
      </c>
      <c r="FD19" s="40">
        <v>46055</v>
      </c>
      <c r="FE19" s="40">
        <v>46037</v>
      </c>
      <c r="FF19" s="40">
        <v>46048</v>
      </c>
      <c r="FG19" s="40">
        <v>46041</v>
      </c>
      <c r="FH19" s="40">
        <v>46044</v>
      </c>
      <c r="FI19" s="40">
        <v>46044</v>
      </c>
      <c r="FJ19" s="40">
        <v>46047</v>
      </c>
      <c r="FK19" s="40">
        <v>46047</v>
      </c>
      <c r="FL19" s="40">
        <v>46056</v>
      </c>
      <c r="FM19" s="40">
        <v>46056</v>
      </c>
      <c r="FN19" s="40">
        <v>46056</v>
      </c>
      <c r="FO19" s="40"/>
      <c r="FP19" s="40"/>
      <c r="FQ19" s="40">
        <v>46023</v>
      </c>
      <c r="FR19" s="40">
        <v>46074</v>
      </c>
      <c r="FS19" s="40"/>
      <c r="FT19" s="40">
        <v>46022</v>
      </c>
      <c r="FU19" s="40">
        <v>46077</v>
      </c>
      <c r="FV19" s="40"/>
      <c r="FW19" s="40"/>
      <c r="FX19" s="40"/>
      <c r="FY19" s="40">
        <v>46054</v>
      </c>
      <c r="FZ19" s="40">
        <v>46054</v>
      </c>
      <c r="GA19" s="40"/>
      <c r="GB19" s="40"/>
      <c r="GC19" s="40"/>
      <c r="GD19" s="40"/>
    </row>
    <row r="20" spans="2:186" x14ac:dyDescent="0.35">
      <c r="B20" s="41">
        <f t="shared" si="3"/>
        <v>46096</v>
      </c>
      <c r="C20" s="24">
        <v>2506149</v>
      </c>
      <c r="D20" s="25">
        <v>5.17</v>
      </c>
      <c r="E20" s="25">
        <v>0.27</v>
      </c>
      <c r="F20" s="25">
        <v>1.87</v>
      </c>
      <c r="G20" s="25">
        <v>51.72</v>
      </c>
      <c r="H20" s="25">
        <v>2.74</v>
      </c>
      <c r="I20" s="25">
        <v>2.4500000000000002</v>
      </c>
      <c r="J20" s="25">
        <f t="shared" si="0"/>
        <v>7.9300000000000006</v>
      </c>
      <c r="K20" s="24">
        <v>2577692</v>
      </c>
      <c r="L20" s="25">
        <v>5.2</v>
      </c>
      <c r="M20" s="25">
        <v>0.27</v>
      </c>
      <c r="N20" s="25">
        <v>1.85</v>
      </c>
      <c r="O20" s="25">
        <v>51.89898436964922</v>
      </c>
      <c r="P20" s="25">
        <v>2.58</v>
      </c>
      <c r="Q20" s="25">
        <v>2.4</v>
      </c>
      <c r="R20" s="25">
        <f t="shared" si="1"/>
        <v>7.5600000000000005</v>
      </c>
      <c r="S20" s="26">
        <v>2529566</v>
      </c>
      <c r="T20" s="25">
        <v>5.32</v>
      </c>
      <c r="U20" s="25">
        <v>0.26</v>
      </c>
      <c r="V20" s="25">
        <v>1.78</v>
      </c>
      <c r="W20" s="27">
        <v>51.65</v>
      </c>
      <c r="X20" s="25">
        <v>2.46</v>
      </c>
      <c r="Y20" s="25">
        <v>2.15</v>
      </c>
      <c r="Z20" s="25">
        <f t="shared" si="2"/>
        <v>7.07</v>
      </c>
      <c r="AA20" s="24">
        <v>328064</v>
      </c>
      <c r="AB20" s="25">
        <v>84.88</v>
      </c>
      <c r="AC20" s="25">
        <v>0.31</v>
      </c>
      <c r="AD20" s="24">
        <v>529521</v>
      </c>
      <c r="AE20" s="33">
        <v>0.13500000000000001</v>
      </c>
      <c r="AF20" s="25">
        <v>7.0000000000000007E-2</v>
      </c>
      <c r="AG20" s="34">
        <v>2.2000000000000002</v>
      </c>
      <c r="AH20" s="35">
        <v>22</v>
      </c>
      <c r="AI20" s="25">
        <v>36.6</v>
      </c>
      <c r="AJ20" s="25"/>
      <c r="AK20" s="25">
        <v>50.2</v>
      </c>
      <c r="AL20" s="24">
        <v>44014</v>
      </c>
      <c r="AM20" s="33">
        <v>0.13</v>
      </c>
      <c r="AN20" s="25">
        <v>0.06</v>
      </c>
      <c r="AO20" s="34">
        <v>2.2000000000000002</v>
      </c>
      <c r="AP20" s="35">
        <v>22</v>
      </c>
      <c r="AQ20" s="25">
        <v>35.204000000000008</v>
      </c>
      <c r="AR20" s="25"/>
      <c r="AS20" s="25">
        <v>50</v>
      </c>
      <c r="AT20" s="24">
        <v>536860</v>
      </c>
      <c r="AU20" s="33">
        <v>8.5999999999999993E-2</v>
      </c>
      <c r="AV20" s="25">
        <v>7.0000000000000007E-2</v>
      </c>
      <c r="AW20" s="34">
        <v>2.2000000000000002</v>
      </c>
      <c r="AX20" s="35">
        <v>22</v>
      </c>
      <c r="AY20" s="25">
        <v>56.01</v>
      </c>
      <c r="AZ20" s="25">
        <v>1.65</v>
      </c>
      <c r="BA20" s="34">
        <v>10</v>
      </c>
      <c r="BB20" s="24">
        <v>37060</v>
      </c>
      <c r="BC20" s="33">
        <v>8.6999999999999994E-2</v>
      </c>
      <c r="BD20" s="25">
        <v>7.0000000000000007E-2</v>
      </c>
      <c r="BE20" s="34">
        <v>2.1</v>
      </c>
      <c r="BF20" s="35">
        <v>21</v>
      </c>
      <c r="BG20" s="25">
        <v>57.65</v>
      </c>
      <c r="BH20" s="25">
        <v>1.65</v>
      </c>
      <c r="BI20" s="25">
        <v>9</v>
      </c>
      <c r="BJ20" s="24">
        <v>508583</v>
      </c>
      <c r="BK20" s="33">
        <v>8.1000000000000003E-2</v>
      </c>
      <c r="BL20" s="25">
        <v>7.0000000000000007E-2</v>
      </c>
      <c r="BM20" s="25">
        <v>2.2000000000000002</v>
      </c>
      <c r="BN20" s="35">
        <v>22</v>
      </c>
      <c r="BO20" s="25">
        <v>56.55</v>
      </c>
      <c r="BP20" s="25">
        <v>1.46</v>
      </c>
      <c r="BQ20" s="25">
        <v>9.8000000000000007</v>
      </c>
      <c r="BR20" s="24">
        <v>510730</v>
      </c>
      <c r="BS20" s="33">
        <v>7.8E-2</v>
      </c>
      <c r="BT20" s="25">
        <v>7.0000000000000007E-2</v>
      </c>
      <c r="BU20" s="34">
        <v>2.2999999999999998</v>
      </c>
      <c r="BV20" s="35">
        <v>23</v>
      </c>
      <c r="BW20" s="25">
        <v>56.8</v>
      </c>
      <c r="BX20" s="25">
        <v>1.54</v>
      </c>
      <c r="BY20" s="25">
        <v>9.4</v>
      </c>
      <c r="BZ20" s="24">
        <v>26023</v>
      </c>
      <c r="CA20" s="33">
        <v>0.10299999999999999</v>
      </c>
      <c r="CB20" s="25">
        <v>0.08</v>
      </c>
      <c r="CC20" s="34">
        <v>2.5</v>
      </c>
      <c r="CD20" s="35">
        <v>25</v>
      </c>
      <c r="CE20" s="25">
        <v>57.5</v>
      </c>
      <c r="CF20" s="25">
        <v>1.64</v>
      </c>
      <c r="CG20" s="25">
        <v>8.1999999999999993</v>
      </c>
      <c r="CH20" s="42"/>
      <c r="CI20" s="49"/>
      <c r="CJ20" s="49"/>
      <c r="CK20" s="49"/>
      <c r="CL20" s="49"/>
      <c r="CM20" s="49"/>
      <c r="CN20" s="49"/>
      <c r="CO20" s="49"/>
      <c r="CP20" s="24">
        <v>1164563</v>
      </c>
      <c r="CQ20" s="33">
        <v>6.7000000000000004E-2</v>
      </c>
      <c r="CR20" s="25">
        <v>0.04</v>
      </c>
      <c r="CS20" s="34">
        <v>2.2000000000000002</v>
      </c>
      <c r="CT20" s="35">
        <v>22</v>
      </c>
      <c r="CU20" s="25">
        <v>52.3</v>
      </c>
      <c r="CV20" s="25">
        <v>1.35</v>
      </c>
      <c r="CW20" s="24">
        <v>961820</v>
      </c>
      <c r="CX20" s="33">
        <v>5.7000000000000002E-2</v>
      </c>
      <c r="CY20" s="25">
        <v>0.05</v>
      </c>
      <c r="CZ20" s="34">
        <v>2.2000000000000002</v>
      </c>
      <c r="DA20" s="35">
        <v>22</v>
      </c>
      <c r="DB20" s="25">
        <v>52.5</v>
      </c>
      <c r="DC20" s="25">
        <v>1.2</v>
      </c>
      <c r="DD20" s="42"/>
      <c r="DE20" s="49"/>
      <c r="DF20" s="49"/>
      <c r="DG20" s="49"/>
      <c r="DH20" s="49"/>
      <c r="DI20" s="49"/>
      <c r="DJ20" s="49"/>
      <c r="DK20" s="49"/>
      <c r="DL20" s="56"/>
      <c r="DM20" s="24">
        <v>32951</v>
      </c>
      <c r="DN20" s="33">
        <v>0.1</v>
      </c>
      <c r="DO20" s="25">
        <v>0.06</v>
      </c>
      <c r="DP20" s="34">
        <v>2.4</v>
      </c>
      <c r="DQ20" s="35">
        <v>24</v>
      </c>
      <c r="DR20" s="25">
        <v>58.9</v>
      </c>
      <c r="DS20" s="25"/>
      <c r="DT20" s="25">
        <v>7.6</v>
      </c>
      <c r="DU20" s="57"/>
      <c r="DV20" s="49"/>
      <c r="DW20" s="49"/>
      <c r="DX20" s="49"/>
      <c r="DY20" s="49"/>
      <c r="DZ20" s="49"/>
      <c r="EA20" s="49"/>
      <c r="EB20" s="49"/>
      <c r="EC20" s="49"/>
      <c r="ED20" s="56"/>
      <c r="EE20" s="42"/>
      <c r="EF20" s="49"/>
      <c r="EG20" s="49"/>
      <c r="EH20" s="49"/>
      <c r="EI20" s="49"/>
      <c r="EJ20" s="49"/>
      <c r="EK20" s="49"/>
      <c r="EL20" s="49"/>
      <c r="EM20" s="58"/>
      <c r="EN20" s="39"/>
      <c r="EO20" s="40">
        <f t="shared" si="4"/>
        <v>46096</v>
      </c>
      <c r="EP20" s="40">
        <v>45978</v>
      </c>
      <c r="EQ20" s="40">
        <v>46074</v>
      </c>
      <c r="ER20" s="40" t="s">
        <v>70</v>
      </c>
      <c r="ES20" s="40">
        <v>45930</v>
      </c>
      <c r="ET20" s="40">
        <v>46055</v>
      </c>
      <c r="EU20" s="40" t="s">
        <v>71</v>
      </c>
      <c r="EV20" s="40">
        <v>45992</v>
      </c>
      <c r="EW20" s="40">
        <v>46087</v>
      </c>
      <c r="EX20" s="40" t="s">
        <v>71</v>
      </c>
      <c r="EY20" s="40">
        <v>45688</v>
      </c>
      <c r="EZ20" s="40">
        <v>46077</v>
      </c>
      <c r="FA20" s="40">
        <v>46038</v>
      </c>
      <c r="FB20" s="40">
        <v>46055</v>
      </c>
      <c r="FC20" s="40">
        <v>46055</v>
      </c>
      <c r="FD20" s="40">
        <v>46055</v>
      </c>
      <c r="FE20" s="40">
        <v>46037</v>
      </c>
      <c r="FF20" s="40">
        <v>46048</v>
      </c>
      <c r="FG20" s="40">
        <v>46041</v>
      </c>
      <c r="FH20" s="40">
        <v>46044</v>
      </c>
      <c r="FI20" s="40">
        <v>46044</v>
      </c>
      <c r="FJ20" s="40">
        <v>46047</v>
      </c>
      <c r="FK20" s="40">
        <v>46047</v>
      </c>
      <c r="FL20" s="40">
        <v>46056</v>
      </c>
      <c r="FM20" s="40">
        <v>46056</v>
      </c>
      <c r="FN20" s="40">
        <v>46056</v>
      </c>
      <c r="FO20" s="40"/>
      <c r="FP20" s="40"/>
      <c r="FQ20" s="40">
        <v>46023</v>
      </c>
      <c r="FR20" s="40">
        <v>46074</v>
      </c>
      <c r="FS20" s="40"/>
      <c r="FT20" s="40">
        <v>46022</v>
      </c>
      <c r="FU20" s="40">
        <v>46077</v>
      </c>
      <c r="FV20" s="40"/>
      <c r="FW20" s="40"/>
      <c r="FX20" s="40"/>
      <c r="FY20" s="40">
        <v>46054</v>
      </c>
      <c r="FZ20" s="40">
        <v>46054</v>
      </c>
      <c r="GA20" s="40"/>
      <c r="GB20" s="40"/>
      <c r="GC20" s="40"/>
      <c r="GD20" s="40"/>
    </row>
    <row r="21" spans="2:186" x14ac:dyDescent="0.35">
      <c r="B21" s="41">
        <f t="shared" si="3"/>
        <v>46097</v>
      </c>
      <c r="C21" s="24">
        <v>2506149</v>
      </c>
      <c r="D21" s="25">
        <v>5.17</v>
      </c>
      <c r="E21" s="25">
        <v>0.27</v>
      </c>
      <c r="F21" s="25">
        <v>1.87</v>
      </c>
      <c r="G21" s="25">
        <v>51.72</v>
      </c>
      <c r="H21" s="25">
        <v>2.74</v>
      </c>
      <c r="I21" s="25">
        <v>2.4500000000000002</v>
      </c>
      <c r="J21" s="25">
        <f t="shared" si="0"/>
        <v>7.9300000000000006</v>
      </c>
      <c r="K21" s="24">
        <v>2577692</v>
      </c>
      <c r="L21" s="25">
        <v>5.2</v>
      </c>
      <c r="M21" s="25">
        <v>0.27</v>
      </c>
      <c r="N21" s="25">
        <v>1.85</v>
      </c>
      <c r="O21" s="25">
        <v>51.89898436964922</v>
      </c>
      <c r="P21" s="25">
        <v>2.58</v>
      </c>
      <c r="Q21" s="25">
        <v>2.4</v>
      </c>
      <c r="R21" s="25">
        <f t="shared" si="1"/>
        <v>7.5600000000000005</v>
      </c>
      <c r="S21" s="26">
        <v>2529566</v>
      </c>
      <c r="T21" s="25">
        <v>5.32</v>
      </c>
      <c r="U21" s="25">
        <v>0.26</v>
      </c>
      <c r="V21" s="25">
        <v>1.78</v>
      </c>
      <c r="W21" s="27">
        <v>51.65</v>
      </c>
      <c r="X21" s="25">
        <v>2.46</v>
      </c>
      <c r="Y21" s="25">
        <v>2.15</v>
      </c>
      <c r="Z21" s="25">
        <f t="shared" si="2"/>
        <v>7.07</v>
      </c>
      <c r="AA21" s="24">
        <v>328064</v>
      </c>
      <c r="AB21" s="25">
        <v>84.88</v>
      </c>
      <c r="AC21" s="25">
        <v>0.31</v>
      </c>
      <c r="AD21" s="24">
        <v>529521</v>
      </c>
      <c r="AE21" s="33">
        <v>0.13500000000000001</v>
      </c>
      <c r="AF21" s="25">
        <v>7.0000000000000007E-2</v>
      </c>
      <c r="AG21" s="34">
        <v>2.2000000000000002</v>
      </c>
      <c r="AH21" s="35">
        <v>22</v>
      </c>
      <c r="AI21" s="25">
        <v>36.6</v>
      </c>
      <c r="AJ21" s="25"/>
      <c r="AK21" s="25">
        <v>50.2</v>
      </c>
      <c r="AL21" s="24">
        <v>44014</v>
      </c>
      <c r="AM21" s="33">
        <v>0.13</v>
      </c>
      <c r="AN21" s="25">
        <v>0.06</v>
      </c>
      <c r="AO21" s="34">
        <v>2.2000000000000002</v>
      </c>
      <c r="AP21" s="35">
        <v>22</v>
      </c>
      <c r="AQ21" s="25">
        <v>35.204000000000008</v>
      </c>
      <c r="AR21" s="25"/>
      <c r="AS21" s="25">
        <v>50</v>
      </c>
      <c r="AT21" s="24">
        <v>536860</v>
      </c>
      <c r="AU21" s="33">
        <v>8.5999999999999993E-2</v>
      </c>
      <c r="AV21" s="25">
        <v>7.0000000000000007E-2</v>
      </c>
      <c r="AW21" s="34">
        <v>2.2000000000000002</v>
      </c>
      <c r="AX21" s="35">
        <v>22</v>
      </c>
      <c r="AY21" s="25">
        <v>56.01</v>
      </c>
      <c r="AZ21" s="25">
        <v>1.65</v>
      </c>
      <c r="BA21" s="34">
        <v>10</v>
      </c>
      <c r="BB21" s="24">
        <v>37060</v>
      </c>
      <c r="BC21" s="33">
        <v>8.6999999999999994E-2</v>
      </c>
      <c r="BD21" s="25">
        <v>7.0000000000000007E-2</v>
      </c>
      <c r="BE21" s="34">
        <v>2.1</v>
      </c>
      <c r="BF21" s="35">
        <v>21</v>
      </c>
      <c r="BG21" s="25">
        <v>57.65</v>
      </c>
      <c r="BH21" s="25">
        <v>1.65</v>
      </c>
      <c r="BI21" s="25">
        <v>9</v>
      </c>
      <c r="BJ21" s="24">
        <v>508583</v>
      </c>
      <c r="BK21" s="33">
        <v>8.1000000000000003E-2</v>
      </c>
      <c r="BL21" s="25">
        <v>7.0000000000000007E-2</v>
      </c>
      <c r="BM21" s="25">
        <v>2.2000000000000002</v>
      </c>
      <c r="BN21" s="35">
        <v>22</v>
      </c>
      <c r="BO21" s="25">
        <v>56.55</v>
      </c>
      <c r="BP21" s="25">
        <v>1.46</v>
      </c>
      <c r="BQ21" s="25">
        <v>9.8000000000000007</v>
      </c>
      <c r="BR21" s="24">
        <v>510730</v>
      </c>
      <c r="BS21" s="33">
        <v>7.8E-2</v>
      </c>
      <c r="BT21" s="25">
        <v>7.0000000000000007E-2</v>
      </c>
      <c r="BU21" s="34">
        <v>2.2999999999999998</v>
      </c>
      <c r="BV21" s="35">
        <v>23</v>
      </c>
      <c r="BW21" s="25">
        <v>56.8</v>
      </c>
      <c r="BX21" s="25">
        <v>1.54</v>
      </c>
      <c r="BY21" s="25">
        <v>9.4</v>
      </c>
      <c r="BZ21" s="24">
        <v>26023</v>
      </c>
      <c r="CA21" s="33">
        <v>0.10299999999999999</v>
      </c>
      <c r="CB21" s="25">
        <v>0.08</v>
      </c>
      <c r="CC21" s="34">
        <v>2.5</v>
      </c>
      <c r="CD21" s="35">
        <v>25</v>
      </c>
      <c r="CE21" s="25">
        <v>57.5</v>
      </c>
      <c r="CF21" s="25">
        <v>1.64</v>
      </c>
      <c r="CG21" s="25">
        <v>8.1999999999999993</v>
      </c>
      <c r="CH21" s="42"/>
      <c r="CI21" s="49"/>
      <c r="CJ21" s="49"/>
      <c r="CK21" s="49"/>
      <c r="CL21" s="49"/>
      <c r="CM21" s="49"/>
      <c r="CN21" s="49"/>
      <c r="CO21" s="49"/>
      <c r="CP21" s="24">
        <v>1164563</v>
      </c>
      <c r="CQ21" s="33">
        <v>6.7000000000000004E-2</v>
      </c>
      <c r="CR21" s="25">
        <v>0.04</v>
      </c>
      <c r="CS21" s="34">
        <v>2.2000000000000002</v>
      </c>
      <c r="CT21" s="35">
        <v>22</v>
      </c>
      <c r="CU21" s="25">
        <v>52.3</v>
      </c>
      <c r="CV21" s="25">
        <v>1.35</v>
      </c>
      <c r="CW21" s="24">
        <v>961820</v>
      </c>
      <c r="CX21" s="33">
        <v>5.7000000000000002E-2</v>
      </c>
      <c r="CY21" s="25">
        <v>0.05</v>
      </c>
      <c r="CZ21" s="34">
        <v>2.2000000000000002</v>
      </c>
      <c r="DA21" s="35">
        <v>22</v>
      </c>
      <c r="DB21" s="25">
        <v>52.5</v>
      </c>
      <c r="DC21" s="25">
        <v>1.2</v>
      </c>
      <c r="DD21" s="42"/>
      <c r="DE21" s="49"/>
      <c r="DF21" s="49"/>
      <c r="DG21" s="49"/>
      <c r="DH21" s="49"/>
      <c r="DI21" s="49"/>
      <c r="DJ21" s="49"/>
      <c r="DK21" s="49"/>
      <c r="DL21" s="56"/>
      <c r="DM21" s="24">
        <v>32951</v>
      </c>
      <c r="DN21" s="33">
        <v>0.1</v>
      </c>
      <c r="DO21" s="25">
        <v>0.06</v>
      </c>
      <c r="DP21" s="34">
        <v>2.4</v>
      </c>
      <c r="DQ21" s="35">
        <v>24</v>
      </c>
      <c r="DR21" s="25">
        <v>58.9</v>
      </c>
      <c r="DS21" s="25"/>
      <c r="DT21" s="25">
        <v>7.6</v>
      </c>
      <c r="DU21" s="57"/>
      <c r="DV21" s="49"/>
      <c r="DW21" s="49"/>
      <c r="DX21" s="49"/>
      <c r="DY21" s="49"/>
      <c r="DZ21" s="49"/>
      <c r="EA21" s="49"/>
      <c r="EB21" s="49"/>
      <c r="EC21" s="49"/>
      <c r="ED21" s="56"/>
      <c r="EE21" s="42"/>
      <c r="EF21" s="49"/>
      <c r="EG21" s="49"/>
      <c r="EH21" s="49"/>
      <c r="EI21" s="49"/>
      <c r="EJ21" s="49"/>
      <c r="EK21" s="49"/>
      <c r="EL21" s="49"/>
      <c r="EM21" s="58"/>
      <c r="EN21" s="39"/>
      <c r="EO21" s="40">
        <f t="shared" si="4"/>
        <v>46097</v>
      </c>
      <c r="EP21" s="40">
        <v>45978</v>
      </c>
      <c r="EQ21" s="40">
        <v>46074</v>
      </c>
      <c r="ER21" s="40" t="s">
        <v>70</v>
      </c>
      <c r="ES21" s="40">
        <v>45930</v>
      </c>
      <c r="ET21" s="40">
        <v>46055</v>
      </c>
      <c r="EU21" s="40" t="s">
        <v>71</v>
      </c>
      <c r="EV21" s="40">
        <v>45992</v>
      </c>
      <c r="EW21" s="40">
        <v>46087</v>
      </c>
      <c r="EX21" s="40" t="s">
        <v>71</v>
      </c>
      <c r="EY21" s="40">
        <v>45688</v>
      </c>
      <c r="EZ21" s="40">
        <v>46077</v>
      </c>
      <c r="FA21" s="40">
        <v>46038</v>
      </c>
      <c r="FB21" s="40">
        <v>46055</v>
      </c>
      <c r="FC21" s="40">
        <v>46055</v>
      </c>
      <c r="FD21" s="40">
        <v>46055</v>
      </c>
      <c r="FE21" s="40">
        <v>46037</v>
      </c>
      <c r="FF21" s="40">
        <v>46048</v>
      </c>
      <c r="FG21" s="40">
        <v>46041</v>
      </c>
      <c r="FH21" s="40">
        <v>46044</v>
      </c>
      <c r="FI21" s="40">
        <v>46044</v>
      </c>
      <c r="FJ21" s="40">
        <v>46047</v>
      </c>
      <c r="FK21" s="40">
        <v>46047</v>
      </c>
      <c r="FL21" s="40">
        <v>46056</v>
      </c>
      <c r="FM21" s="40">
        <v>46056</v>
      </c>
      <c r="FN21" s="40">
        <v>46056</v>
      </c>
      <c r="FO21" s="40"/>
      <c r="FP21" s="40"/>
      <c r="FQ21" s="40">
        <v>46023</v>
      </c>
      <c r="FR21" s="40">
        <v>46074</v>
      </c>
      <c r="FS21" s="40"/>
      <c r="FT21" s="40">
        <v>46022</v>
      </c>
      <c r="FU21" s="40">
        <v>46077</v>
      </c>
      <c r="FV21" s="40"/>
      <c r="FW21" s="40"/>
      <c r="FX21" s="40"/>
      <c r="FY21" s="40">
        <v>46054</v>
      </c>
      <c r="FZ21" s="40">
        <v>46054</v>
      </c>
      <c r="GA21" s="40"/>
      <c r="GB21" s="40"/>
      <c r="GC21" s="40"/>
      <c r="GD21" s="40"/>
    </row>
    <row r="22" spans="2:186" x14ac:dyDescent="0.35">
      <c r="B22" s="41">
        <f t="shared" si="3"/>
        <v>46098</v>
      </c>
      <c r="C22" s="24">
        <v>2506149</v>
      </c>
      <c r="D22" s="25">
        <v>5.18</v>
      </c>
      <c r="E22" s="25">
        <v>0.27</v>
      </c>
      <c r="F22" s="25">
        <v>1.87</v>
      </c>
      <c r="G22" s="25">
        <v>51.72</v>
      </c>
      <c r="H22" s="25">
        <v>2.74</v>
      </c>
      <c r="I22" s="25">
        <v>2.4500000000000002</v>
      </c>
      <c r="J22" s="25">
        <f t="shared" si="0"/>
        <v>7.9300000000000006</v>
      </c>
      <c r="K22" s="24">
        <v>2577692</v>
      </c>
      <c r="L22" s="25">
        <v>5.2</v>
      </c>
      <c r="M22" s="25">
        <v>0.27</v>
      </c>
      <c r="N22" s="25">
        <v>1.85</v>
      </c>
      <c r="O22" s="25">
        <v>51.89898436964922</v>
      </c>
      <c r="P22" s="25">
        <v>2.58</v>
      </c>
      <c r="Q22" s="25">
        <v>2.4</v>
      </c>
      <c r="R22" s="25">
        <f t="shared" si="1"/>
        <v>7.5600000000000005</v>
      </c>
      <c r="S22" s="26">
        <v>2582218</v>
      </c>
      <c r="T22" s="25">
        <v>5.32</v>
      </c>
      <c r="U22" s="25">
        <v>0.26</v>
      </c>
      <c r="V22" s="25">
        <v>1.78</v>
      </c>
      <c r="W22" s="27">
        <v>51.65</v>
      </c>
      <c r="X22" s="25">
        <v>2.46</v>
      </c>
      <c r="Y22" s="25">
        <v>2.15</v>
      </c>
      <c r="Z22" s="25">
        <f t="shared" si="2"/>
        <v>7.07</v>
      </c>
      <c r="AA22" s="24">
        <v>328064</v>
      </c>
      <c r="AB22" s="25">
        <v>84.88</v>
      </c>
      <c r="AC22" s="25">
        <v>0.31</v>
      </c>
      <c r="AD22" s="24">
        <v>529521</v>
      </c>
      <c r="AE22" s="33">
        <v>0.13700000000000001</v>
      </c>
      <c r="AF22" s="25">
        <v>7.0000000000000007E-2</v>
      </c>
      <c r="AG22" s="34">
        <v>2.2000000000000002</v>
      </c>
      <c r="AH22" s="35">
        <v>22</v>
      </c>
      <c r="AI22" s="25">
        <v>36.6</v>
      </c>
      <c r="AJ22" s="25"/>
      <c r="AK22" s="25">
        <v>50.2</v>
      </c>
      <c r="AL22" s="24">
        <v>44014</v>
      </c>
      <c r="AM22" s="33">
        <v>0.13</v>
      </c>
      <c r="AN22" s="25">
        <v>0.06</v>
      </c>
      <c r="AO22" s="34">
        <v>2.2000000000000002</v>
      </c>
      <c r="AP22" s="35">
        <v>22</v>
      </c>
      <c r="AQ22" s="25">
        <v>35.204000000000008</v>
      </c>
      <c r="AR22" s="25"/>
      <c r="AS22" s="25">
        <v>50</v>
      </c>
      <c r="AT22" s="24">
        <v>498748</v>
      </c>
      <c r="AU22" s="33">
        <v>8.5999999999999993E-2</v>
      </c>
      <c r="AV22" s="25">
        <v>7.0000000000000007E-2</v>
      </c>
      <c r="AW22" s="34">
        <v>2.2000000000000002</v>
      </c>
      <c r="AX22" s="35">
        <v>22</v>
      </c>
      <c r="AY22" s="25">
        <v>56.01</v>
      </c>
      <c r="AZ22" s="25">
        <v>1.65</v>
      </c>
      <c r="BA22" s="34">
        <v>10</v>
      </c>
      <c r="BB22" s="24">
        <v>4280</v>
      </c>
      <c r="BC22" s="33"/>
      <c r="BD22" s="25"/>
      <c r="BE22" s="34"/>
      <c r="BF22" s="35"/>
      <c r="BG22" s="25"/>
      <c r="BH22" s="25"/>
      <c r="BI22" s="25"/>
      <c r="BJ22" s="24">
        <v>438523</v>
      </c>
      <c r="BK22" s="33">
        <v>8.1000000000000003E-2</v>
      </c>
      <c r="BL22" s="25">
        <v>7.0000000000000007E-2</v>
      </c>
      <c r="BM22" s="25">
        <v>2.2000000000000002</v>
      </c>
      <c r="BN22" s="35">
        <v>22</v>
      </c>
      <c r="BO22" s="25">
        <v>56.55</v>
      </c>
      <c r="BP22" s="25">
        <v>1.46</v>
      </c>
      <c r="BQ22" s="25">
        <v>9.8000000000000007</v>
      </c>
      <c r="BR22" s="24">
        <v>510730</v>
      </c>
      <c r="BS22" s="33">
        <v>7.9000000000000001E-2</v>
      </c>
      <c r="BT22" s="25">
        <v>7.0000000000000007E-2</v>
      </c>
      <c r="BU22" s="34">
        <v>2.2999999999999998</v>
      </c>
      <c r="BV22" s="35">
        <v>23</v>
      </c>
      <c r="BW22" s="25">
        <v>56.8</v>
      </c>
      <c r="BX22" s="25">
        <v>1.54</v>
      </c>
      <c r="BY22" s="25">
        <v>9.4</v>
      </c>
      <c r="BZ22" s="24">
        <v>26023</v>
      </c>
      <c r="CA22" s="33">
        <v>0.105</v>
      </c>
      <c r="CB22" s="25">
        <v>0.08</v>
      </c>
      <c r="CC22" s="34">
        <v>2.5</v>
      </c>
      <c r="CD22" s="35">
        <v>25</v>
      </c>
      <c r="CE22" s="25">
        <v>57.5</v>
      </c>
      <c r="CF22" s="25">
        <v>1.64</v>
      </c>
      <c r="CG22" s="25">
        <v>8.1999999999999993</v>
      </c>
      <c r="CH22" s="42"/>
      <c r="CI22" s="49"/>
      <c r="CJ22" s="49"/>
      <c r="CK22" s="49"/>
      <c r="CL22" s="49"/>
      <c r="CM22" s="49"/>
      <c r="CN22" s="49"/>
      <c r="CO22" s="49"/>
      <c r="CP22" s="24">
        <v>1164563</v>
      </c>
      <c r="CQ22" s="33">
        <v>6.8000000000000005E-2</v>
      </c>
      <c r="CR22" s="25">
        <v>0.04</v>
      </c>
      <c r="CS22" s="34">
        <v>2.2000000000000002</v>
      </c>
      <c r="CT22" s="35">
        <v>22</v>
      </c>
      <c r="CU22" s="25">
        <v>52.3</v>
      </c>
      <c r="CV22" s="25">
        <v>1.35</v>
      </c>
      <c r="CW22" s="24">
        <v>961820</v>
      </c>
      <c r="CX22" s="33">
        <v>5.8000000000000003E-2</v>
      </c>
      <c r="CY22" s="25">
        <v>0.05</v>
      </c>
      <c r="CZ22" s="34">
        <v>2.2000000000000002</v>
      </c>
      <c r="DA22" s="35">
        <v>22</v>
      </c>
      <c r="DB22" s="25">
        <v>52.5</v>
      </c>
      <c r="DC22" s="25">
        <v>1.2</v>
      </c>
      <c r="DD22" s="42"/>
      <c r="DE22" s="49"/>
      <c r="DF22" s="49"/>
      <c r="DG22" s="49"/>
      <c r="DH22" s="49"/>
      <c r="DI22" s="49"/>
      <c r="DJ22" s="49"/>
      <c r="DK22" s="49"/>
      <c r="DL22" s="56"/>
      <c r="DM22" s="24">
        <v>32951</v>
      </c>
      <c r="DN22" s="33">
        <v>0.1</v>
      </c>
      <c r="DO22" s="25">
        <v>0.06</v>
      </c>
      <c r="DP22" s="34">
        <v>2.4</v>
      </c>
      <c r="DQ22" s="35">
        <v>24</v>
      </c>
      <c r="DR22" s="25">
        <v>58.9</v>
      </c>
      <c r="DS22" s="25"/>
      <c r="DT22" s="25">
        <v>7.6</v>
      </c>
      <c r="DU22" s="57"/>
      <c r="DV22" s="49"/>
      <c r="DW22" s="49"/>
      <c r="DX22" s="49"/>
      <c r="DY22" s="49"/>
      <c r="DZ22" s="49"/>
      <c r="EA22" s="49"/>
      <c r="EB22" s="49"/>
      <c r="EC22" s="49"/>
      <c r="ED22" s="56"/>
      <c r="EE22" s="42"/>
      <c r="EF22" s="49"/>
      <c r="EG22" s="49"/>
      <c r="EH22" s="49"/>
      <c r="EI22" s="49"/>
      <c r="EJ22" s="49"/>
      <c r="EK22" s="49"/>
      <c r="EL22" s="49"/>
      <c r="EM22" s="58"/>
      <c r="EN22" s="39"/>
      <c r="EO22" s="40">
        <f t="shared" si="4"/>
        <v>46098</v>
      </c>
      <c r="EP22" s="40">
        <v>45978</v>
      </c>
      <c r="EQ22" s="40">
        <v>46074</v>
      </c>
      <c r="ER22" s="40" t="s">
        <v>70</v>
      </c>
      <c r="ES22" s="40">
        <v>45930</v>
      </c>
      <c r="ET22" s="40">
        <v>46055</v>
      </c>
      <c r="EU22" s="40" t="s">
        <v>71</v>
      </c>
      <c r="EV22" s="40">
        <v>45992</v>
      </c>
      <c r="EW22" s="40">
        <v>46097</v>
      </c>
      <c r="EX22" s="40" t="s">
        <v>71</v>
      </c>
      <c r="EY22" s="40">
        <v>45688</v>
      </c>
      <c r="EZ22" s="40">
        <v>46077</v>
      </c>
      <c r="FA22" s="40">
        <v>46038</v>
      </c>
      <c r="FB22" s="40">
        <v>46055</v>
      </c>
      <c r="FC22" s="40">
        <v>46055</v>
      </c>
      <c r="FD22" s="40">
        <v>46055</v>
      </c>
      <c r="FE22" s="40">
        <v>46037</v>
      </c>
      <c r="FF22" s="40">
        <v>46048</v>
      </c>
      <c r="FG22" s="40">
        <v>46041</v>
      </c>
      <c r="FH22" s="40">
        <v>46044</v>
      </c>
      <c r="FI22" s="40">
        <v>46044</v>
      </c>
      <c r="FJ22" s="40">
        <v>46047</v>
      </c>
      <c r="FK22" s="40">
        <v>46047</v>
      </c>
      <c r="FL22" s="40">
        <v>46056</v>
      </c>
      <c r="FM22" s="40">
        <v>46056</v>
      </c>
      <c r="FN22" s="40">
        <v>46056</v>
      </c>
      <c r="FO22" s="40"/>
      <c r="FP22" s="40"/>
      <c r="FQ22" s="40">
        <v>46023</v>
      </c>
      <c r="FR22" s="40">
        <v>46074</v>
      </c>
      <c r="FS22" s="40"/>
      <c r="FT22" s="40">
        <v>46022</v>
      </c>
      <c r="FU22" s="40">
        <v>46077</v>
      </c>
      <c r="FV22" s="40"/>
      <c r="FW22" s="40"/>
      <c r="FX22" s="40"/>
      <c r="FY22" s="40">
        <v>46054</v>
      </c>
      <c r="FZ22" s="40">
        <v>46054</v>
      </c>
      <c r="GA22" s="40"/>
      <c r="GB22" s="40"/>
      <c r="GC22" s="40"/>
      <c r="GD22" s="40"/>
    </row>
    <row r="23" spans="2:186" x14ac:dyDescent="0.35">
      <c r="B23" s="41">
        <f t="shared" si="3"/>
        <v>46099</v>
      </c>
      <c r="C23" s="24">
        <v>2506149</v>
      </c>
      <c r="D23" s="25">
        <v>5.18</v>
      </c>
      <c r="E23" s="25">
        <v>0.27</v>
      </c>
      <c r="F23" s="25">
        <v>1.87</v>
      </c>
      <c r="G23" s="25">
        <v>51.72</v>
      </c>
      <c r="H23" s="25">
        <v>2.74</v>
      </c>
      <c r="I23" s="25">
        <v>2.4500000000000002</v>
      </c>
      <c r="J23" s="25">
        <f t="shared" si="0"/>
        <v>7.9300000000000006</v>
      </c>
      <c r="K23" s="24">
        <v>2577692</v>
      </c>
      <c r="L23" s="25">
        <v>5.25</v>
      </c>
      <c r="M23" s="25">
        <v>0.27</v>
      </c>
      <c r="N23" s="25">
        <v>1.85</v>
      </c>
      <c r="O23" s="25">
        <v>51.89898436964922</v>
      </c>
      <c r="P23" s="25">
        <v>2.58</v>
      </c>
      <c r="Q23" s="25">
        <v>2.4</v>
      </c>
      <c r="R23" s="25">
        <f t="shared" si="1"/>
        <v>7.5600000000000005</v>
      </c>
      <c r="S23" s="26">
        <v>2582218</v>
      </c>
      <c r="T23" s="25">
        <v>5.2</v>
      </c>
      <c r="U23" s="25">
        <v>0.26</v>
      </c>
      <c r="V23" s="25">
        <v>1.65</v>
      </c>
      <c r="W23" s="27">
        <v>51.65</v>
      </c>
      <c r="X23" s="25">
        <v>2.46</v>
      </c>
      <c r="Y23" s="25">
        <v>2.15</v>
      </c>
      <c r="Z23" s="25">
        <f t="shared" si="2"/>
        <v>7.07</v>
      </c>
      <c r="AA23" s="24">
        <v>328064</v>
      </c>
      <c r="AB23" s="25">
        <v>84.88</v>
      </c>
      <c r="AC23" s="25">
        <v>0.31</v>
      </c>
      <c r="AD23" s="24">
        <v>529521</v>
      </c>
      <c r="AE23" s="33">
        <v>0.14000000000000001</v>
      </c>
      <c r="AF23" s="25">
        <v>7.0000000000000007E-2</v>
      </c>
      <c r="AG23" s="34">
        <v>2.2000000000000002</v>
      </c>
      <c r="AH23" s="35">
        <v>22</v>
      </c>
      <c r="AI23" s="25">
        <v>36.6</v>
      </c>
      <c r="AJ23" s="25"/>
      <c r="AK23" s="25">
        <v>50.2</v>
      </c>
      <c r="AL23" s="24">
        <v>44014</v>
      </c>
      <c r="AM23" s="33">
        <v>0.13</v>
      </c>
      <c r="AN23" s="25">
        <v>0.06</v>
      </c>
      <c r="AO23" s="34">
        <v>2.2000000000000002</v>
      </c>
      <c r="AP23" s="35">
        <v>22</v>
      </c>
      <c r="AQ23" s="25">
        <v>35.204000000000008</v>
      </c>
      <c r="AR23" s="25"/>
      <c r="AS23" s="25">
        <v>50</v>
      </c>
      <c r="AT23" s="24">
        <v>498748</v>
      </c>
      <c r="AU23" s="33">
        <v>8.5999999999999993E-2</v>
      </c>
      <c r="AV23" s="25">
        <v>7.0000000000000007E-2</v>
      </c>
      <c r="AW23" s="34">
        <v>2.2000000000000002</v>
      </c>
      <c r="AX23" s="35">
        <v>22</v>
      </c>
      <c r="AY23" s="25">
        <v>56.01</v>
      </c>
      <c r="AZ23" s="25">
        <v>1.65</v>
      </c>
      <c r="BA23" s="34">
        <v>10</v>
      </c>
      <c r="BB23" s="24">
        <v>4280</v>
      </c>
      <c r="BC23" s="33"/>
      <c r="BD23" s="25"/>
      <c r="BE23" s="34"/>
      <c r="BF23" s="35"/>
      <c r="BG23" s="25"/>
      <c r="BH23" s="25"/>
      <c r="BI23" s="25"/>
      <c r="BJ23" s="24">
        <v>409563</v>
      </c>
      <c r="BK23" s="33">
        <v>8.1000000000000003E-2</v>
      </c>
      <c r="BL23" s="25">
        <v>7.0000000000000007E-2</v>
      </c>
      <c r="BM23" s="25">
        <v>2.2000000000000002</v>
      </c>
      <c r="BN23" s="35">
        <v>22</v>
      </c>
      <c r="BO23" s="25">
        <v>56.55</v>
      </c>
      <c r="BP23" s="25">
        <v>1.46</v>
      </c>
      <c r="BQ23" s="25">
        <v>9.8000000000000007</v>
      </c>
      <c r="BR23" s="24">
        <v>510730</v>
      </c>
      <c r="BS23" s="33">
        <v>0.08</v>
      </c>
      <c r="BT23" s="25">
        <v>7.0000000000000007E-2</v>
      </c>
      <c r="BU23" s="34">
        <v>2.2999999999999998</v>
      </c>
      <c r="BV23" s="35">
        <v>23</v>
      </c>
      <c r="BW23" s="25">
        <v>56.8</v>
      </c>
      <c r="BX23" s="25">
        <v>1.54</v>
      </c>
      <c r="BY23" s="25">
        <v>9.4</v>
      </c>
      <c r="BZ23" s="24">
        <v>26023</v>
      </c>
      <c r="CA23" s="33">
        <v>0.108</v>
      </c>
      <c r="CB23" s="25">
        <v>0.08</v>
      </c>
      <c r="CC23" s="34">
        <v>2.5</v>
      </c>
      <c r="CD23" s="35">
        <v>25</v>
      </c>
      <c r="CE23" s="25">
        <v>57.5</v>
      </c>
      <c r="CF23" s="25">
        <v>1.64</v>
      </c>
      <c r="CG23" s="25">
        <v>8.1999999999999993</v>
      </c>
      <c r="CH23" s="42"/>
      <c r="CI23" s="49"/>
      <c r="CJ23" s="49"/>
      <c r="CK23" s="49"/>
      <c r="CL23" s="49"/>
      <c r="CM23" s="49"/>
      <c r="CN23" s="49"/>
      <c r="CO23" s="49"/>
      <c r="CP23" s="24">
        <v>1164563</v>
      </c>
      <c r="CQ23" s="33">
        <v>6.8000000000000005E-2</v>
      </c>
      <c r="CR23" s="25">
        <v>0.04</v>
      </c>
      <c r="CS23" s="34">
        <v>2.2000000000000002</v>
      </c>
      <c r="CT23" s="35">
        <v>22</v>
      </c>
      <c r="CU23" s="25">
        <v>52.3</v>
      </c>
      <c r="CV23" s="25">
        <v>1.35</v>
      </c>
      <c r="CW23" s="24">
        <v>961820</v>
      </c>
      <c r="CX23" s="33">
        <v>5.8000000000000003E-2</v>
      </c>
      <c r="CY23" s="25">
        <v>0.05</v>
      </c>
      <c r="CZ23" s="34">
        <v>2.2000000000000002</v>
      </c>
      <c r="DA23" s="35">
        <v>22</v>
      </c>
      <c r="DB23" s="25">
        <v>52.5</v>
      </c>
      <c r="DC23" s="25">
        <v>1.2</v>
      </c>
      <c r="DD23" s="42"/>
      <c r="DE23" s="49"/>
      <c r="DF23" s="49"/>
      <c r="DG23" s="49"/>
      <c r="DH23" s="49"/>
      <c r="DI23" s="49"/>
      <c r="DJ23" s="49"/>
      <c r="DK23" s="49"/>
      <c r="DL23" s="56"/>
      <c r="DM23" s="24">
        <v>32951</v>
      </c>
      <c r="DN23" s="33">
        <v>0.10299999999999999</v>
      </c>
      <c r="DO23" s="25">
        <v>0.06</v>
      </c>
      <c r="DP23" s="34">
        <v>2.4</v>
      </c>
      <c r="DQ23" s="35">
        <v>24</v>
      </c>
      <c r="DR23" s="25">
        <v>58.9</v>
      </c>
      <c r="DS23" s="25"/>
      <c r="DT23" s="25">
        <v>7.6</v>
      </c>
      <c r="DU23" s="57"/>
      <c r="DV23" s="49"/>
      <c r="DW23" s="49"/>
      <c r="DX23" s="49"/>
      <c r="DY23" s="49"/>
      <c r="DZ23" s="49"/>
      <c r="EA23" s="49"/>
      <c r="EB23" s="49"/>
      <c r="EC23" s="49"/>
      <c r="ED23" s="56"/>
      <c r="EE23" s="42"/>
      <c r="EF23" s="49"/>
      <c r="EG23" s="49"/>
      <c r="EH23" s="49"/>
      <c r="EI23" s="49"/>
      <c r="EJ23" s="49"/>
      <c r="EK23" s="49"/>
      <c r="EL23" s="49"/>
      <c r="EM23" s="58"/>
      <c r="EN23" s="39"/>
      <c r="EO23" s="40">
        <f t="shared" si="4"/>
        <v>46099</v>
      </c>
      <c r="EP23" s="40">
        <v>45978</v>
      </c>
      <c r="EQ23" s="40">
        <v>46074</v>
      </c>
      <c r="ER23" s="40" t="s">
        <v>70</v>
      </c>
      <c r="ES23" s="40">
        <v>45930</v>
      </c>
      <c r="ET23" s="40">
        <v>46055</v>
      </c>
      <c r="EU23" s="40" t="s">
        <v>71</v>
      </c>
      <c r="EV23" s="40">
        <v>45992</v>
      </c>
      <c r="EW23" s="40">
        <v>46097</v>
      </c>
      <c r="EX23" s="40" t="s">
        <v>71</v>
      </c>
      <c r="EY23" s="40">
        <v>45688</v>
      </c>
      <c r="EZ23" s="40">
        <v>46077</v>
      </c>
      <c r="FA23" s="40">
        <v>46038</v>
      </c>
      <c r="FB23" s="40">
        <v>46055</v>
      </c>
      <c r="FC23" s="40">
        <v>46055</v>
      </c>
      <c r="FD23" s="40">
        <v>46055</v>
      </c>
      <c r="FE23" s="40">
        <v>46037</v>
      </c>
      <c r="FF23" s="40">
        <v>46048</v>
      </c>
      <c r="FG23" s="40">
        <v>46041</v>
      </c>
      <c r="FH23" s="40">
        <v>46044</v>
      </c>
      <c r="FI23" s="40">
        <v>46044</v>
      </c>
      <c r="FJ23" s="40">
        <v>46047</v>
      </c>
      <c r="FK23" s="40">
        <v>46047</v>
      </c>
      <c r="FL23" s="40">
        <v>46056</v>
      </c>
      <c r="FM23" s="40">
        <v>46056</v>
      </c>
      <c r="FN23" s="40">
        <v>46056</v>
      </c>
      <c r="FO23" s="40"/>
      <c r="FP23" s="40"/>
      <c r="FQ23" s="40">
        <v>46023</v>
      </c>
      <c r="FR23" s="40">
        <v>46074</v>
      </c>
      <c r="FS23" s="40"/>
      <c r="FT23" s="40">
        <v>46022</v>
      </c>
      <c r="FU23" s="40">
        <v>46077</v>
      </c>
      <c r="FV23" s="40"/>
      <c r="FW23" s="40"/>
      <c r="FX23" s="40"/>
      <c r="FY23" s="40">
        <v>46054</v>
      </c>
      <c r="FZ23" s="40">
        <v>46054</v>
      </c>
      <c r="GA23" s="40"/>
      <c r="GB23" s="40"/>
      <c r="GC23" s="40"/>
      <c r="GD23" s="40"/>
    </row>
    <row r="24" spans="2:186" x14ac:dyDescent="0.35">
      <c r="B24" s="41">
        <f t="shared" si="3"/>
        <v>46100</v>
      </c>
      <c r="C24" s="24">
        <v>2506149</v>
      </c>
      <c r="D24" s="25">
        <v>5.18</v>
      </c>
      <c r="E24" s="25">
        <v>0.27</v>
      </c>
      <c r="F24" s="25">
        <v>1.87</v>
      </c>
      <c r="G24" s="25">
        <v>51.72</v>
      </c>
      <c r="H24" s="25">
        <v>2.74</v>
      </c>
      <c r="I24" s="25">
        <v>2.4500000000000002</v>
      </c>
      <c r="J24" s="25">
        <f t="shared" si="0"/>
        <v>7.9300000000000006</v>
      </c>
      <c r="K24" s="24">
        <v>2577692</v>
      </c>
      <c r="L24" s="25">
        <v>5.25</v>
      </c>
      <c r="M24" s="25">
        <v>0.27</v>
      </c>
      <c r="N24" s="25">
        <v>1.85</v>
      </c>
      <c r="O24" s="25">
        <v>51.89898436964922</v>
      </c>
      <c r="P24" s="25">
        <v>2.58</v>
      </c>
      <c r="Q24" s="25">
        <v>2.4</v>
      </c>
      <c r="R24" s="25">
        <f t="shared" si="1"/>
        <v>7.5600000000000005</v>
      </c>
      <c r="S24" s="26">
        <v>2582218</v>
      </c>
      <c r="T24" s="25">
        <v>5.2</v>
      </c>
      <c r="U24" s="25">
        <v>0.26</v>
      </c>
      <c r="V24" s="25">
        <v>1.65</v>
      </c>
      <c r="W24" s="27">
        <v>51.65</v>
      </c>
      <c r="X24" s="25">
        <v>2.46</v>
      </c>
      <c r="Y24" s="25">
        <v>2.15</v>
      </c>
      <c r="Z24" s="25">
        <f t="shared" si="2"/>
        <v>7.07</v>
      </c>
      <c r="AA24" s="24">
        <v>328064</v>
      </c>
      <c r="AB24" s="25">
        <v>84.88</v>
      </c>
      <c r="AC24" s="25">
        <v>0.31</v>
      </c>
      <c r="AD24" s="24">
        <v>529521</v>
      </c>
      <c r="AE24" s="33">
        <v>0.14299999999999999</v>
      </c>
      <c r="AF24" s="25">
        <v>7.0000000000000007E-2</v>
      </c>
      <c r="AG24" s="34">
        <v>2.2000000000000002</v>
      </c>
      <c r="AH24" s="35">
        <v>22</v>
      </c>
      <c r="AI24" s="25">
        <v>36.6</v>
      </c>
      <c r="AJ24" s="25"/>
      <c r="AK24" s="25">
        <v>50.2</v>
      </c>
      <c r="AL24" s="24">
        <v>44014</v>
      </c>
      <c r="AM24" s="33">
        <v>0.13500000000000001</v>
      </c>
      <c r="AN24" s="25">
        <v>0.06</v>
      </c>
      <c r="AO24" s="34">
        <v>2.2000000000000002</v>
      </c>
      <c r="AP24" s="35">
        <v>22</v>
      </c>
      <c r="AQ24" s="25">
        <v>35.204000000000008</v>
      </c>
      <c r="AR24" s="25"/>
      <c r="AS24" s="25">
        <v>50</v>
      </c>
      <c r="AT24" s="24">
        <v>498748</v>
      </c>
      <c r="AU24" s="33">
        <v>0.09</v>
      </c>
      <c r="AV24" s="25">
        <v>7.0000000000000007E-2</v>
      </c>
      <c r="AW24" s="34">
        <v>2.2000000000000002</v>
      </c>
      <c r="AX24" s="35">
        <v>22</v>
      </c>
      <c r="AY24" s="25">
        <v>56.01</v>
      </c>
      <c r="AZ24" s="25">
        <v>1.65</v>
      </c>
      <c r="BA24" s="34">
        <v>10</v>
      </c>
      <c r="BB24" s="24">
        <v>4280</v>
      </c>
      <c r="BC24" s="48"/>
      <c r="BD24" s="49"/>
      <c r="BE24" s="50"/>
      <c r="BF24" s="51"/>
      <c r="BG24" s="49"/>
      <c r="BH24" s="49"/>
      <c r="BI24" s="49"/>
      <c r="BJ24" s="24">
        <v>400093</v>
      </c>
      <c r="BK24" s="33">
        <v>8.1000000000000003E-2</v>
      </c>
      <c r="BL24" s="25">
        <v>7.0000000000000007E-2</v>
      </c>
      <c r="BM24" s="25">
        <v>2.2000000000000002</v>
      </c>
      <c r="BN24" s="35">
        <v>22</v>
      </c>
      <c r="BO24" s="25">
        <v>56.55</v>
      </c>
      <c r="BP24" s="25">
        <v>1.46</v>
      </c>
      <c r="BQ24" s="25">
        <v>9.8000000000000007</v>
      </c>
      <c r="BR24" s="24">
        <v>510730</v>
      </c>
      <c r="BS24" s="33">
        <v>0.08</v>
      </c>
      <c r="BT24" s="25">
        <v>7.0000000000000007E-2</v>
      </c>
      <c r="BU24" s="34">
        <v>2.2999999999999998</v>
      </c>
      <c r="BV24" s="35">
        <v>23</v>
      </c>
      <c r="BW24" s="25">
        <v>56.8</v>
      </c>
      <c r="BX24" s="25">
        <v>1.54</v>
      </c>
      <c r="BY24" s="25">
        <v>9.4</v>
      </c>
      <c r="BZ24" s="24">
        <v>26023</v>
      </c>
      <c r="CA24" s="33">
        <v>0.108</v>
      </c>
      <c r="CB24" s="25">
        <v>0.08</v>
      </c>
      <c r="CC24" s="34">
        <v>2.5</v>
      </c>
      <c r="CD24" s="35">
        <v>25</v>
      </c>
      <c r="CE24" s="25">
        <v>57.5</v>
      </c>
      <c r="CF24" s="25">
        <v>1.64</v>
      </c>
      <c r="CG24" s="25">
        <v>8.1999999999999993</v>
      </c>
      <c r="CH24" s="42"/>
      <c r="CI24" s="49"/>
      <c r="CJ24" s="49"/>
      <c r="CK24" s="49"/>
      <c r="CL24" s="49"/>
      <c r="CM24" s="49"/>
      <c r="CN24" s="49"/>
      <c r="CO24" s="49"/>
      <c r="CP24" s="24">
        <v>1164563</v>
      </c>
      <c r="CQ24" s="33">
        <v>6.8000000000000005E-2</v>
      </c>
      <c r="CR24" s="25">
        <v>0.04</v>
      </c>
      <c r="CS24" s="34">
        <v>2.2000000000000002</v>
      </c>
      <c r="CT24" s="35">
        <v>22</v>
      </c>
      <c r="CU24" s="25">
        <v>52.3</v>
      </c>
      <c r="CV24" s="25">
        <v>1.35</v>
      </c>
      <c r="CW24" s="24">
        <v>961820</v>
      </c>
      <c r="CX24" s="33">
        <v>5.8000000000000003E-2</v>
      </c>
      <c r="CY24" s="25">
        <v>0.05</v>
      </c>
      <c r="CZ24" s="34">
        <v>2.2000000000000002</v>
      </c>
      <c r="DA24" s="35">
        <v>22</v>
      </c>
      <c r="DB24" s="25">
        <v>52.5</v>
      </c>
      <c r="DC24" s="25">
        <v>1.2</v>
      </c>
      <c r="DD24" s="42"/>
      <c r="DE24" s="49"/>
      <c r="DF24" s="49"/>
      <c r="DG24" s="49"/>
      <c r="DH24" s="49"/>
      <c r="DI24" s="49"/>
      <c r="DJ24" s="49"/>
      <c r="DK24" s="49"/>
      <c r="DL24" s="56"/>
      <c r="DM24" s="24">
        <v>32951</v>
      </c>
      <c r="DN24" s="33">
        <v>0.10299999999999999</v>
      </c>
      <c r="DO24" s="25">
        <v>0.06</v>
      </c>
      <c r="DP24" s="34">
        <v>2.4</v>
      </c>
      <c r="DQ24" s="35">
        <v>24</v>
      </c>
      <c r="DR24" s="25">
        <v>58.9</v>
      </c>
      <c r="DS24" s="25"/>
      <c r="DT24" s="25">
        <v>7.6</v>
      </c>
      <c r="DU24" s="57"/>
      <c r="DV24" s="49"/>
      <c r="DW24" s="49"/>
      <c r="DX24" s="49"/>
      <c r="DY24" s="49"/>
      <c r="DZ24" s="49"/>
      <c r="EA24" s="49"/>
      <c r="EB24" s="49"/>
      <c r="EC24" s="49"/>
      <c r="ED24" s="56"/>
      <c r="EE24" s="42"/>
      <c r="EF24" s="49"/>
      <c r="EG24" s="49"/>
      <c r="EH24" s="49"/>
      <c r="EI24" s="49"/>
      <c r="EJ24" s="49"/>
      <c r="EK24" s="49"/>
      <c r="EL24" s="49"/>
      <c r="EM24" s="58"/>
      <c r="EN24" s="39"/>
      <c r="EO24" s="40">
        <f t="shared" si="4"/>
        <v>46100</v>
      </c>
      <c r="EP24" s="40">
        <v>45978</v>
      </c>
      <c r="EQ24" s="40">
        <v>46074</v>
      </c>
      <c r="ER24" s="40" t="s">
        <v>70</v>
      </c>
      <c r="ES24" s="40">
        <v>45930</v>
      </c>
      <c r="ET24" s="40">
        <v>46055</v>
      </c>
      <c r="EU24" s="40" t="s">
        <v>71</v>
      </c>
      <c r="EV24" s="40">
        <v>45992</v>
      </c>
      <c r="EW24" s="40">
        <v>46097</v>
      </c>
      <c r="EX24" s="40" t="s">
        <v>71</v>
      </c>
      <c r="EY24" s="40">
        <v>45688</v>
      </c>
      <c r="EZ24" s="40">
        <v>46077</v>
      </c>
      <c r="FA24" s="40">
        <v>46038</v>
      </c>
      <c r="FB24" s="40">
        <v>46055</v>
      </c>
      <c r="FC24" s="40">
        <v>46055</v>
      </c>
      <c r="FD24" s="40">
        <v>46055</v>
      </c>
      <c r="FE24" s="40">
        <v>46037</v>
      </c>
      <c r="FF24" s="40">
        <v>46048</v>
      </c>
      <c r="FG24" s="40">
        <v>46041</v>
      </c>
      <c r="FH24" s="40">
        <v>46044</v>
      </c>
      <c r="FI24" s="40">
        <v>46044</v>
      </c>
      <c r="FJ24" s="40">
        <v>46047</v>
      </c>
      <c r="FK24" s="40">
        <v>46047</v>
      </c>
      <c r="FL24" s="40">
        <v>46056</v>
      </c>
      <c r="FM24" s="40">
        <v>46056</v>
      </c>
      <c r="FN24" s="40">
        <v>46056</v>
      </c>
      <c r="FO24" s="40"/>
      <c r="FP24" s="40"/>
      <c r="FQ24" s="40">
        <v>46023</v>
      </c>
      <c r="FR24" s="40">
        <v>46074</v>
      </c>
      <c r="FS24" s="40"/>
      <c r="FT24" s="40">
        <v>46022</v>
      </c>
      <c r="FU24" s="40">
        <v>46077</v>
      </c>
      <c r="FV24" s="40"/>
      <c r="FW24" s="40"/>
      <c r="FX24" s="40"/>
      <c r="FY24" s="40">
        <v>46054</v>
      </c>
      <c r="FZ24" s="40">
        <v>46054</v>
      </c>
      <c r="GA24" s="40"/>
      <c r="GB24" s="40"/>
      <c r="GC24" s="40"/>
      <c r="GD24" s="40"/>
    </row>
    <row r="25" spans="2:186" x14ac:dyDescent="0.35">
      <c r="B25" s="41">
        <f t="shared" si="3"/>
        <v>46101</v>
      </c>
      <c r="C25" s="24">
        <v>2506149</v>
      </c>
      <c r="D25" s="25">
        <v>5.18</v>
      </c>
      <c r="E25" s="25">
        <v>0.27</v>
      </c>
      <c r="F25" s="25">
        <v>1.87</v>
      </c>
      <c r="G25" s="25">
        <v>51.72</v>
      </c>
      <c r="H25" s="25">
        <v>2.74</v>
      </c>
      <c r="I25" s="25">
        <v>2.4500000000000002</v>
      </c>
      <c r="J25" s="25">
        <f t="shared" si="0"/>
        <v>7.9300000000000006</v>
      </c>
      <c r="K25" s="24">
        <v>2577692</v>
      </c>
      <c r="L25" s="25">
        <v>5.25</v>
      </c>
      <c r="M25" s="25">
        <v>0.27</v>
      </c>
      <c r="N25" s="25">
        <v>1.85</v>
      </c>
      <c r="O25" s="25">
        <v>51.89898436964922</v>
      </c>
      <c r="P25" s="25">
        <v>2.58</v>
      </c>
      <c r="Q25" s="25">
        <v>2.4</v>
      </c>
      <c r="R25" s="25">
        <f t="shared" si="1"/>
        <v>7.5600000000000005</v>
      </c>
      <c r="S25" s="26">
        <v>2582218</v>
      </c>
      <c r="T25" s="25">
        <v>5.2</v>
      </c>
      <c r="U25" s="25">
        <v>0.26</v>
      </c>
      <c r="V25" s="25">
        <v>1.65</v>
      </c>
      <c r="W25" s="27">
        <v>51.65</v>
      </c>
      <c r="X25" s="25">
        <v>2.46</v>
      </c>
      <c r="Y25" s="25">
        <v>2.15</v>
      </c>
      <c r="Z25" s="25">
        <f t="shared" si="2"/>
        <v>7.07</v>
      </c>
      <c r="AA25" s="24">
        <v>328064</v>
      </c>
      <c r="AB25" s="25">
        <v>84.88</v>
      </c>
      <c r="AC25" s="25">
        <v>0.31</v>
      </c>
      <c r="AD25" s="24">
        <v>529521</v>
      </c>
      <c r="AE25" s="33">
        <v>0.14499999999999999</v>
      </c>
      <c r="AF25" s="25">
        <v>7.0000000000000007E-2</v>
      </c>
      <c r="AG25" s="34">
        <v>2.2000000000000002</v>
      </c>
      <c r="AH25" s="35">
        <v>22</v>
      </c>
      <c r="AI25" s="25">
        <v>36.6</v>
      </c>
      <c r="AJ25" s="25"/>
      <c r="AK25" s="25">
        <v>50.2</v>
      </c>
      <c r="AL25" s="24">
        <v>44014</v>
      </c>
      <c r="AM25" s="33">
        <v>0.13700000000000001</v>
      </c>
      <c r="AN25" s="25">
        <v>0.06</v>
      </c>
      <c r="AO25" s="34">
        <v>2.2000000000000002</v>
      </c>
      <c r="AP25" s="35">
        <v>22</v>
      </c>
      <c r="AQ25" s="25">
        <v>35.204000000000008</v>
      </c>
      <c r="AR25" s="25"/>
      <c r="AS25" s="25">
        <v>50</v>
      </c>
      <c r="AT25" s="24">
        <v>498748</v>
      </c>
      <c r="AU25" s="33">
        <v>0.09</v>
      </c>
      <c r="AV25" s="25">
        <v>7.0000000000000007E-2</v>
      </c>
      <c r="AW25" s="34">
        <v>2.2000000000000002</v>
      </c>
      <c r="AX25" s="35">
        <v>22</v>
      </c>
      <c r="AY25" s="25">
        <v>56.01</v>
      </c>
      <c r="AZ25" s="25">
        <v>1.65</v>
      </c>
      <c r="BA25" s="34">
        <v>10</v>
      </c>
      <c r="BB25" s="24">
        <v>4280</v>
      </c>
      <c r="BC25" s="48"/>
      <c r="BD25" s="49"/>
      <c r="BE25" s="50"/>
      <c r="BF25" s="51"/>
      <c r="BG25" s="49"/>
      <c r="BH25" s="49"/>
      <c r="BI25" s="49"/>
      <c r="BJ25" s="24">
        <v>400093</v>
      </c>
      <c r="BK25" s="33">
        <v>8.1000000000000003E-2</v>
      </c>
      <c r="BL25" s="25">
        <v>7.0000000000000007E-2</v>
      </c>
      <c r="BM25" s="25">
        <v>2.2000000000000002</v>
      </c>
      <c r="BN25" s="35">
        <v>22</v>
      </c>
      <c r="BO25" s="25">
        <v>56.55</v>
      </c>
      <c r="BP25" s="25">
        <v>1.46</v>
      </c>
      <c r="BQ25" s="25">
        <v>9.8000000000000007</v>
      </c>
      <c r="BR25" s="24">
        <v>510730</v>
      </c>
      <c r="BS25" s="33">
        <v>0.08</v>
      </c>
      <c r="BT25" s="25">
        <v>7.0000000000000007E-2</v>
      </c>
      <c r="BU25" s="34">
        <v>2.2999999999999998</v>
      </c>
      <c r="BV25" s="35">
        <v>23</v>
      </c>
      <c r="BW25" s="25">
        <v>56.8</v>
      </c>
      <c r="BX25" s="25">
        <v>1.54</v>
      </c>
      <c r="BY25" s="25">
        <v>9.4</v>
      </c>
      <c r="BZ25" s="24">
        <v>26023</v>
      </c>
      <c r="CA25" s="33">
        <v>0.108</v>
      </c>
      <c r="CB25" s="25">
        <v>0.08</v>
      </c>
      <c r="CC25" s="34">
        <v>2.5</v>
      </c>
      <c r="CD25" s="35">
        <v>25</v>
      </c>
      <c r="CE25" s="25">
        <v>57.5</v>
      </c>
      <c r="CF25" s="25">
        <v>1.64</v>
      </c>
      <c r="CG25" s="25">
        <v>8.1999999999999993</v>
      </c>
      <c r="CH25" s="42"/>
      <c r="CI25" s="49"/>
      <c r="CJ25" s="49"/>
      <c r="CK25" s="49"/>
      <c r="CL25" s="49"/>
      <c r="CM25" s="49"/>
      <c r="CN25" s="49"/>
      <c r="CO25" s="49"/>
      <c r="CP25" s="24">
        <v>1164563</v>
      </c>
      <c r="CQ25" s="33">
        <v>6.8000000000000005E-2</v>
      </c>
      <c r="CR25" s="25">
        <v>0.04</v>
      </c>
      <c r="CS25" s="34">
        <v>2.2000000000000002</v>
      </c>
      <c r="CT25" s="35">
        <v>22</v>
      </c>
      <c r="CU25" s="25">
        <v>52.3</v>
      </c>
      <c r="CV25" s="25">
        <v>1.35</v>
      </c>
      <c r="CW25" s="24">
        <v>961820</v>
      </c>
      <c r="CX25" s="33">
        <v>5.8000000000000003E-2</v>
      </c>
      <c r="CY25" s="25">
        <v>0.05</v>
      </c>
      <c r="CZ25" s="34">
        <v>2.2000000000000002</v>
      </c>
      <c r="DA25" s="35">
        <v>22</v>
      </c>
      <c r="DB25" s="25">
        <v>52.5</v>
      </c>
      <c r="DC25" s="25">
        <v>1.2</v>
      </c>
      <c r="DD25" s="42"/>
      <c r="DE25" s="49"/>
      <c r="DF25" s="49"/>
      <c r="DG25" s="49"/>
      <c r="DH25" s="49"/>
      <c r="DI25" s="49"/>
      <c r="DJ25" s="49"/>
      <c r="DK25" s="49"/>
      <c r="DL25" s="56"/>
      <c r="DM25" s="24">
        <v>32951</v>
      </c>
      <c r="DN25" s="33">
        <v>0.105</v>
      </c>
      <c r="DO25" s="25">
        <v>0.06</v>
      </c>
      <c r="DP25" s="34">
        <v>2.4</v>
      </c>
      <c r="DQ25" s="35">
        <v>24</v>
      </c>
      <c r="DR25" s="25">
        <v>58.9</v>
      </c>
      <c r="DS25" s="25"/>
      <c r="DT25" s="25">
        <v>7.6</v>
      </c>
      <c r="DU25" s="57"/>
      <c r="DV25" s="49"/>
      <c r="DW25" s="49"/>
      <c r="DX25" s="49"/>
      <c r="DY25" s="49"/>
      <c r="DZ25" s="49"/>
      <c r="EA25" s="49"/>
      <c r="EB25" s="49"/>
      <c r="EC25" s="49"/>
      <c r="ED25" s="56"/>
      <c r="EE25" s="42"/>
      <c r="EF25" s="49"/>
      <c r="EG25" s="49"/>
      <c r="EH25" s="49"/>
      <c r="EI25" s="49"/>
      <c r="EJ25" s="49"/>
      <c r="EK25" s="49"/>
      <c r="EL25" s="49"/>
      <c r="EM25" s="58"/>
      <c r="EN25" s="39"/>
      <c r="EO25" s="40">
        <f t="shared" si="4"/>
        <v>46101</v>
      </c>
      <c r="EP25" s="40">
        <v>45978</v>
      </c>
      <c r="EQ25" s="40">
        <v>46074</v>
      </c>
      <c r="ER25" s="40" t="s">
        <v>70</v>
      </c>
      <c r="ES25" s="40">
        <v>45930</v>
      </c>
      <c r="ET25" s="40">
        <v>46055</v>
      </c>
      <c r="EU25" s="40" t="s">
        <v>71</v>
      </c>
      <c r="EV25" s="40">
        <v>45992</v>
      </c>
      <c r="EW25" s="40">
        <v>46097</v>
      </c>
      <c r="EX25" s="40" t="s">
        <v>71</v>
      </c>
      <c r="EY25" s="40">
        <v>45688</v>
      </c>
      <c r="EZ25" s="40">
        <v>46077</v>
      </c>
      <c r="FA25" s="40">
        <v>46038</v>
      </c>
      <c r="FB25" s="40">
        <v>46055</v>
      </c>
      <c r="FC25" s="40">
        <v>46055</v>
      </c>
      <c r="FD25" s="40">
        <v>46055</v>
      </c>
      <c r="FE25" s="40">
        <v>46037</v>
      </c>
      <c r="FF25" s="40">
        <v>46048</v>
      </c>
      <c r="FG25" s="40">
        <v>46041</v>
      </c>
      <c r="FH25" s="40">
        <v>46044</v>
      </c>
      <c r="FI25" s="40">
        <v>46044</v>
      </c>
      <c r="FJ25" s="40">
        <v>46047</v>
      </c>
      <c r="FK25" s="40">
        <v>46047</v>
      </c>
      <c r="FL25" s="40">
        <v>46056</v>
      </c>
      <c r="FM25" s="40">
        <v>46056</v>
      </c>
      <c r="FN25" s="40">
        <v>46056</v>
      </c>
      <c r="FO25" s="40"/>
      <c r="FP25" s="40"/>
      <c r="FQ25" s="40">
        <v>46023</v>
      </c>
      <c r="FR25" s="40">
        <v>46074</v>
      </c>
      <c r="FS25" s="40"/>
      <c r="FT25" s="40">
        <v>46022</v>
      </c>
      <c r="FU25" s="40">
        <v>46077</v>
      </c>
      <c r="FV25" s="40"/>
      <c r="FW25" s="40"/>
      <c r="FX25" s="40"/>
      <c r="FY25" s="40">
        <v>46054</v>
      </c>
      <c r="FZ25" s="40">
        <v>46054</v>
      </c>
      <c r="GA25" s="40"/>
      <c r="GB25" s="40"/>
      <c r="GC25" s="40"/>
      <c r="GD25" s="40"/>
    </row>
    <row r="26" spans="2:186" x14ac:dyDescent="0.35">
      <c r="B26" s="41">
        <f t="shared" si="3"/>
        <v>46102</v>
      </c>
      <c r="C26" s="24">
        <v>2506149</v>
      </c>
      <c r="D26" s="25">
        <v>5.18</v>
      </c>
      <c r="E26" s="25">
        <v>0.27</v>
      </c>
      <c r="F26" s="25">
        <v>1.87</v>
      </c>
      <c r="G26" s="25">
        <v>51.72</v>
      </c>
      <c r="H26" s="25">
        <v>2.74</v>
      </c>
      <c r="I26" s="25">
        <v>2.4500000000000002</v>
      </c>
      <c r="J26" s="25">
        <f t="shared" si="0"/>
        <v>7.9300000000000006</v>
      </c>
      <c r="K26" s="24">
        <v>2577692</v>
      </c>
      <c r="L26" s="25">
        <v>5.25</v>
      </c>
      <c r="M26" s="25">
        <v>0.27</v>
      </c>
      <c r="N26" s="25">
        <v>1.85</v>
      </c>
      <c r="O26" s="25">
        <v>51.89898436964922</v>
      </c>
      <c r="P26" s="25">
        <v>2.58</v>
      </c>
      <c r="Q26" s="25">
        <v>2.4</v>
      </c>
      <c r="R26" s="25">
        <f t="shared" si="1"/>
        <v>7.5600000000000005</v>
      </c>
      <c r="S26" s="26">
        <v>2582218</v>
      </c>
      <c r="T26" s="25">
        <v>5.2</v>
      </c>
      <c r="U26" s="25">
        <v>0.26</v>
      </c>
      <c r="V26" s="25">
        <v>1.65</v>
      </c>
      <c r="W26" s="27">
        <v>51.65</v>
      </c>
      <c r="X26" s="25">
        <v>2.46</v>
      </c>
      <c r="Y26" s="25">
        <v>2.15</v>
      </c>
      <c r="Z26" s="25">
        <f t="shared" si="2"/>
        <v>7.07</v>
      </c>
      <c r="AA26" s="24">
        <v>328064</v>
      </c>
      <c r="AB26" s="25">
        <v>84.88</v>
      </c>
      <c r="AC26" s="25">
        <v>0.31</v>
      </c>
      <c r="AD26" s="24">
        <v>529521</v>
      </c>
      <c r="AE26" s="33">
        <v>0.14699999999999999</v>
      </c>
      <c r="AF26" s="25">
        <v>7.0000000000000007E-2</v>
      </c>
      <c r="AG26" s="34">
        <v>2.2000000000000002</v>
      </c>
      <c r="AH26" s="35">
        <v>22</v>
      </c>
      <c r="AI26" s="25">
        <v>36.6</v>
      </c>
      <c r="AJ26" s="25"/>
      <c r="AK26" s="25">
        <v>50.2</v>
      </c>
      <c r="AL26" s="24">
        <v>44014</v>
      </c>
      <c r="AM26" s="33">
        <v>0.13900000000000001</v>
      </c>
      <c r="AN26" s="25">
        <v>0.06</v>
      </c>
      <c r="AO26" s="34">
        <v>2.2000000000000002</v>
      </c>
      <c r="AP26" s="35">
        <v>22</v>
      </c>
      <c r="AQ26" s="25">
        <v>35.204000000000008</v>
      </c>
      <c r="AR26" s="25"/>
      <c r="AS26" s="25">
        <v>50</v>
      </c>
      <c r="AT26" s="24">
        <v>498748</v>
      </c>
      <c r="AU26" s="33">
        <v>0.09</v>
      </c>
      <c r="AV26" s="25">
        <v>7.0000000000000007E-2</v>
      </c>
      <c r="AW26" s="34">
        <v>2.2000000000000002</v>
      </c>
      <c r="AX26" s="35">
        <v>22</v>
      </c>
      <c r="AY26" s="25">
        <v>56.01</v>
      </c>
      <c r="AZ26" s="25">
        <v>1.65</v>
      </c>
      <c r="BA26" s="34">
        <v>10</v>
      </c>
      <c r="BB26" s="24">
        <v>4280</v>
      </c>
      <c r="BC26" s="48"/>
      <c r="BD26" s="49"/>
      <c r="BE26" s="50"/>
      <c r="BF26" s="51"/>
      <c r="BG26" s="49"/>
      <c r="BH26" s="49"/>
      <c r="BI26" s="49"/>
      <c r="BJ26" s="24">
        <v>400093</v>
      </c>
      <c r="BK26" s="33">
        <v>8.1000000000000003E-2</v>
      </c>
      <c r="BL26" s="25">
        <v>7.0000000000000007E-2</v>
      </c>
      <c r="BM26" s="25">
        <v>2.2000000000000002</v>
      </c>
      <c r="BN26" s="35">
        <v>22</v>
      </c>
      <c r="BO26" s="25">
        <v>56.55</v>
      </c>
      <c r="BP26" s="25">
        <v>1.46</v>
      </c>
      <c r="BQ26" s="25">
        <v>9.8000000000000007</v>
      </c>
      <c r="BR26" s="24">
        <v>510730</v>
      </c>
      <c r="BS26" s="33">
        <v>0.08</v>
      </c>
      <c r="BT26" s="25">
        <v>7.0000000000000007E-2</v>
      </c>
      <c r="BU26" s="34">
        <v>2.2999999999999998</v>
      </c>
      <c r="BV26" s="35">
        <v>23</v>
      </c>
      <c r="BW26" s="25">
        <v>56.8</v>
      </c>
      <c r="BX26" s="25">
        <v>1.54</v>
      </c>
      <c r="BY26" s="25">
        <v>9.4</v>
      </c>
      <c r="BZ26" s="24">
        <v>26023</v>
      </c>
      <c r="CA26" s="33">
        <v>0.108</v>
      </c>
      <c r="CB26" s="25">
        <v>0.08</v>
      </c>
      <c r="CC26" s="34">
        <v>2.5</v>
      </c>
      <c r="CD26" s="35">
        <v>25</v>
      </c>
      <c r="CE26" s="25">
        <v>57.5</v>
      </c>
      <c r="CF26" s="25">
        <v>1.64</v>
      </c>
      <c r="CG26" s="25">
        <v>8.1999999999999993</v>
      </c>
      <c r="CH26" s="42"/>
      <c r="CI26" s="49"/>
      <c r="CJ26" s="49"/>
      <c r="CK26" s="49"/>
      <c r="CL26" s="49"/>
      <c r="CM26" s="49"/>
      <c r="CN26" s="49"/>
      <c r="CO26" s="49"/>
      <c r="CP26" s="24">
        <v>1164563</v>
      </c>
      <c r="CQ26" s="33">
        <v>7.0000000000000007E-2</v>
      </c>
      <c r="CR26" s="25">
        <v>0.04</v>
      </c>
      <c r="CS26" s="34">
        <v>2.2000000000000002</v>
      </c>
      <c r="CT26" s="35">
        <v>22</v>
      </c>
      <c r="CU26" s="25">
        <v>52.3</v>
      </c>
      <c r="CV26" s="25">
        <v>1.35</v>
      </c>
      <c r="CW26" s="24">
        <v>961820</v>
      </c>
      <c r="CX26" s="33">
        <v>0.06</v>
      </c>
      <c r="CY26" s="25">
        <v>0.05</v>
      </c>
      <c r="CZ26" s="34">
        <v>2.2000000000000002</v>
      </c>
      <c r="DA26" s="35">
        <v>22</v>
      </c>
      <c r="DB26" s="25">
        <v>52.5</v>
      </c>
      <c r="DC26" s="25">
        <v>1.2</v>
      </c>
      <c r="DD26" s="42"/>
      <c r="DE26" s="49"/>
      <c r="DF26" s="49"/>
      <c r="DG26" s="49"/>
      <c r="DH26" s="49"/>
      <c r="DI26" s="49"/>
      <c r="DJ26" s="49"/>
      <c r="DK26" s="49"/>
      <c r="DL26" s="56"/>
      <c r="DM26" s="24">
        <v>32951</v>
      </c>
      <c r="DN26" s="33">
        <v>0.105</v>
      </c>
      <c r="DO26" s="25">
        <v>0.06</v>
      </c>
      <c r="DP26" s="34">
        <v>2.4</v>
      </c>
      <c r="DQ26" s="35">
        <v>24</v>
      </c>
      <c r="DR26" s="25">
        <v>58.9</v>
      </c>
      <c r="DS26" s="25"/>
      <c r="DT26" s="25">
        <v>7.6</v>
      </c>
      <c r="DU26" s="57"/>
      <c r="DV26" s="49"/>
      <c r="DW26" s="49"/>
      <c r="DX26" s="49"/>
      <c r="DY26" s="49"/>
      <c r="DZ26" s="49"/>
      <c r="EA26" s="49"/>
      <c r="EB26" s="49"/>
      <c r="EC26" s="49"/>
      <c r="ED26" s="56"/>
      <c r="EE26" s="42"/>
      <c r="EF26" s="49"/>
      <c r="EG26" s="49"/>
      <c r="EH26" s="49"/>
      <c r="EI26" s="49"/>
      <c r="EJ26" s="49"/>
      <c r="EK26" s="49"/>
      <c r="EL26" s="49"/>
      <c r="EM26" s="58"/>
      <c r="EN26" s="39"/>
      <c r="EO26" s="40">
        <f t="shared" si="4"/>
        <v>46102</v>
      </c>
      <c r="EP26" s="40">
        <v>45978</v>
      </c>
      <c r="EQ26" s="40">
        <v>46074</v>
      </c>
      <c r="ER26" s="40" t="s">
        <v>70</v>
      </c>
      <c r="ES26" s="40">
        <v>45930</v>
      </c>
      <c r="ET26" s="40">
        <v>46055</v>
      </c>
      <c r="EU26" s="40" t="s">
        <v>71</v>
      </c>
      <c r="EV26" s="40">
        <v>45992</v>
      </c>
      <c r="EW26" s="40">
        <v>46097</v>
      </c>
      <c r="EX26" s="40" t="s">
        <v>71</v>
      </c>
      <c r="EY26" s="40">
        <v>45688</v>
      </c>
      <c r="EZ26" s="40">
        <v>46077</v>
      </c>
      <c r="FA26" s="40">
        <v>46038</v>
      </c>
      <c r="FB26" s="40">
        <v>46055</v>
      </c>
      <c r="FC26" s="40">
        <v>46055</v>
      </c>
      <c r="FD26" s="40">
        <v>46055</v>
      </c>
      <c r="FE26" s="40">
        <v>46037</v>
      </c>
      <c r="FF26" s="40">
        <v>46048</v>
      </c>
      <c r="FG26" s="40">
        <v>46041</v>
      </c>
      <c r="FH26" s="40">
        <v>46044</v>
      </c>
      <c r="FI26" s="40">
        <v>46044</v>
      </c>
      <c r="FJ26" s="40">
        <v>46047</v>
      </c>
      <c r="FK26" s="40">
        <v>46047</v>
      </c>
      <c r="FL26" s="40">
        <v>46056</v>
      </c>
      <c r="FM26" s="40">
        <v>46056</v>
      </c>
      <c r="FN26" s="40">
        <v>46056</v>
      </c>
      <c r="FO26" s="40"/>
      <c r="FP26" s="40"/>
      <c r="FQ26" s="40">
        <v>46023</v>
      </c>
      <c r="FR26" s="40">
        <v>46074</v>
      </c>
      <c r="FS26" s="40"/>
      <c r="FT26" s="40">
        <v>46022</v>
      </c>
      <c r="FU26" s="40">
        <v>46077</v>
      </c>
      <c r="FV26" s="40"/>
      <c r="FW26" s="40"/>
      <c r="FX26" s="40"/>
      <c r="FY26" s="40">
        <v>46054</v>
      </c>
      <c r="FZ26" s="40">
        <v>46054</v>
      </c>
      <c r="GA26" s="40"/>
      <c r="GB26" s="40"/>
      <c r="GC26" s="40"/>
      <c r="GD26" s="40"/>
    </row>
    <row r="27" spans="2:186" x14ac:dyDescent="0.35">
      <c r="B27" s="41">
        <f t="shared" si="3"/>
        <v>46103</v>
      </c>
      <c r="C27" s="24">
        <v>2506149</v>
      </c>
      <c r="D27" s="25">
        <v>5.2</v>
      </c>
      <c r="E27" s="25">
        <v>0.27</v>
      </c>
      <c r="F27" s="25">
        <v>1.87</v>
      </c>
      <c r="G27" s="25">
        <v>51.72</v>
      </c>
      <c r="H27" s="25">
        <v>2.74</v>
      </c>
      <c r="I27" s="25">
        <v>2.4500000000000002</v>
      </c>
      <c r="J27" s="25">
        <f t="shared" si="0"/>
        <v>7.9300000000000006</v>
      </c>
      <c r="K27" s="24">
        <v>2577692</v>
      </c>
      <c r="L27" s="25">
        <v>5.28</v>
      </c>
      <c r="M27" s="25">
        <v>0.27</v>
      </c>
      <c r="N27" s="25">
        <v>1.85</v>
      </c>
      <c r="O27" s="25">
        <v>51.89898436964922</v>
      </c>
      <c r="P27" s="25">
        <v>2.58</v>
      </c>
      <c r="Q27" s="25">
        <v>2.4</v>
      </c>
      <c r="R27" s="25">
        <f t="shared" si="1"/>
        <v>7.5600000000000005</v>
      </c>
      <c r="S27" s="26">
        <v>2582218</v>
      </c>
      <c r="T27" s="25">
        <v>5.22</v>
      </c>
      <c r="U27" s="25">
        <v>0.26</v>
      </c>
      <c r="V27" s="25">
        <v>1.65</v>
      </c>
      <c r="W27" s="27">
        <v>51.65</v>
      </c>
      <c r="X27" s="25">
        <v>2.46</v>
      </c>
      <c r="Y27" s="25">
        <v>2.15</v>
      </c>
      <c r="Z27" s="25">
        <f t="shared" si="2"/>
        <v>7.07</v>
      </c>
      <c r="AA27" s="24">
        <v>328064</v>
      </c>
      <c r="AB27" s="25">
        <v>84.88</v>
      </c>
      <c r="AC27" s="25">
        <v>0.31</v>
      </c>
      <c r="AD27" s="24">
        <v>529521</v>
      </c>
      <c r="AE27" s="33">
        <v>0.15</v>
      </c>
      <c r="AF27" s="25">
        <v>7.0000000000000007E-2</v>
      </c>
      <c r="AG27" s="34">
        <v>2.2000000000000002</v>
      </c>
      <c r="AH27" s="35">
        <v>22</v>
      </c>
      <c r="AI27" s="25">
        <v>36.6</v>
      </c>
      <c r="AJ27" s="25"/>
      <c r="AK27" s="25">
        <v>50.2</v>
      </c>
      <c r="AL27" s="24">
        <v>44014</v>
      </c>
      <c r="AM27" s="33">
        <v>0.14099999999999999</v>
      </c>
      <c r="AN27" s="25">
        <v>0.06</v>
      </c>
      <c r="AO27" s="34">
        <v>2.2000000000000002</v>
      </c>
      <c r="AP27" s="35">
        <v>22</v>
      </c>
      <c r="AQ27" s="25">
        <v>35.204000000000008</v>
      </c>
      <c r="AR27" s="25"/>
      <c r="AS27" s="25">
        <v>50</v>
      </c>
      <c r="AT27" s="24">
        <v>498748</v>
      </c>
      <c r="AU27" s="33">
        <v>0.09</v>
      </c>
      <c r="AV27" s="25">
        <v>7.0000000000000007E-2</v>
      </c>
      <c r="AW27" s="34">
        <v>2.2000000000000002</v>
      </c>
      <c r="AX27" s="35">
        <v>22</v>
      </c>
      <c r="AY27" s="25">
        <v>56.01</v>
      </c>
      <c r="AZ27" s="25">
        <v>1.65</v>
      </c>
      <c r="BA27" s="34">
        <v>10</v>
      </c>
      <c r="BB27" s="24">
        <v>4280</v>
      </c>
      <c r="BC27" s="48"/>
      <c r="BD27" s="49"/>
      <c r="BE27" s="50"/>
      <c r="BF27" s="51"/>
      <c r="BG27" s="49"/>
      <c r="BH27" s="49"/>
      <c r="BI27" s="49"/>
      <c r="BJ27" s="24">
        <v>400093</v>
      </c>
      <c r="BK27" s="33">
        <v>8.1000000000000003E-2</v>
      </c>
      <c r="BL27" s="25">
        <v>7.0000000000000007E-2</v>
      </c>
      <c r="BM27" s="25">
        <v>2.2000000000000002</v>
      </c>
      <c r="BN27" s="35">
        <v>22</v>
      </c>
      <c r="BO27" s="25">
        <v>56.55</v>
      </c>
      <c r="BP27" s="25">
        <v>1.46</v>
      </c>
      <c r="BQ27" s="25">
        <v>9.8000000000000007</v>
      </c>
      <c r="BR27" s="24">
        <v>510730</v>
      </c>
      <c r="BS27" s="33">
        <v>0.08</v>
      </c>
      <c r="BT27" s="25">
        <v>7.0000000000000007E-2</v>
      </c>
      <c r="BU27" s="34">
        <v>2.2999999999999998</v>
      </c>
      <c r="BV27" s="35">
        <v>23</v>
      </c>
      <c r="BW27" s="25">
        <v>56.8</v>
      </c>
      <c r="BX27" s="25">
        <v>1.54</v>
      </c>
      <c r="BY27" s="25">
        <v>9.4</v>
      </c>
      <c r="BZ27" s="24">
        <v>26023</v>
      </c>
      <c r="CA27" s="33">
        <v>0.108</v>
      </c>
      <c r="CB27" s="25">
        <v>0.08</v>
      </c>
      <c r="CC27" s="34">
        <v>2.5</v>
      </c>
      <c r="CD27" s="35">
        <v>25</v>
      </c>
      <c r="CE27" s="25">
        <v>57.5</v>
      </c>
      <c r="CF27" s="25">
        <v>1.64</v>
      </c>
      <c r="CG27" s="25">
        <v>8.1999999999999993</v>
      </c>
      <c r="CH27" s="42"/>
      <c r="CI27" s="49"/>
      <c r="CJ27" s="49"/>
      <c r="CK27" s="49"/>
      <c r="CL27" s="49"/>
      <c r="CM27" s="49"/>
      <c r="CN27" s="49"/>
      <c r="CO27" s="49"/>
      <c r="CP27" s="24">
        <v>1164563</v>
      </c>
      <c r="CQ27" s="33">
        <v>7.0000000000000007E-2</v>
      </c>
      <c r="CR27" s="25">
        <v>0.04</v>
      </c>
      <c r="CS27" s="34">
        <v>2.2000000000000002</v>
      </c>
      <c r="CT27" s="35">
        <v>22</v>
      </c>
      <c r="CU27" s="25">
        <v>52.3</v>
      </c>
      <c r="CV27" s="25">
        <v>1.35</v>
      </c>
      <c r="CW27" s="24">
        <v>961820</v>
      </c>
      <c r="CX27" s="33">
        <v>0.06</v>
      </c>
      <c r="CY27" s="25">
        <v>0.05</v>
      </c>
      <c r="CZ27" s="34">
        <v>2.2000000000000002</v>
      </c>
      <c r="DA27" s="35">
        <v>22</v>
      </c>
      <c r="DB27" s="25">
        <v>52.5</v>
      </c>
      <c r="DC27" s="25">
        <v>1.2</v>
      </c>
      <c r="DD27" s="42"/>
      <c r="DE27" s="49"/>
      <c r="DF27" s="49"/>
      <c r="DG27" s="49"/>
      <c r="DH27" s="49"/>
      <c r="DI27" s="49"/>
      <c r="DJ27" s="49"/>
      <c r="DK27" s="49"/>
      <c r="DL27" s="56"/>
      <c r="DM27" s="24">
        <v>32951</v>
      </c>
      <c r="DN27" s="33">
        <v>0.105</v>
      </c>
      <c r="DO27" s="25">
        <v>0.06</v>
      </c>
      <c r="DP27" s="34">
        <v>2.4</v>
      </c>
      <c r="DQ27" s="35">
        <v>24</v>
      </c>
      <c r="DR27" s="25">
        <v>58.9</v>
      </c>
      <c r="DS27" s="25"/>
      <c r="DT27" s="25">
        <v>7.6</v>
      </c>
      <c r="DU27" s="57"/>
      <c r="DV27" s="49"/>
      <c r="DW27" s="49"/>
      <c r="DX27" s="49"/>
      <c r="DY27" s="49"/>
      <c r="DZ27" s="49"/>
      <c r="EA27" s="49"/>
      <c r="EB27" s="49"/>
      <c r="EC27" s="49"/>
      <c r="ED27" s="56"/>
      <c r="EE27" s="42"/>
      <c r="EF27" s="49"/>
      <c r="EG27" s="49"/>
      <c r="EH27" s="49"/>
      <c r="EI27" s="49"/>
      <c r="EJ27" s="49"/>
      <c r="EK27" s="49"/>
      <c r="EL27" s="49"/>
      <c r="EM27" s="58"/>
      <c r="EN27" s="39"/>
      <c r="EO27" s="40">
        <f t="shared" si="4"/>
        <v>46103</v>
      </c>
      <c r="EP27" s="40">
        <v>45978</v>
      </c>
      <c r="EQ27" s="40">
        <v>46074</v>
      </c>
      <c r="ER27" s="40" t="s">
        <v>70</v>
      </c>
      <c r="ES27" s="40">
        <v>45930</v>
      </c>
      <c r="ET27" s="40">
        <v>46055</v>
      </c>
      <c r="EU27" s="40" t="s">
        <v>71</v>
      </c>
      <c r="EV27" s="40">
        <v>45992</v>
      </c>
      <c r="EW27" s="40">
        <v>46097</v>
      </c>
      <c r="EX27" s="40" t="s">
        <v>71</v>
      </c>
      <c r="EY27" s="40">
        <v>45688</v>
      </c>
      <c r="EZ27" s="40">
        <v>46077</v>
      </c>
      <c r="FA27" s="40">
        <v>46038</v>
      </c>
      <c r="FB27" s="40">
        <v>46055</v>
      </c>
      <c r="FC27" s="40">
        <v>46055</v>
      </c>
      <c r="FD27" s="40">
        <v>46055</v>
      </c>
      <c r="FE27" s="40">
        <v>46037</v>
      </c>
      <c r="FF27" s="40">
        <v>46048</v>
      </c>
      <c r="FG27" s="40">
        <v>46041</v>
      </c>
      <c r="FH27" s="40">
        <v>46044</v>
      </c>
      <c r="FI27" s="40">
        <v>46044</v>
      </c>
      <c r="FJ27" s="40">
        <v>46047</v>
      </c>
      <c r="FK27" s="40">
        <v>46047</v>
      </c>
      <c r="FL27" s="40">
        <v>46056</v>
      </c>
      <c r="FM27" s="40">
        <v>46056</v>
      </c>
      <c r="FN27" s="40">
        <v>46056</v>
      </c>
      <c r="FO27" s="40"/>
      <c r="FP27" s="40"/>
      <c r="FQ27" s="40">
        <v>46023</v>
      </c>
      <c r="FR27" s="40">
        <v>46074</v>
      </c>
      <c r="FS27" s="40"/>
      <c r="FT27" s="40">
        <v>46022</v>
      </c>
      <c r="FU27" s="40">
        <v>46077</v>
      </c>
      <c r="FV27" s="40"/>
      <c r="FW27" s="40"/>
      <c r="FX27" s="40"/>
      <c r="FY27" s="40">
        <v>46054</v>
      </c>
      <c r="FZ27" s="40">
        <v>46054</v>
      </c>
      <c r="GA27" s="40"/>
      <c r="GB27" s="40"/>
      <c r="GC27" s="40"/>
      <c r="GD27" s="40"/>
    </row>
    <row r="28" spans="2:186" x14ac:dyDescent="0.35">
      <c r="B28" s="41">
        <f t="shared" si="3"/>
        <v>46104</v>
      </c>
      <c r="C28" s="24">
        <v>2506149</v>
      </c>
      <c r="D28" s="25">
        <v>5.2</v>
      </c>
      <c r="E28" s="25">
        <v>0.27</v>
      </c>
      <c r="F28" s="25">
        <v>1.87</v>
      </c>
      <c r="G28" s="25">
        <v>51.72</v>
      </c>
      <c r="H28" s="25">
        <v>2.74</v>
      </c>
      <c r="I28" s="25">
        <v>2.4500000000000002</v>
      </c>
      <c r="J28" s="25">
        <f t="shared" si="0"/>
        <v>7.9300000000000006</v>
      </c>
      <c r="K28" s="24">
        <v>2577692</v>
      </c>
      <c r="L28" s="25">
        <v>5.28</v>
      </c>
      <c r="M28" s="25">
        <v>0.27</v>
      </c>
      <c r="N28" s="25">
        <v>1.85</v>
      </c>
      <c r="O28" s="25">
        <v>51.89898436964922</v>
      </c>
      <c r="P28" s="25">
        <v>2.58</v>
      </c>
      <c r="Q28" s="25">
        <v>2.4</v>
      </c>
      <c r="R28" s="25">
        <f t="shared" si="1"/>
        <v>7.5600000000000005</v>
      </c>
      <c r="S28" s="26">
        <v>2582218</v>
      </c>
      <c r="T28" s="25">
        <v>5.22</v>
      </c>
      <c r="U28" s="25">
        <v>0.26</v>
      </c>
      <c r="V28" s="25">
        <v>1.65</v>
      </c>
      <c r="W28" s="27">
        <v>51.65</v>
      </c>
      <c r="X28" s="25">
        <v>2.46</v>
      </c>
      <c r="Y28" s="25">
        <v>2.15</v>
      </c>
      <c r="Z28" s="25">
        <f t="shared" si="2"/>
        <v>7.07</v>
      </c>
      <c r="AA28" s="24">
        <v>328064</v>
      </c>
      <c r="AB28" s="25">
        <v>84.88</v>
      </c>
      <c r="AC28" s="25">
        <v>0.31</v>
      </c>
      <c r="AD28" s="24">
        <v>529521</v>
      </c>
      <c r="AE28" s="33">
        <v>0.152</v>
      </c>
      <c r="AF28" s="25">
        <v>7.0000000000000007E-2</v>
      </c>
      <c r="AG28" s="34">
        <v>2.2000000000000002</v>
      </c>
      <c r="AH28" s="35">
        <v>22</v>
      </c>
      <c r="AI28" s="25">
        <v>36.6</v>
      </c>
      <c r="AJ28" s="25"/>
      <c r="AK28" s="25">
        <v>50.2</v>
      </c>
      <c r="AL28" s="24">
        <v>44014</v>
      </c>
      <c r="AM28" s="33">
        <v>0.14299999999999999</v>
      </c>
      <c r="AN28" s="25">
        <v>0.06</v>
      </c>
      <c r="AO28" s="34">
        <v>2.2000000000000002</v>
      </c>
      <c r="AP28" s="35">
        <v>22</v>
      </c>
      <c r="AQ28" s="25">
        <v>35.204000000000008</v>
      </c>
      <c r="AR28" s="25"/>
      <c r="AS28" s="25">
        <v>50</v>
      </c>
      <c r="AT28" s="24">
        <v>498748</v>
      </c>
      <c r="AU28" s="33">
        <v>0.09</v>
      </c>
      <c r="AV28" s="25">
        <v>7.0000000000000007E-2</v>
      </c>
      <c r="AW28" s="34">
        <v>2.2000000000000002</v>
      </c>
      <c r="AX28" s="35">
        <v>22</v>
      </c>
      <c r="AY28" s="25">
        <v>56.01</v>
      </c>
      <c r="AZ28" s="25">
        <v>1.65</v>
      </c>
      <c r="BA28" s="34">
        <v>10</v>
      </c>
      <c r="BB28" s="24">
        <v>4280</v>
      </c>
      <c r="BC28" s="48"/>
      <c r="BD28" s="49"/>
      <c r="BE28" s="50"/>
      <c r="BF28" s="51"/>
      <c r="BG28" s="49"/>
      <c r="BH28" s="49"/>
      <c r="BI28" s="49"/>
      <c r="BJ28" s="24">
        <v>400093</v>
      </c>
      <c r="BK28" s="33">
        <v>8.1000000000000003E-2</v>
      </c>
      <c r="BL28" s="25">
        <v>7.0000000000000007E-2</v>
      </c>
      <c r="BM28" s="25">
        <v>2.2000000000000002</v>
      </c>
      <c r="BN28" s="35">
        <v>22</v>
      </c>
      <c r="BO28" s="25">
        <v>56.55</v>
      </c>
      <c r="BP28" s="25">
        <v>1.46</v>
      </c>
      <c r="BQ28" s="25">
        <v>9.8000000000000007</v>
      </c>
      <c r="BR28" s="24">
        <v>510730</v>
      </c>
      <c r="BS28" s="33">
        <v>0.08</v>
      </c>
      <c r="BT28" s="25">
        <v>7.0000000000000007E-2</v>
      </c>
      <c r="BU28" s="34">
        <v>2.2999999999999998</v>
      </c>
      <c r="BV28" s="35">
        <v>23</v>
      </c>
      <c r="BW28" s="25">
        <v>56.8</v>
      </c>
      <c r="BX28" s="25">
        <v>1.54</v>
      </c>
      <c r="BY28" s="25">
        <v>9.4</v>
      </c>
      <c r="BZ28" s="24">
        <v>26023</v>
      </c>
      <c r="CA28" s="33">
        <v>0.108</v>
      </c>
      <c r="CB28" s="25">
        <v>0.08</v>
      </c>
      <c r="CC28" s="34">
        <v>2.5</v>
      </c>
      <c r="CD28" s="35">
        <v>25</v>
      </c>
      <c r="CE28" s="25">
        <v>57.5</v>
      </c>
      <c r="CF28" s="25">
        <v>1.64</v>
      </c>
      <c r="CG28" s="25">
        <v>8.1999999999999993</v>
      </c>
      <c r="CH28" s="42"/>
      <c r="CI28" s="49"/>
      <c r="CJ28" s="49"/>
      <c r="CK28" s="49"/>
      <c r="CL28" s="49"/>
      <c r="CM28" s="49"/>
      <c r="CN28" s="49"/>
      <c r="CO28" s="49"/>
      <c r="CP28" s="24">
        <v>1164563</v>
      </c>
      <c r="CQ28" s="33">
        <v>7.0000000000000007E-2</v>
      </c>
      <c r="CR28" s="25">
        <v>0.04</v>
      </c>
      <c r="CS28" s="34">
        <v>2.2000000000000002</v>
      </c>
      <c r="CT28" s="35">
        <v>22</v>
      </c>
      <c r="CU28" s="25">
        <v>52.3</v>
      </c>
      <c r="CV28" s="25">
        <v>1.35</v>
      </c>
      <c r="CW28" s="24">
        <v>961820</v>
      </c>
      <c r="CX28" s="33">
        <v>0.06</v>
      </c>
      <c r="CY28" s="25">
        <v>0.05</v>
      </c>
      <c r="CZ28" s="34">
        <v>2.2000000000000002</v>
      </c>
      <c r="DA28" s="35">
        <v>22</v>
      </c>
      <c r="DB28" s="25">
        <v>52.5</v>
      </c>
      <c r="DC28" s="25">
        <v>1.2</v>
      </c>
      <c r="DD28" s="42"/>
      <c r="DE28" s="49"/>
      <c r="DF28" s="49"/>
      <c r="DG28" s="49"/>
      <c r="DH28" s="49"/>
      <c r="DI28" s="49"/>
      <c r="DJ28" s="49"/>
      <c r="DK28" s="49"/>
      <c r="DL28" s="56"/>
      <c r="DM28" s="24">
        <v>32951</v>
      </c>
      <c r="DN28" s="33">
        <v>0.108</v>
      </c>
      <c r="DO28" s="25">
        <v>0.06</v>
      </c>
      <c r="DP28" s="34">
        <v>2.4</v>
      </c>
      <c r="DQ28" s="35">
        <v>24</v>
      </c>
      <c r="DR28" s="25">
        <v>58.9</v>
      </c>
      <c r="DS28" s="25"/>
      <c r="DT28" s="25">
        <v>7.6</v>
      </c>
      <c r="DU28" s="57"/>
      <c r="DV28" s="49"/>
      <c r="DW28" s="49"/>
      <c r="DX28" s="49"/>
      <c r="DY28" s="49"/>
      <c r="DZ28" s="49"/>
      <c r="EA28" s="49"/>
      <c r="EB28" s="49"/>
      <c r="EC28" s="49"/>
      <c r="ED28" s="56"/>
      <c r="EE28" s="42"/>
      <c r="EF28" s="49"/>
      <c r="EG28" s="49"/>
      <c r="EH28" s="49"/>
      <c r="EI28" s="49"/>
      <c r="EJ28" s="49"/>
      <c r="EK28" s="49"/>
      <c r="EL28" s="49"/>
      <c r="EM28" s="58"/>
      <c r="EN28" s="39"/>
      <c r="EO28" s="40">
        <f t="shared" si="4"/>
        <v>46104</v>
      </c>
      <c r="EP28" s="40">
        <v>45978</v>
      </c>
      <c r="EQ28" s="40">
        <v>46074</v>
      </c>
      <c r="ER28" s="40" t="s">
        <v>70</v>
      </c>
      <c r="ES28" s="40">
        <v>45930</v>
      </c>
      <c r="ET28" s="40">
        <v>46055</v>
      </c>
      <c r="EU28" s="40" t="s">
        <v>71</v>
      </c>
      <c r="EV28" s="40">
        <v>45992</v>
      </c>
      <c r="EW28" s="40">
        <v>46097</v>
      </c>
      <c r="EX28" s="40" t="s">
        <v>71</v>
      </c>
      <c r="EY28" s="40">
        <v>45688</v>
      </c>
      <c r="EZ28" s="40">
        <v>46077</v>
      </c>
      <c r="FA28" s="40">
        <v>46038</v>
      </c>
      <c r="FB28" s="40">
        <v>46055</v>
      </c>
      <c r="FC28" s="40">
        <v>46055</v>
      </c>
      <c r="FD28" s="40">
        <v>46055</v>
      </c>
      <c r="FE28" s="40">
        <v>46037</v>
      </c>
      <c r="FF28" s="40">
        <v>46048</v>
      </c>
      <c r="FG28" s="40">
        <v>46041</v>
      </c>
      <c r="FH28" s="40">
        <v>46044</v>
      </c>
      <c r="FI28" s="40">
        <v>46044</v>
      </c>
      <c r="FJ28" s="40">
        <v>46047</v>
      </c>
      <c r="FK28" s="40">
        <v>46047</v>
      </c>
      <c r="FL28" s="40">
        <v>46056</v>
      </c>
      <c r="FM28" s="40">
        <v>46056</v>
      </c>
      <c r="FN28" s="40">
        <v>46056</v>
      </c>
      <c r="FO28" s="40"/>
      <c r="FP28" s="40"/>
      <c r="FQ28" s="40">
        <v>46023</v>
      </c>
      <c r="FR28" s="40">
        <v>46074</v>
      </c>
      <c r="FS28" s="40"/>
      <c r="FT28" s="40">
        <v>46022</v>
      </c>
      <c r="FU28" s="40">
        <v>46077</v>
      </c>
      <c r="FV28" s="40"/>
      <c r="FW28" s="40"/>
      <c r="FX28" s="40"/>
      <c r="FY28" s="40">
        <v>46054</v>
      </c>
      <c r="FZ28" s="40">
        <v>46054</v>
      </c>
      <c r="GA28" s="40"/>
      <c r="GB28" s="40"/>
      <c r="GC28" s="40"/>
      <c r="GD28" s="40"/>
    </row>
    <row r="29" spans="2:186" x14ac:dyDescent="0.35">
      <c r="B29" s="41">
        <f t="shared" si="3"/>
        <v>46105</v>
      </c>
      <c r="C29" s="24">
        <v>2506149</v>
      </c>
      <c r="D29" s="25">
        <v>5.2</v>
      </c>
      <c r="E29" s="25">
        <v>0.27</v>
      </c>
      <c r="F29" s="25">
        <v>1.87</v>
      </c>
      <c r="G29" s="25">
        <v>51.72</v>
      </c>
      <c r="H29" s="25">
        <v>2.74</v>
      </c>
      <c r="I29" s="25">
        <v>2.4500000000000002</v>
      </c>
      <c r="J29" s="25">
        <f t="shared" si="0"/>
        <v>7.9300000000000006</v>
      </c>
      <c r="K29" s="24">
        <v>2577692</v>
      </c>
      <c r="L29" s="25">
        <v>5.28</v>
      </c>
      <c r="M29" s="25">
        <v>0.27</v>
      </c>
      <c r="N29" s="25">
        <v>1.85</v>
      </c>
      <c r="O29" s="25">
        <v>51.89898436964922</v>
      </c>
      <c r="P29" s="25">
        <v>2.58</v>
      </c>
      <c r="Q29" s="25">
        <v>2.4</v>
      </c>
      <c r="R29" s="25">
        <f t="shared" si="1"/>
        <v>7.5600000000000005</v>
      </c>
      <c r="S29" s="26">
        <v>2582218</v>
      </c>
      <c r="T29" s="25">
        <v>5.22</v>
      </c>
      <c r="U29" s="25">
        <v>0.26</v>
      </c>
      <c r="V29" s="25">
        <v>1.65</v>
      </c>
      <c r="W29" s="27">
        <v>51.65</v>
      </c>
      <c r="X29" s="25">
        <v>2.46</v>
      </c>
      <c r="Y29" s="25">
        <v>2.15</v>
      </c>
      <c r="Z29" s="25">
        <f t="shared" si="2"/>
        <v>7.07</v>
      </c>
      <c r="AA29" s="24">
        <v>328064</v>
      </c>
      <c r="AB29" s="25">
        <v>84.88</v>
      </c>
      <c r="AC29" s="25">
        <v>0.31</v>
      </c>
      <c r="AD29" s="24">
        <v>529521</v>
      </c>
      <c r="AE29" s="33">
        <v>0.154</v>
      </c>
      <c r="AF29" s="25">
        <v>7.0000000000000007E-2</v>
      </c>
      <c r="AG29" s="34">
        <v>2.2000000000000002</v>
      </c>
      <c r="AH29" s="35">
        <v>22</v>
      </c>
      <c r="AI29" s="25">
        <v>36.6</v>
      </c>
      <c r="AJ29" s="25"/>
      <c r="AK29" s="25">
        <v>50.2</v>
      </c>
      <c r="AL29" s="24">
        <v>44014</v>
      </c>
      <c r="AM29" s="33">
        <v>0.14499999999999999</v>
      </c>
      <c r="AN29" s="25">
        <v>0.06</v>
      </c>
      <c r="AO29" s="34">
        <v>2.2000000000000002</v>
      </c>
      <c r="AP29" s="35">
        <v>22</v>
      </c>
      <c r="AQ29" s="25">
        <v>35.204000000000008</v>
      </c>
      <c r="AR29" s="25"/>
      <c r="AS29" s="25">
        <v>50</v>
      </c>
      <c r="AT29" s="24">
        <v>498748</v>
      </c>
      <c r="AU29" s="33">
        <v>0.09</v>
      </c>
      <c r="AV29" s="25">
        <v>7.0000000000000007E-2</v>
      </c>
      <c r="AW29" s="34">
        <v>2.2000000000000002</v>
      </c>
      <c r="AX29" s="35">
        <v>22</v>
      </c>
      <c r="AY29" s="25">
        <v>56.01</v>
      </c>
      <c r="AZ29" s="25">
        <v>1.65</v>
      </c>
      <c r="BA29" s="34">
        <v>10</v>
      </c>
      <c r="BB29" s="24">
        <v>4280</v>
      </c>
      <c r="BC29" s="48"/>
      <c r="BD29" s="49"/>
      <c r="BE29" s="50"/>
      <c r="BF29" s="51"/>
      <c r="BG29" s="49"/>
      <c r="BH29" s="49"/>
      <c r="BI29" s="49"/>
      <c r="BJ29" s="24">
        <v>400093</v>
      </c>
      <c r="BK29" s="33">
        <v>8.1000000000000003E-2</v>
      </c>
      <c r="BL29" s="25">
        <v>7.0000000000000007E-2</v>
      </c>
      <c r="BM29" s="25">
        <v>2.2000000000000002</v>
      </c>
      <c r="BN29" s="35">
        <v>22</v>
      </c>
      <c r="BO29" s="25">
        <v>56.55</v>
      </c>
      <c r="BP29" s="25">
        <v>1.46</v>
      </c>
      <c r="BQ29" s="25">
        <v>9.8000000000000007</v>
      </c>
      <c r="BR29" s="24">
        <v>510730</v>
      </c>
      <c r="BS29" s="33">
        <v>0.08</v>
      </c>
      <c r="BT29" s="25">
        <v>7.0000000000000007E-2</v>
      </c>
      <c r="BU29" s="34">
        <v>2.2999999999999998</v>
      </c>
      <c r="BV29" s="35">
        <v>23</v>
      </c>
      <c r="BW29" s="25">
        <v>56.8</v>
      </c>
      <c r="BX29" s="25">
        <v>1.54</v>
      </c>
      <c r="BY29" s="25">
        <v>9.4</v>
      </c>
      <c r="BZ29" s="24">
        <v>26023</v>
      </c>
      <c r="CA29" s="33">
        <v>0.108</v>
      </c>
      <c r="CB29" s="25">
        <v>0.08</v>
      </c>
      <c r="CC29" s="34">
        <v>2.5</v>
      </c>
      <c r="CD29" s="35">
        <v>25</v>
      </c>
      <c r="CE29" s="25">
        <v>57.5</v>
      </c>
      <c r="CF29" s="25">
        <v>1.64</v>
      </c>
      <c r="CG29" s="25">
        <v>8.1999999999999993</v>
      </c>
      <c r="CH29" s="42"/>
      <c r="CI29" s="49"/>
      <c r="CJ29" s="49"/>
      <c r="CK29" s="49"/>
      <c r="CL29" s="49"/>
      <c r="CM29" s="49"/>
      <c r="CN29" s="49"/>
      <c r="CO29" s="49"/>
      <c r="CP29" s="24">
        <v>1164563</v>
      </c>
      <c r="CQ29" s="33">
        <v>7.0000000000000007E-2</v>
      </c>
      <c r="CR29" s="25">
        <v>0.04</v>
      </c>
      <c r="CS29" s="34">
        <v>2.2000000000000002</v>
      </c>
      <c r="CT29" s="35">
        <v>22</v>
      </c>
      <c r="CU29" s="25">
        <v>52.3</v>
      </c>
      <c r="CV29" s="25">
        <v>1.35</v>
      </c>
      <c r="CW29" s="24">
        <v>961820</v>
      </c>
      <c r="CX29" s="33">
        <v>0.06</v>
      </c>
      <c r="CY29" s="25">
        <v>0.05</v>
      </c>
      <c r="CZ29" s="34">
        <v>2.2000000000000002</v>
      </c>
      <c r="DA29" s="35">
        <v>22</v>
      </c>
      <c r="DB29" s="25">
        <v>52.5</v>
      </c>
      <c r="DC29" s="25">
        <v>1.2</v>
      </c>
      <c r="DD29" s="42"/>
      <c r="DE29" s="49"/>
      <c r="DF29" s="49"/>
      <c r="DG29" s="49"/>
      <c r="DH29" s="49"/>
      <c r="DI29" s="49"/>
      <c r="DJ29" s="49"/>
      <c r="DK29" s="49"/>
      <c r="DL29" s="56"/>
      <c r="DM29" s="24">
        <v>32951</v>
      </c>
      <c r="DN29" s="33">
        <v>0.108</v>
      </c>
      <c r="DO29" s="25">
        <v>0.06</v>
      </c>
      <c r="DP29" s="34">
        <v>2.4</v>
      </c>
      <c r="DQ29" s="35">
        <v>24</v>
      </c>
      <c r="DR29" s="25">
        <v>58.9</v>
      </c>
      <c r="DS29" s="25"/>
      <c r="DT29" s="25">
        <v>7.6</v>
      </c>
      <c r="DU29" s="57"/>
      <c r="DV29" s="49"/>
      <c r="DW29" s="49"/>
      <c r="DX29" s="49"/>
      <c r="DY29" s="49"/>
      <c r="DZ29" s="49"/>
      <c r="EA29" s="49"/>
      <c r="EB29" s="49"/>
      <c r="EC29" s="49"/>
      <c r="ED29" s="56"/>
      <c r="EE29" s="42"/>
      <c r="EF29" s="49"/>
      <c r="EG29" s="49"/>
      <c r="EH29" s="49"/>
      <c r="EI29" s="49"/>
      <c r="EJ29" s="49"/>
      <c r="EK29" s="49"/>
      <c r="EL29" s="49"/>
      <c r="EM29" s="58"/>
      <c r="EN29" s="39"/>
      <c r="EO29" s="40">
        <f t="shared" si="4"/>
        <v>46105</v>
      </c>
      <c r="EP29" s="40">
        <v>45978</v>
      </c>
      <c r="EQ29" s="40">
        <v>46074</v>
      </c>
      <c r="ER29" s="40" t="s">
        <v>70</v>
      </c>
      <c r="ES29" s="40">
        <v>45930</v>
      </c>
      <c r="ET29" s="40">
        <v>46055</v>
      </c>
      <c r="EU29" s="40" t="s">
        <v>71</v>
      </c>
      <c r="EV29" s="40">
        <v>45992</v>
      </c>
      <c r="EW29" s="40">
        <v>46097</v>
      </c>
      <c r="EX29" s="40" t="s">
        <v>71</v>
      </c>
      <c r="EY29" s="40">
        <v>45688</v>
      </c>
      <c r="EZ29" s="40">
        <v>46077</v>
      </c>
      <c r="FA29" s="40">
        <v>46038</v>
      </c>
      <c r="FB29" s="40">
        <v>46055</v>
      </c>
      <c r="FC29" s="40">
        <v>46055</v>
      </c>
      <c r="FD29" s="40">
        <v>46055</v>
      </c>
      <c r="FE29" s="40">
        <v>46037</v>
      </c>
      <c r="FF29" s="40">
        <v>46048</v>
      </c>
      <c r="FG29" s="40">
        <v>46041</v>
      </c>
      <c r="FH29" s="40">
        <v>46044</v>
      </c>
      <c r="FI29" s="40">
        <v>46044</v>
      </c>
      <c r="FJ29" s="40">
        <v>46047</v>
      </c>
      <c r="FK29" s="40">
        <v>46047</v>
      </c>
      <c r="FL29" s="40">
        <v>46056</v>
      </c>
      <c r="FM29" s="40">
        <v>46056</v>
      </c>
      <c r="FN29" s="40">
        <v>46056</v>
      </c>
      <c r="FO29" s="40"/>
      <c r="FP29" s="40"/>
      <c r="FQ29" s="40">
        <v>46023</v>
      </c>
      <c r="FR29" s="40">
        <v>46074</v>
      </c>
      <c r="FS29" s="40"/>
      <c r="FT29" s="40">
        <v>46022</v>
      </c>
      <c r="FU29" s="40">
        <v>46077</v>
      </c>
      <c r="FV29" s="40"/>
      <c r="FW29" s="40"/>
      <c r="FX29" s="40"/>
      <c r="FY29" s="40">
        <v>46054</v>
      </c>
      <c r="FZ29" s="40">
        <v>46054</v>
      </c>
      <c r="GA29" s="40"/>
      <c r="GB29" s="40"/>
      <c r="GC29" s="40"/>
      <c r="GD29" s="40"/>
    </row>
    <row r="30" spans="2:186" x14ac:dyDescent="0.35">
      <c r="B30" s="41">
        <f t="shared" si="3"/>
        <v>46106</v>
      </c>
      <c r="C30" s="24">
        <v>2506149</v>
      </c>
      <c r="D30" s="25">
        <v>5.24</v>
      </c>
      <c r="E30" s="25">
        <v>0.27</v>
      </c>
      <c r="F30" s="25">
        <v>1.87</v>
      </c>
      <c r="G30" s="25">
        <v>51.72</v>
      </c>
      <c r="H30" s="25">
        <v>2.8</v>
      </c>
      <c r="I30" s="25">
        <v>2.5</v>
      </c>
      <c r="J30" s="25">
        <f t="shared" si="0"/>
        <v>8.1</v>
      </c>
      <c r="K30" s="24">
        <v>2577692</v>
      </c>
      <c r="L30" s="25">
        <v>5.49</v>
      </c>
      <c r="M30" s="25">
        <v>0.27</v>
      </c>
      <c r="N30" s="25">
        <v>1.85</v>
      </c>
      <c r="O30" s="25">
        <v>51.89898436964922</v>
      </c>
      <c r="P30" s="25">
        <v>2.58</v>
      </c>
      <c r="Q30" s="25">
        <v>2.4</v>
      </c>
      <c r="R30" s="25">
        <f t="shared" si="1"/>
        <v>7.5600000000000005</v>
      </c>
      <c r="S30" s="26">
        <v>2582218</v>
      </c>
      <c r="T30" s="25">
        <v>5.3</v>
      </c>
      <c r="U30" s="25">
        <v>0.26</v>
      </c>
      <c r="V30" s="25">
        <v>1.65</v>
      </c>
      <c r="W30" s="27">
        <v>51.65</v>
      </c>
      <c r="X30" s="25">
        <v>2.5</v>
      </c>
      <c r="Y30" s="25">
        <v>2.2000000000000002</v>
      </c>
      <c r="Z30" s="25">
        <f t="shared" si="2"/>
        <v>7.2</v>
      </c>
      <c r="AA30" s="24">
        <v>328064</v>
      </c>
      <c r="AB30" s="25">
        <v>84.88</v>
      </c>
      <c r="AC30" s="25">
        <v>0.31</v>
      </c>
      <c r="AD30" s="24">
        <v>529521</v>
      </c>
      <c r="AE30" s="33">
        <v>0.156</v>
      </c>
      <c r="AF30" s="25">
        <v>7.0000000000000007E-2</v>
      </c>
      <c r="AG30" s="34">
        <v>2.2000000000000002</v>
      </c>
      <c r="AH30" s="35">
        <v>22</v>
      </c>
      <c r="AI30" s="25">
        <v>36.6</v>
      </c>
      <c r="AJ30" s="25"/>
      <c r="AK30" s="25">
        <v>50.2</v>
      </c>
      <c r="AL30" s="24">
        <v>44014</v>
      </c>
      <c r="AM30" s="33">
        <v>0.14699999999999999</v>
      </c>
      <c r="AN30" s="25">
        <v>0.06</v>
      </c>
      <c r="AO30" s="34">
        <v>2.2000000000000002</v>
      </c>
      <c r="AP30" s="35">
        <v>22</v>
      </c>
      <c r="AQ30" s="25">
        <v>35.204000000000008</v>
      </c>
      <c r="AR30" s="25"/>
      <c r="AS30" s="25">
        <v>50</v>
      </c>
      <c r="AT30" s="24">
        <v>498748</v>
      </c>
      <c r="AU30" s="48">
        <v>9.5000000000000001E-2</v>
      </c>
      <c r="AV30" s="25">
        <v>7.0000000000000007E-2</v>
      </c>
      <c r="AW30" s="34">
        <v>2.2000000000000002</v>
      </c>
      <c r="AX30" s="35">
        <v>22</v>
      </c>
      <c r="AY30" s="25">
        <v>56.01</v>
      </c>
      <c r="AZ30" s="25">
        <v>2.06</v>
      </c>
      <c r="BA30" s="34">
        <v>10</v>
      </c>
      <c r="BB30" s="24">
        <v>4280</v>
      </c>
      <c r="BC30" s="48"/>
      <c r="BD30" s="49"/>
      <c r="BE30" s="50"/>
      <c r="BF30" s="51"/>
      <c r="BG30" s="49"/>
      <c r="BH30" s="49"/>
      <c r="BI30" s="49"/>
      <c r="BJ30" s="24">
        <v>400093</v>
      </c>
      <c r="BK30" s="33">
        <v>8.5999999999999993E-2</v>
      </c>
      <c r="BL30" s="25">
        <v>7.0000000000000007E-2</v>
      </c>
      <c r="BM30" s="25">
        <v>2.2000000000000002</v>
      </c>
      <c r="BN30" s="35">
        <v>22</v>
      </c>
      <c r="BO30" s="25">
        <v>56.55</v>
      </c>
      <c r="BP30" s="25">
        <v>1.64</v>
      </c>
      <c r="BQ30" s="25">
        <v>9.8000000000000007</v>
      </c>
      <c r="BR30" s="24">
        <v>510730</v>
      </c>
      <c r="BS30" s="33">
        <v>8.1000000000000003E-2</v>
      </c>
      <c r="BT30" s="25">
        <v>7.0000000000000007E-2</v>
      </c>
      <c r="BU30" s="34">
        <v>2.2999999999999998</v>
      </c>
      <c r="BV30" s="35">
        <v>23</v>
      </c>
      <c r="BW30" s="25">
        <v>56.8</v>
      </c>
      <c r="BX30" s="25">
        <v>1.6</v>
      </c>
      <c r="BY30" s="25">
        <v>9.4</v>
      </c>
      <c r="BZ30" s="24">
        <v>26023</v>
      </c>
      <c r="CA30" s="33">
        <v>0.13900000000000001</v>
      </c>
      <c r="CB30" s="25">
        <v>0.08</v>
      </c>
      <c r="CC30" s="34">
        <v>2.6</v>
      </c>
      <c r="CD30" s="35">
        <v>26</v>
      </c>
      <c r="CE30" s="25">
        <v>57.5</v>
      </c>
      <c r="CF30" s="25">
        <v>1.7</v>
      </c>
      <c r="CG30" s="25">
        <v>8.1999999999999993</v>
      </c>
      <c r="CH30" s="42"/>
      <c r="CI30" s="49"/>
      <c r="CJ30" s="49"/>
      <c r="CK30" s="49"/>
      <c r="CL30" s="49"/>
      <c r="CM30" s="49"/>
      <c r="CN30" s="49"/>
      <c r="CO30" s="49"/>
      <c r="CP30" s="24">
        <v>1164563</v>
      </c>
      <c r="CQ30" s="33">
        <v>7.0000000000000007E-2</v>
      </c>
      <c r="CR30" s="25">
        <v>0.04</v>
      </c>
      <c r="CS30" s="34">
        <v>2.2000000000000002</v>
      </c>
      <c r="CT30" s="35">
        <v>22</v>
      </c>
      <c r="CU30" s="25">
        <v>52.3</v>
      </c>
      <c r="CV30" s="25">
        <v>1.5</v>
      </c>
      <c r="CW30" s="24">
        <v>961820</v>
      </c>
      <c r="CX30" s="33">
        <v>0.06</v>
      </c>
      <c r="CY30" s="25">
        <v>0.05</v>
      </c>
      <c r="CZ30" s="34">
        <v>2.2000000000000002</v>
      </c>
      <c r="DA30" s="35">
        <v>22</v>
      </c>
      <c r="DB30" s="25">
        <v>52.5</v>
      </c>
      <c r="DC30" s="25">
        <v>1.64</v>
      </c>
      <c r="DD30" s="42"/>
      <c r="DE30" s="49"/>
      <c r="DF30" s="49"/>
      <c r="DG30" s="49"/>
      <c r="DH30" s="49"/>
      <c r="DI30" s="49"/>
      <c r="DJ30" s="49"/>
      <c r="DK30" s="49"/>
      <c r="DL30" s="56"/>
      <c r="DM30" s="24">
        <v>32951</v>
      </c>
      <c r="DN30" s="33">
        <v>0.108</v>
      </c>
      <c r="DO30" s="25">
        <v>0.06</v>
      </c>
      <c r="DP30" s="34">
        <v>2.4</v>
      </c>
      <c r="DQ30" s="35">
        <v>24</v>
      </c>
      <c r="DR30" s="25">
        <v>58.9</v>
      </c>
      <c r="DS30" s="25"/>
      <c r="DT30" s="25">
        <v>7.6</v>
      </c>
      <c r="DU30" s="57"/>
      <c r="DV30" s="49"/>
      <c r="DW30" s="49"/>
      <c r="DX30" s="49"/>
      <c r="DY30" s="49"/>
      <c r="DZ30" s="49"/>
      <c r="EA30" s="49"/>
      <c r="EB30" s="49"/>
      <c r="EC30" s="49"/>
      <c r="ED30" s="56"/>
      <c r="EE30" s="42"/>
      <c r="EF30" s="49"/>
      <c r="EG30" s="49"/>
      <c r="EH30" s="49"/>
      <c r="EI30" s="49"/>
      <c r="EJ30" s="49"/>
      <c r="EK30" s="49"/>
      <c r="EL30" s="49"/>
      <c r="EM30" s="58"/>
      <c r="EN30" s="39"/>
      <c r="EO30" s="40">
        <f t="shared" si="4"/>
        <v>46106</v>
      </c>
      <c r="EP30" s="40">
        <v>45978</v>
      </c>
      <c r="EQ30" s="40">
        <v>46074</v>
      </c>
      <c r="ER30" s="40" t="s">
        <v>70</v>
      </c>
      <c r="ES30" s="40">
        <v>45930</v>
      </c>
      <c r="ET30" s="40">
        <v>46055</v>
      </c>
      <c r="EU30" s="40" t="s">
        <v>71</v>
      </c>
      <c r="EV30" s="40">
        <v>45992</v>
      </c>
      <c r="EW30" s="40">
        <v>46097</v>
      </c>
      <c r="EX30" s="40" t="s">
        <v>71</v>
      </c>
      <c r="EY30" s="40">
        <v>45688</v>
      </c>
      <c r="EZ30" s="40">
        <v>46077</v>
      </c>
      <c r="FA30" s="40">
        <v>46038</v>
      </c>
      <c r="FB30" s="40">
        <v>46055</v>
      </c>
      <c r="FC30" s="40">
        <v>46055</v>
      </c>
      <c r="FD30" s="40">
        <v>46055</v>
      </c>
      <c r="FE30" s="40">
        <v>46037</v>
      </c>
      <c r="FF30" s="40">
        <v>46048</v>
      </c>
      <c r="FG30" s="40">
        <v>46041</v>
      </c>
      <c r="FH30" s="40">
        <v>46044</v>
      </c>
      <c r="FI30" s="40">
        <v>46044</v>
      </c>
      <c r="FJ30" s="40">
        <v>46047</v>
      </c>
      <c r="FK30" s="40">
        <v>46047</v>
      </c>
      <c r="FL30" s="40">
        <v>46056</v>
      </c>
      <c r="FM30" s="40">
        <v>46056</v>
      </c>
      <c r="FN30" s="40">
        <v>46056</v>
      </c>
      <c r="FO30" s="40"/>
      <c r="FP30" s="40"/>
      <c r="FQ30" s="40">
        <v>46023</v>
      </c>
      <c r="FR30" s="40">
        <v>46074</v>
      </c>
      <c r="FS30" s="40"/>
      <c r="FT30" s="40">
        <v>46022</v>
      </c>
      <c r="FU30" s="40">
        <v>46077</v>
      </c>
      <c r="FV30" s="40"/>
      <c r="FW30" s="40"/>
      <c r="FX30" s="40"/>
      <c r="FY30" s="40">
        <v>46054</v>
      </c>
      <c r="FZ30" s="40">
        <v>46054</v>
      </c>
      <c r="GA30" s="40"/>
      <c r="GB30" s="40"/>
      <c r="GC30" s="40"/>
      <c r="GD30" s="40"/>
    </row>
    <row r="31" spans="2:186" x14ac:dyDescent="0.35">
      <c r="B31" s="41">
        <f t="shared" si="3"/>
        <v>46107</v>
      </c>
      <c r="C31" s="24">
        <v>2506149</v>
      </c>
      <c r="D31" s="25">
        <v>5.24</v>
      </c>
      <c r="E31" s="25">
        <v>0.27</v>
      </c>
      <c r="F31" s="25">
        <v>1.87</v>
      </c>
      <c r="G31" s="25">
        <v>51.72</v>
      </c>
      <c r="H31" s="25">
        <v>2.8</v>
      </c>
      <c r="I31" s="25">
        <v>2.5</v>
      </c>
      <c r="J31" s="25">
        <f t="shared" si="0"/>
        <v>8.1</v>
      </c>
      <c r="K31" s="24">
        <v>2577692</v>
      </c>
      <c r="L31" s="25">
        <v>5.51</v>
      </c>
      <c r="M31" s="25">
        <v>0.27</v>
      </c>
      <c r="N31" s="25">
        <v>1.85</v>
      </c>
      <c r="O31" s="25">
        <v>51.89898436964922</v>
      </c>
      <c r="P31" s="25">
        <v>2.58</v>
      </c>
      <c r="Q31" s="25">
        <v>2.4</v>
      </c>
      <c r="R31" s="25">
        <f t="shared" si="1"/>
        <v>7.5600000000000005</v>
      </c>
      <c r="S31" s="26">
        <v>2582218</v>
      </c>
      <c r="T31" s="25">
        <v>5.3</v>
      </c>
      <c r="U31" s="25">
        <v>0.26</v>
      </c>
      <c r="V31" s="25">
        <v>1.65</v>
      </c>
      <c r="W31" s="27">
        <v>51.65</v>
      </c>
      <c r="X31" s="25">
        <v>2.5</v>
      </c>
      <c r="Y31" s="25">
        <v>2.2000000000000002</v>
      </c>
      <c r="Z31" s="25">
        <f t="shared" si="2"/>
        <v>7.2</v>
      </c>
      <c r="AA31" s="24">
        <v>328064</v>
      </c>
      <c r="AB31" s="25">
        <v>84.88</v>
      </c>
      <c r="AC31" s="25">
        <v>0.31</v>
      </c>
      <c r="AD31" s="24">
        <v>529521</v>
      </c>
      <c r="AE31" s="33">
        <v>0.158</v>
      </c>
      <c r="AF31" s="25">
        <v>7.0000000000000007E-2</v>
      </c>
      <c r="AG31" s="34">
        <v>2.2000000000000002</v>
      </c>
      <c r="AH31" s="35">
        <v>22</v>
      </c>
      <c r="AI31" s="25">
        <v>36.6</v>
      </c>
      <c r="AJ31" s="25"/>
      <c r="AK31" s="25">
        <v>50.2</v>
      </c>
      <c r="AL31" s="24">
        <v>44014</v>
      </c>
      <c r="AM31" s="33">
        <v>0.14899999999999999</v>
      </c>
      <c r="AN31" s="25">
        <v>0.06</v>
      </c>
      <c r="AO31" s="34">
        <v>2.2000000000000002</v>
      </c>
      <c r="AP31" s="35">
        <v>22</v>
      </c>
      <c r="AQ31" s="25">
        <v>35.204000000000008</v>
      </c>
      <c r="AR31" s="25"/>
      <c r="AS31" s="25">
        <v>50</v>
      </c>
      <c r="AT31" s="24">
        <v>498748</v>
      </c>
      <c r="AU31" s="48">
        <v>9.5000000000000001E-2</v>
      </c>
      <c r="AV31" s="25">
        <v>7.0000000000000007E-2</v>
      </c>
      <c r="AW31" s="34">
        <v>2.2000000000000002</v>
      </c>
      <c r="AX31" s="35">
        <v>22</v>
      </c>
      <c r="AY31" s="25">
        <v>56.01</v>
      </c>
      <c r="AZ31" s="25">
        <v>2.06</v>
      </c>
      <c r="BA31" s="34">
        <v>10</v>
      </c>
      <c r="BB31" s="24">
        <v>4280</v>
      </c>
      <c r="BC31" s="48"/>
      <c r="BD31" s="49"/>
      <c r="BE31" s="50"/>
      <c r="BF31" s="51"/>
      <c r="BG31" s="49"/>
      <c r="BH31" s="49"/>
      <c r="BI31" s="49"/>
      <c r="BJ31" s="24">
        <v>294983</v>
      </c>
      <c r="BK31" s="33">
        <v>8.5999999999999993E-2</v>
      </c>
      <c r="BL31" s="25">
        <v>7.0000000000000007E-2</v>
      </c>
      <c r="BM31" s="25">
        <v>2.2000000000000002</v>
      </c>
      <c r="BN31" s="35">
        <v>22</v>
      </c>
      <c r="BO31" s="25">
        <v>56.55</v>
      </c>
      <c r="BP31" s="25">
        <v>1.64</v>
      </c>
      <c r="BQ31" s="25">
        <v>9.8000000000000007</v>
      </c>
      <c r="BR31" s="24">
        <v>510730</v>
      </c>
      <c r="BS31" s="33">
        <v>8.1000000000000003E-2</v>
      </c>
      <c r="BT31" s="25">
        <v>7.0000000000000007E-2</v>
      </c>
      <c r="BU31" s="34">
        <v>2.2999999999999998</v>
      </c>
      <c r="BV31" s="35">
        <v>23</v>
      </c>
      <c r="BW31" s="25">
        <v>56.8</v>
      </c>
      <c r="BX31" s="25">
        <v>1.6</v>
      </c>
      <c r="BY31" s="25">
        <v>9.4</v>
      </c>
      <c r="BZ31" s="24">
        <v>26023</v>
      </c>
      <c r="CA31" s="33">
        <v>0.14099999999999999</v>
      </c>
      <c r="CB31" s="25">
        <v>0.08</v>
      </c>
      <c r="CC31" s="34">
        <v>2.6</v>
      </c>
      <c r="CD31" s="35">
        <v>26</v>
      </c>
      <c r="CE31" s="25">
        <v>57.5</v>
      </c>
      <c r="CF31" s="25">
        <v>1.7</v>
      </c>
      <c r="CG31" s="25">
        <v>8.1999999999999993</v>
      </c>
      <c r="CH31" s="42"/>
      <c r="CI31" s="49"/>
      <c r="CJ31" s="49"/>
      <c r="CK31" s="49"/>
      <c r="CL31" s="49"/>
      <c r="CM31" s="49"/>
      <c r="CN31" s="49"/>
      <c r="CO31" s="49"/>
      <c r="CP31" s="24">
        <v>1164563</v>
      </c>
      <c r="CQ31" s="33">
        <v>7.2999999999999995E-2</v>
      </c>
      <c r="CR31" s="25">
        <v>0.04</v>
      </c>
      <c r="CS31" s="34">
        <v>2.2000000000000002</v>
      </c>
      <c r="CT31" s="35">
        <v>22</v>
      </c>
      <c r="CU31" s="25">
        <v>52.3</v>
      </c>
      <c r="CV31" s="25">
        <v>1.5</v>
      </c>
      <c r="CW31" s="24">
        <v>961820</v>
      </c>
      <c r="CX31" s="33">
        <v>0.06</v>
      </c>
      <c r="CY31" s="25">
        <v>0.05</v>
      </c>
      <c r="CZ31" s="34">
        <v>2.2000000000000002</v>
      </c>
      <c r="DA31" s="35">
        <v>22</v>
      </c>
      <c r="DB31" s="25">
        <v>52.5</v>
      </c>
      <c r="DC31" s="25">
        <v>1.64</v>
      </c>
      <c r="DD31" s="42"/>
      <c r="DE31" s="49"/>
      <c r="DF31" s="49"/>
      <c r="DG31" s="49"/>
      <c r="DH31" s="49"/>
      <c r="DI31" s="49"/>
      <c r="DJ31" s="49"/>
      <c r="DK31" s="49"/>
      <c r="DL31" s="56"/>
      <c r="DM31" s="24">
        <v>32951</v>
      </c>
      <c r="DN31" s="33">
        <v>0.108</v>
      </c>
      <c r="DO31" s="25">
        <v>0.06</v>
      </c>
      <c r="DP31" s="34">
        <v>2.4</v>
      </c>
      <c r="DQ31" s="35">
        <v>24</v>
      </c>
      <c r="DR31" s="25">
        <v>58.9</v>
      </c>
      <c r="DS31" s="25"/>
      <c r="DT31" s="25">
        <v>7.6</v>
      </c>
      <c r="DU31" s="57"/>
      <c r="DV31" s="49"/>
      <c r="DW31" s="49"/>
      <c r="DX31" s="49"/>
      <c r="DY31" s="49"/>
      <c r="DZ31" s="49"/>
      <c r="EA31" s="49"/>
      <c r="EB31" s="49"/>
      <c r="EC31" s="49"/>
      <c r="ED31" s="56"/>
      <c r="EE31" s="42"/>
      <c r="EF31" s="49"/>
      <c r="EG31" s="49"/>
      <c r="EH31" s="49"/>
      <c r="EI31" s="49"/>
      <c r="EJ31" s="49"/>
      <c r="EK31" s="49"/>
      <c r="EL31" s="49"/>
      <c r="EM31" s="58"/>
      <c r="EN31" s="39"/>
      <c r="EO31" s="40">
        <f t="shared" si="4"/>
        <v>46107</v>
      </c>
      <c r="EP31" s="40">
        <v>45978</v>
      </c>
      <c r="EQ31" s="40">
        <v>46074</v>
      </c>
      <c r="ER31" s="40" t="s">
        <v>70</v>
      </c>
      <c r="ES31" s="40">
        <v>45930</v>
      </c>
      <c r="ET31" s="40">
        <v>46055</v>
      </c>
      <c r="EU31" s="40" t="s">
        <v>71</v>
      </c>
      <c r="EV31" s="40">
        <v>45992</v>
      </c>
      <c r="EW31" s="40">
        <v>46097</v>
      </c>
      <c r="EX31" s="40" t="s">
        <v>71</v>
      </c>
      <c r="EY31" s="40">
        <v>45688</v>
      </c>
      <c r="EZ31" s="40">
        <v>46077</v>
      </c>
      <c r="FA31" s="40">
        <v>46038</v>
      </c>
      <c r="FB31" s="40">
        <v>46055</v>
      </c>
      <c r="FC31" s="40">
        <v>46055</v>
      </c>
      <c r="FD31" s="40">
        <v>46055</v>
      </c>
      <c r="FE31" s="40">
        <v>46037</v>
      </c>
      <c r="FF31" s="40">
        <v>46048</v>
      </c>
      <c r="FG31" s="40">
        <v>46041</v>
      </c>
      <c r="FH31" s="40">
        <v>46044</v>
      </c>
      <c r="FI31" s="40">
        <v>46044</v>
      </c>
      <c r="FJ31" s="40">
        <v>46047</v>
      </c>
      <c r="FK31" s="40">
        <v>46047</v>
      </c>
      <c r="FL31" s="40">
        <v>46056</v>
      </c>
      <c r="FM31" s="40">
        <v>46056</v>
      </c>
      <c r="FN31" s="40">
        <v>46056</v>
      </c>
      <c r="FO31" s="40"/>
      <c r="FP31" s="40"/>
      <c r="FQ31" s="40">
        <v>46023</v>
      </c>
      <c r="FR31" s="40">
        <v>46074</v>
      </c>
      <c r="FS31" s="40"/>
      <c r="FT31" s="40">
        <v>46022</v>
      </c>
      <c r="FU31" s="40">
        <v>46077</v>
      </c>
      <c r="FV31" s="40"/>
      <c r="FW31" s="40"/>
      <c r="FX31" s="40"/>
      <c r="FY31" s="40">
        <v>46054</v>
      </c>
      <c r="FZ31" s="40">
        <v>46054</v>
      </c>
      <c r="GA31" s="40"/>
      <c r="GB31" s="40"/>
      <c r="GC31" s="40"/>
      <c r="GD31" s="40"/>
    </row>
    <row r="32" spans="2:186" x14ac:dyDescent="0.35">
      <c r="B32" s="41">
        <f t="shared" si="3"/>
        <v>46108</v>
      </c>
      <c r="C32" s="24">
        <v>2506149</v>
      </c>
      <c r="D32" s="25">
        <v>5.24</v>
      </c>
      <c r="E32" s="25">
        <v>0.27</v>
      </c>
      <c r="F32" s="25">
        <v>1.87</v>
      </c>
      <c r="G32" s="25">
        <v>51.72</v>
      </c>
      <c r="H32" s="25">
        <v>2.8</v>
      </c>
      <c r="I32" s="25">
        <v>2.5</v>
      </c>
      <c r="J32" s="25">
        <f t="shared" si="0"/>
        <v>8.1</v>
      </c>
      <c r="K32" s="24">
        <v>2577692</v>
      </c>
      <c r="L32" s="25">
        <v>5.51</v>
      </c>
      <c r="M32" s="25">
        <v>0.27</v>
      </c>
      <c r="N32" s="25">
        <v>1.85</v>
      </c>
      <c r="O32" s="25">
        <v>51.89898436964922</v>
      </c>
      <c r="P32" s="25">
        <v>2.58</v>
      </c>
      <c r="Q32" s="25">
        <v>2.4</v>
      </c>
      <c r="R32" s="25">
        <f t="shared" si="1"/>
        <v>7.5600000000000005</v>
      </c>
      <c r="S32" s="26">
        <v>2582218</v>
      </c>
      <c r="T32" s="25">
        <v>5.3</v>
      </c>
      <c r="U32" s="25">
        <v>0.26</v>
      </c>
      <c r="V32" s="25">
        <v>1.65</v>
      </c>
      <c r="W32" s="27">
        <v>51.65</v>
      </c>
      <c r="X32" s="25">
        <v>2.5</v>
      </c>
      <c r="Y32" s="25">
        <v>2.2000000000000002</v>
      </c>
      <c r="Z32" s="25">
        <f t="shared" si="2"/>
        <v>7.2</v>
      </c>
      <c r="AA32" s="24">
        <v>328064</v>
      </c>
      <c r="AB32" s="25">
        <v>84.88</v>
      </c>
      <c r="AC32" s="25">
        <v>0.31</v>
      </c>
      <c r="AD32" s="24">
        <v>529521</v>
      </c>
      <c r="AE32" s="33">
        <v>0.16</v>
      </c>
      <c r="AF32" s="25">
        <v>7.0000000000000007E-2</v>
      </c>
      <c r="AG32" s="34">
        <v>2.2000000000000002</v>
      </c>
      <c r="AH32" s="35">
        <v>22</v>
      </c>
      <c r="AI32" s="25">
        <v>36.6</v>
      </c>
      <c r="AJ32" s="25"/>
      <c r="AK32" s="25">
        <v>50.2</v>
      </c>
      <c r="AL32" s="24">
        <v>44014</v>
      </c>
      <c r="AM32" s="33">
        <v>0.14899999999999999</v>
      </c>
      <c r="AN32" s="25">
        <v>0.06</v>
      </c>
      <c r="AO32" s="34">
        <v>2.2000000000000002</v>
      </c>
      <c r="AP32" s="35">
        <v>22</v>
      </c>
      <c r="AQ32" s="25">
        <v>35.204000000000008</v>
      </c>
      <c r="AR32" s="25"/>
      <c r="AS32" s="25">
        <v>50</v>
      </c>
      <c r="AT32" s="24">
        <v>498748</v>
      </c>
      <c r="AU32" s="48">
        <v>9.5000000000000001E-2</v>
      </c>
      <c r="AV32" s="25">
        <v>7.0000000000000007E-2</v>
      </c>
      <c r="AW32" s="34">
        <v>2.2000000000000002</v>
      </c>
      <c r="AX32" s="35">
        <v>22</v>
      </c>
      <c r="AY32" s="25">
        <v>56.01</v>
      </c>
      <c r="AZ32" s="25">
        <v>2.06</v>
      </c>
      <c r="BA32" s="34">
        <v>10</v>
      </c>
      <c r="BB32" s="24">
        <v>4280</v>
      </c>
      <c r="BC32" s="48"/>
      <c r="BD32" s="49"/>
      <c r="BE32" s="50"/>
      <c r="BF32" s="51"/>
      <c r="BG32" s="49"/>
      <c r="BH32" s="49"/>
      <c r="BI32" s="49"/>
      <c r="BJ32" s="24">
        <v>251823</v>
      </c>
      <c r="BK32" s="33">
        <v>8.5999999999999993E-2</v>
      </c>
      <c r="BL32" s="25">
        <v>7.0000000000000007E-2</v>
      </c>
      <c r="BM32" s="25">
        <v>2.2000000000000002</v>
      </c>
      <c r="BN32" s="35">
        <v>22</v>
      </c>
      <c r="BO32" s="25">
        <v>56.55</v>
      </c>
      <c r="BP32" s="25">
        <v>1.64</v>
      </c>
      <c r="BQ32" s="25">
        <v>9.8000000000000007</v>
      </c>
      <c r="BR32" s="24">
        <v>510730</v>
      </c>
      <c r="BS32" s="33">
        <v>8.1000000000000003E-2</v>
      </c>
      <c r="BT32" s="25">
        <v>7.0000000000000007E-2</v>
      </c>
      <c r="BU32" s="34">
        <v>2.2999999999999998</v>
      </c>
      <c r="BV32" s="35">
        <v>23</v>
      </c>
      <c r="BW32" s="25">
        <v>56.8</v>
      </c>
      <c r="BX32" s="25">
        <v>1.6</v>
      </c>
      <c r="BY32" s="25">
        <v>9.4</v>
      </c>
      <c r="BZ32" s="24">
        <v>26023</v>
      </c>
      <c r="CA32" s="33">
        <v>0.14299999999999999</v>
      </c>
      <c r="CB32" s="25">
        <v>0.08</v>
      </c>
      <c r="CC32" s="34">
        <v>2.6</v>
      </c>
      <c r="CD32" s="35">
        <v>26</v>
      </c>
      <c r="CE32" s="25">
        <v>57.5</v>
      </c>
      <c r="CF32" s="25">
        <v>1.7</v>
      </c>
      <c r="CG32" s="25">
        <v>8.1999999999999993</v>
      </c>
      <c r="CH32" s="42"/>
      <c r="CI32" s="49"/>
      <c r="CJ32" s="49"/>
      <c r="CK32" s="49"/>
      <c r="CL32" s="49"/>
      <c r="CM32" s="49"/>
      <c r="CN32" s="49"/>
      <c r="CO32" s="49"/>
      <c r="CP32" s="24">
        <v>1164563</v>
      </c>
      <c r="CQ32" s="33">
        <v>7.2999999999999995E-2</v>
      </c>
      <c r="CR32" s="25">
        <v>0.04</v>
      </c>
      <c r="CS32" s="34">
        <v>2.2000000000000002</v>
      </c>
      <c r="CT32" s="35">
        <v>22</v>
      </c>
      <c r="CU32" s="25">
        <v>52.3</v>
      </c>
      <c r="CV32" s="25">
        <v>1.5</v>
      </c>
      <c r="CW32" s="24">
        <v>961820</v>
      </c>
      <c r="CX32" s="33">
        <v>0.06</v>
      </c>
      <c r="CY32" s="25">
        <v>0.05</v>
      </c>
      <c r="CZ32" s="34">
        <v>2.2000000000000002</v>
      </c>
      <c r="DA32" s="35">
        <v>22</v>
      </c>
      <c r="DB32" s="25">
        <v>52.5</v>
      </c>
      <c r="DC32" s="25">
        <v>1.64</v>
      </c>
      <c r="DD32" s="42"/>
      <c r="DE32" s="49"/>
      <c r="DF32" s="49"/>
      <c r="DG32" s="49"/>
      <c r="DH32" s="49"/>
      <c r="DI32" s="49"/>
      <c r="DJ32" s="49"/>
      <c r="DK32" s="49"/>
      <c r="DL32" s="56"/>
      <c r="DM32" s="24">
        <v>32951</v>
      </c>
      <c r="DN32" s="33">
        <v>0.111</v>
      </c>
      <c r="DO32" s="25">
        <v>0.06</v>
      </c>
      <c r="DP32" s="34">
        <v>2.4</v>
      </c>
      <c r="DQ32" s="35">
        <v>24</v>
      </c>
      <c r="DR32" s="25">
        <v>58.9</v>
      </c>
      <c r="DS32" s="25"/>
      <c r="DT32" s="25">
        <v>7.6</v>
      </c>
      <c r="DU32" s="57"/>
      <c r="DV32" s="49"/>
      <c r="DW32" s="49"/>
      <c r="DX32" s="49"/>
      <c r="DY32" s="49"/>
      <c r="DZ32" s="49"/>
      <c r="EA32" s="49"/>
      <c r="EB32" s="49"/>
      <c r="EC32" s="49"/>
      <c r="ED32" s="56"/>
      <c r="EE32" s="42"/>
      <c r="EF32" s="49"/>
      <c r="EG32" s="49"/>
      <c r="EH32" s="49"/>
      <c r="EI32" s="49"/>
      <c r="EJ32" s="49"/>
      <c r="EK32" s="49"/>
      <c r="EL32" s="49"/>
      <c r="EM32" s="58"/>
      <c r="EN32" s="39"/>
      <c r="EO32" s="40">
        <f t="shared" si="4"/>
        <v>46108</v>
      </c>
      <c r="EP32" s="40">
        <v>45978</v>
      </c>
      <c r="EQ32" s="40">
        <v>46074</v>
      </c>
      <c r="ER32" s="40" t="s">
        <v>70</v>
      </c>
      <c r="ES32" s="40">
        <v>45930</v>
      </c>
      <c r="ET32" s="40">
        <v>46055</v>
      </c>
      <c r="EU32" s="40" t="s">
        <v>71</v>
      </c>
      <c r="EV32" s="40">
        <v>45992</v>
      </c>
      <c r="EW32" s="40">
        <v>46097</v>
      </c>
      <c r="EX32" s="40" t="s">
        <v>71</v>
      </c>
      <c r="EY32" s="40">
        <v>45688</v>
      </c>
      <c r="EZ32" s="40">
        <v>46077</v>
      </c>
      <c r="FA32" s="40">
        <v>46038</v>
      </c>
      <c r="FB32" s="40">
        <v>46055</v>
      </c>
      <c r="FC32" s="40">
        <v>46055</v>
      </c>
      <c r="FD32" s="40">
        <v>46055</v>
      </c>
      <c r="FE32" s="40">
        <v>46037</v>
      </c>
      <c r="FF32" s="40">
        <v>46048</v>
      </c>
      <c r="FG32" s="40">
        <v>46041</v>
      </c>
      <c r="FH32" s="40">
        <v>46044</v>
      </c>
      <c r="FI32" s="40">
        <v>46044</v>
      </c>
      <c r="FJ32" s="40">
        <v>46047</v>
      </c>
      <c r="FK32" s="40">
        <v>46047</v>
      </c>
      <c r="FL32" s="40">
        <v>46056</v>
      </c>
      <c r="FM32" s="40">
        <v>46056</v>
      </c>
      <c r="FN32" s="40">
        <v>46056</v>
      </c>
      <c r="FO32" s="40"/>
      <c r="FP32" s="40"/>
      <c r="FQ32" s="40">
        <v>46023</v>
      </c>
      <c r="FR32" s="40">
        <v>46074</v>
      </c>
      <c r="FS32" s="40"/>
      <c r="FT32" s="40">
        <v>46022</v>
      </c>
      <c r="FU32" s="40">
        <v>46077</v>
      </c>
      <c r="FV32" s="40"/>
      <c r="FW32" s="40"/>
      <c r="FX32" s="40"/>
      <c r="FY32" s="40">
        <v>46054</v>
      </c>
      <c r="FZ32" s="40">
        <v>46054</v>
      </c>
      <c r="GA32" s="40"/>
      <c r="GB32" s="40"/>
      <c r="GC32" s="40"/>
      <c r="GD32" s="40"/>
    </row>
    <row r="33" spans="1:186" x14ac:dyDescent="0.35">
      <c r="B33" s="41">
        <f t="shared" si="3"/>
        <v>46109</v>
      </c>
      <c r="C33" s="24">
        <v>2506149</v>
      </c>
      <c r="D33" s="25">
        <v>5.24</v>
      </c>
      <c r="E33" s="25">
        <v>0.27</v>
      </c>
      <c r="F33" s="25">
        <v>1.87</v>
      </c>
      <c r="G33" s="25">
        <v>51.72</v>
      </c>
      <c r="H33" s="25">
        <v>2.8</v>
      </c>
      <c r="I33" s="25">
        <v>2.5</v>
      </c>
      <c r="J33" s="25">
        <f t="shared" si="0"/>
        <v>8.1</v>
      </c>
      <c r="K33" s="24">
        <v>2577692</v>
      </c>
      <c r="L33" s="25">
        <v>5.53</v>
      </c>
      <c r="M33" s="25">
        <v>0.27</v>
      </c>
      <c r="N33" s="25">
        <v>1.85</v>
      </c>
      <c r="O33" s="25">
        <v>51.89898436964922</v>
      </c>
      <c r="P33" s="25">
        <v>2.58</v>
      </c>
      <c r="Q33" s="25">
        <v>2.4</v>
      </c>
      <c r="R33" s="25">
        <f t="shared" si="1"/>
        <v>7.5600000000000005</v>
      </c>
      <c r="S33" s="26">
        <v>2582218</v>
      </c>
      <c r="T33" s="25">
        <v>5.3</v>
      </c>
      <c r="U33" s="25">
        <v>0.26</v>
      </c>
      <c r="V33" s="25">
        <v>1.65</v>
      </c>
      <c r="W33" s="27">
        <v>51.65</v>
      </c>
      <c r="X33" s="25">
        <v>2.5</v>
      </c>
      <c r="Y33" s="25">
        <v>2.2000000000000002</v>
      </c>
      <c r="Z33" s="25">
        <f t="shared" si="2"/>
        <v>7.2</v>
      </c>
      <c r="AA33" s="24">
        <v>328064</v>
      </c>
      <c r="AB33" s="25">
        <v>84.88</v>
      </c>
      <c r="AC33" s="25">
        <v>0.31</v>
      </c>
      <c r="AD33" s="24">
        <v>529521</v>
      </c>
      <c r="AE33" s="33">
        <v>0.16300000000000001</v>
      </c>
      <c r="AF33" s="25">
        <v>7.0000000000000007E-2</v>
      </c>
      <c r="AG33" s="34">
        <v>2.2000000000000002</v>
      </c>
      <c r="AH33" s="35">
        <v>22</v>
      </c>
      <c r="AI33" s="25">
        <v>36.6</v>
      </c>
      <c r="AJ33" s="25"/>
      <c r="AK33" s="25">
        <v>50.2</v>
      </c>
      <c r="AL33" s="24">
        <v>44014</v>
      </c>
      <c r="AM33" s="33">
        <v>0.15</v>
      </c>
      <c r="AN33" s="25">
        <v>0.06</v>
      </c>
      <c r="AO33" s="34">
        <v>2.2000000000000002</v>
      </c>
      <c r="AP33" s="35">
        <v>22</v>
      </c>
      <c r="AQ33" s="25">
        <v>35.204000000000008</v>
      </c>
      <c r="AR33" s="25"/>
      <c r="AS33" s="25">
        <v>50</v>
      </c>
      <c r="AT33" s="24">
        <v>498748</v>
      </c>
      <c r="AU33" s="48">
        <v>9.5000000000000001E-2</v>
      </c>
      <c r="AV33" s="25">
        <v>7.0000000000000007E-2</v>
      </c>
      <c r="AW33" s="34">
        <v>2.2000000000000002</v>
      </c>
      <c r="AX33" s="35">
        <v>22</v>
      </c>
      <c r="AY33" s="25">
        <v>56.01</v>
      </c>
      <c r="AZ33" s="25">
        <v>2.06</v>
      </c>
      <c r="BA33" s="34">
        <v>10</v>
      </c>
      <c r="BB33" s="24">
        <v>4280</v>
      </c>
      <c r="BC33" s="48"/>
      <c r="BD33" s="49"/>
      <c r="BE33" s="50"/>
      <c r="BF33" s="51"/>
      <c r="BG33" s="49"/>
      <c r="BH33" s="49"/>
      <c r="BI33" s="49"/>
      <c r="BJ33" s="24">
        <v>177193</v>
      </c>
      <c r="BK33" s="33">
        <v>8.5999999999999993E-2</v>
      </c>
      <c r="BL33" s="25">
        <v>7.0000000000000007E-2</v>
      </c>
      <c r="BM33" s="25">
        <v>2.2000000000000002</v>
      </c>
      <c r="BN33" s="35">
        <v>22</v>
      </c>
      <c r="BO33" s="25">
        <v>56.55</v>
      </c>
      <c r="BP33" s="25">
        <v>1.64</v>
      </c>
      <c r="BQ33" s="25">
        <v>9.8000000000000007</v>
      </c>
      <c r="BR33" s="24">
        <v>510730</v>
      </c>
      <c r="BS33" s="33">
        <v>8.4000000000000005E-2</v>
      </c>
      <c r="BT33" s="25">
        <v>7.0000000000000007E-2</v>
      </c>
      <c r="BU33" s="34">
        <v>2.2999999999999998</v>
      </c>
      <c r="BV33" s="35">
        <v>23</v>
      </c>
      <c r="BW33" s="25">
        <v>56.8</v>
      </c>
      <c r="BX33" s="25">
        <v>1.6</v>
      </c>
      <c r="BY33" s="25">
        <v>9.4</v>
      </c>
      <c r="BZ33" s="24">
        <v>10973</v>
      </c>
      <c r="CA33" s="33">
        <v>0.14299999999999999</v>
      </c>
      <c r="CB33" s="25">
        <v>0.08</v>
      </c>
      <c r="CC33" s="34">
        <v>2.6</v>
      </c>
      <c r="CD33" s="35">
        <v>26</v>
      </c>
      <c r="CE33" s="25">
        <v>57.5</v>
      </c>
      <c r="CF33" s="25">
        <v>1.7</v>
      </c>
      <c r="CG33" s="25">
        <v>8.1999999999999993</v>
      </c>
      <c r="CH33" s="42"/>
      <c r="CI33" s="49"/>
      <c r="CJ33" s="49"/>
      <c r="CK33" s="49"/>
      <c r="CL33" s="49"/>
      <c r="CM33" s="49"/>
      <c r="CN33" s="49"/>
      <c r="CO33" s="49"/>
      <c r="CP33" s="24">
        <v>1164563</v>
      </c>
      <c r="CQ33" s="33">
        <v>7.4999999999999997E-2</v>
      </c>
      <c r="CR33" s="25">
        <v>0.04</v>
      </c>
      <c r="CS33" s="34">
        <v>2.2000000000000002</v>
      </c>
      <c r="CT33" s="35">
        <v>22</v>
      </c>
      <c r="CU33" s="25">
        <v>52.3</v>
      </c>
      <c r="CV33" s="25">
        <v>1.5</v>
      </c>
      <c r="CW33" s="24">
        <v>918291</v>
      </c>
      <c r="CX33" s="33">
        <v>0.06</v>
      </c>
      <c r="CY33" s="25">
        <v>0.05</v>
      </c>
      <c r="CZ33" s="34">
        <v>2.2000000000000002</v>
      </c>
      <c r="DA33" s="35">
        <v>22</v>
      </c>
      <c r="DB33" s="25">
        <v>52.5</v>
      </c>
      <c r="DC33" s="25">
        <v>1.64</v>
      </c>
      <c r="DD33" s="42"/>
      <c r="DE33" s="49"/>
      <c r="DF33" s="49"/>
      <c r="DG33" s="49"/>
      <c r="DH33" s="49"/>
      <c r="DI33" s="49"/>
      <c r="DJ33" s="49"/>
      <c r="DK33" s="49"/>
      <c r="DL33" s="56"/>
      <c r="DM33" s="24">
        <v>32951</v>
      </c>
      <c r="DN33" s="33">
        <v>0.113</v>
      </c>
      <c r="DO33" s="25">
        <v>0.06</v>
      </c>
      <c r="DP33" s="34">
        <v>2.4</v>
      </c>
      <c r="DQ33" s="35">
        <v>24</v>
      </c>
      <c r="DR33" s="25">
        <v>58.9</v>
      </c>
      <c r="DS33" s="25"/>
      <c r="DT33" s="25">
        <v>7.6</v>
      </c>
      <c r="DU33" s="57"/>
      <c r="DV33" s="49"/>
      <c r="DW33" s="49"/>
      <c r="DX33" s="49"/>
      <c r="DY33" s="49"/>
      <c r="DZ33" s="49"/>
      <c r="EA33" s="49"/>
      <c r="EB33" s="49"/>
      <c r="EC33" s="49"/>
      <c r="ED33" s="56"/>
      <c r="EE33" s="42"/>
      <c r="EF33" s="49"/>
      <c r="EG33" s="49"/>
      <c r="EH33" s="49"/>
      <c r="EI33" s="49"/>
      <c r="EJ33" s="49"/>
      <c r="EK33" s="49"/>
      <c r="EL33" s="49"/>
      <c r="EM33" s="58"/>
      <c r="EN33" s="39"/>
      <c r="EO33" s="40">
        <f t="shared" si="4"/>
        <v>46109</v>
      </c>
      <c r="EP33" s="40">
        <v>45978</v>
      </c>
      <c r="EQ33" s="40">
        <v>46074</v>
      </c>
      <c r="ER33" s="40" t="s">
        <v>70</v>
      </c>
      <c r="ES33" s="40">
        <v>45930</v>
      </c>
      <c r="ET33" s="40">
        <v>46055</v>
      </c>
      <c r="EU33" s="40" t="s">
        <v>71</v>
      </c>
      <c r="EV33" s="40">
        <v>45992</v>
      </c>
      <c r="EW33" s="40">
        <v>46097</v>
      </c>
      <c r="EX33" s="40" t="s">
        <v>71</v>
      </c>
      <c r="EY33" s="40">
        <v>45688</v>
      </c>
      <c r="EZ33" s="40">
        <v>46077</v>
      </c>
      <c r="FA33" s="40">
        <v>46038</v>
      </c>
      <c r="FB33" s="40">
        <v>46055</v>
      </c>
      <c r="FC33" s="40">
        <v>46055</v>
      </c>
      <c r="FD33" s="40">
        <v>46055</v>
      </c>
      <c r="FE33" s="40">
        <v>46037</v>
      </c>
      <c r="FF33" s="40">
        <v>46048</v>
      </c>
      <c r="FG33" s="40">
        <v>46041</v>
      </c>
      <c r="FH33" s="40">
        <v>46044</v>
      </c>
      <c r="FI33" s="40">
        <v>46044</v>
      </c>
      <c r="FJ33" s="40">
        <v>46047</v>
      </c>
      <c r="FK33" s="40">
        <v>46047</v>
      </c>
      <c r="FL33" s="40">
        <v>46056</v>
      </c>
      <c r="FM33" s="40">
        <v>46056</v>
      </c>
      <c r="FN33" s="40">
        <v>46056</v>
      </c>
      <c r="FO33" s="40"/>
      <c r="FP33" s="40"/>
      <c r="FQ33" s="40">
        <v>46023</v>
      </c>
      <c r="FR33" s="40">
        <v>46074</v>
      </c>
      <c r="FS33" s="40"/>
      <c r="FT33" s="40">
        <v>46022</v>
      </c>
      <c r="FU33" s="40">
        <v>46077</v>
      </c>
      <c r="FV33" s="40"/>
      <c r="FW33" s="40"/>
      <c r="FX33" s="40"/>
      <c r="FY33" s="40">
        <v>46054</v>
      </c>
      <c r="FZ33" s="40">
        <v>46054</v>
      </c>
      <c r="GA33" s="40"/>
      <c r="GB33" s="40"/>
      <c r="GC33" s="40"/>
      <c r="GD33" s="40"/>
    </row>
    <row r="34" spans="1:186" x14ac:dyDescent="0.35">
      <c r="B34" s="41">
        <f t="shared" si="3"/>
        <v>46110</v>
      </c>
      <c r="C34" s="24">
        <v>2506149</v>
      </c>
      <c r="D34" s="25">
        <v>5.24</v>
      </c>
      <c r="E34" s="25">
        <v>0.27</v>
      </c>
      <c r="F34" s="25">
        <v>1.87</v>
      </c>
      <c r="G34" s="25">
        <v>51.72</v>
      </c>
      <c r="H34" s="25">
        <v>2.8</v>
      </c>
      <c r="I34" s="25">
        <v>2.5</v>
      </c>
      <c r="J34" s="25">
        <f t="shared" si="0"/>
        <v>8.1</v>
      </c>
      <c r="K34" s="24">
        <v>2577692</v>
      </c>
      <c r="L34" s="25">
        <v>5.53</v>
      </c>
      <c r="M34" s="25">
        <v>0.27</v>
      </c>
      <c r="N34" s="25">
        <v>1.85</v>
      </c>
      <c r="O34" s="25">
        <v>51.89898436964922</v>
      </c>
      <c r="P34" s="25">
        <v>2.58</v>
      </c>
      <c r="Q34" s="25">
        <v>2.4</v>
      </c>
      <c r="R34" s="25">
        <f t="shared" si="1"/>
        <v>7.5600000000000005</v>
      </c>
      <c r="S34" s="26">
        <v>2579518</v>
      </c>
      <c r="T34" s="25">
        <v>5.3</v>
      </c>
      <c r="U34" s="25">
        <v>0.26</v>
      </c>
      <c r="V34" s="25">
        <v>1.65</v>
      </c>
      <c r="W34" s="27">
        <v>51.65</v>
      </c>
      <c r="X34" s="25">
        <v>2.5</v>
      </c>
      <c r="Y34" s="25">
        <v>2.2000000000000002</v>
      </c>
      <c r="Z34" s="25">
        <f t="shared" si="2"/>
        <v>7.2</v>
      </c>
      <c r="AA34" s="24">
        <v>328064</v>
      </c>
      <c r="AB34" s="25">
        <v>84.88</v>
      </c>
      <c r="AC34" s="25">
        <v>0.31</v>
      </c>
      <c r="AD34" s="24">
        <v>529521</v>
      </c>
      <c r="AE34" s="33">
        <v>0.16500000000000001</v>
      </c>
      <c r="AF34" s="25">
        <v>7.0000000000000007E-2</v>
      </c>
      <c r="AG34" s="34">
        <v>2.2000000000000002</v>
      </c>
      <c r="AH34" s="35">
        <v>22</v>
      </c>
      <c r="AI34" s="25">
        <v>36.6</v>
      </c>
      <c r="AJ34" s="25"/>
      <c r="AK34" s="25">
        <v>50.2</v>
      </c>
      <c r="AL34" s="24">
        <v>44014</v>
      </c>
      <c r="AM34" s="33">
        <v>0.13100000000000001</v>
      </c>
      <c r="AN34" s="25">
        <v>0.06</v>
      </c>
      <c r="AO34" s="34">
        <v>2.2000000000000002</v>
      </c>
      <c r="AP34" s="35">
        <v>22</v>
      </c>
      <c r="AQ34" s="25">
        <v>35.204000000000008</v>
      </c>
      <c r="AR34" s="25"/>
      <c r="AS34" s="25">
        <v>50</v>
      </c>
      <c r="AT34" s="24">
        <v>498748</v>
      </c>
      <c r="AU34" s="48">
        <v>9.6000000000000002E-2</v>
      </c>
      <c r="AV34" s="25">
        <v>7.0000000000000007E-2</v>
      </c>
      <c r="AW34" s="34">
        <v>2.2000000000000002</v>
      </c>
      <c r="AX34" s="35">
        <v>22</v>
      </c>
      <c r="AY34" s="25">
        <v>56.01</v>
      </c>
      <c r="AZ34" s="25">
        <v>2.06</v>
      </c>
      <c r="BA34" s="34">
        <v>10</v>
      </c>
      <c r="BB34" s="24">
        <v>4280</v>
      </c>
      <c r="BC34" s="48"/>
      <c r="BD34" s="49"/>
      <c r="BE34" s="50"/>
      <c r="BF34" s="51"/>
      <c r="BG34" s="49"/>
      <c r="BH34" s="49"/>
      <c r="BI34" s="49"/>
      <c r="BJ34" s="24">
        <v>111273</v>
      </c>
      <c r="BK34" s="33">
        <v>8.5999999999999993E-2</v>
      </c>
      <c r="BL34" s="25">
        <v>7.0000000000000007E-2</v>
      </c>
      <c r="BM34" s="25">
        <v>2.2000000000000002</v>
      </c>
      <c r="BN34" s="35">
        <v>22</v>
      </c>
      <c r="BO34" s="25">
        <v>56.55</v>
      </c>
      <c r="BP34" s="25">
        <v>1.64</v>
      </c>
      <c r="BQ34" s="25">
        <v>9.8000000000000007</v>
      </c>
      <c r="BR34" s="24">
        <v>510730</v>
      </c>
      <c r="BS34" s="33">
        <v>8.4000000000000005E-2</v>
      </c>
      <c r="BT34" s="25">
        <v>7.0000000000000007E-2</v>
      </c>
      <c r="BU34" s="34">
        <v>2.2999999999999998</v>
      </c>
      <c r="BV34" s="35">
        <v>23</v>
      </c>
      <c r="BW34" s="25">
        <v>56.8</v>
      </c>
      <c r="BX34" s="25">
        <v>1.6</v>
      </c>
      <c r="BY34" s="25">
        <v>9.4</v>
      </c>
      <c r="BZ34" s="24">
        <v>10973</v>
      </c>
      <c r="CA34" s="33">
        <v>0.14499999999999999</v>
      </c>
      <c r="CB34" s="25">
        <v>0.08</v>
      </c>
      <c r="CC34" s="34">
        <v>2.6</v>
      </c>
      <c r="CD34" s="35">
        <v>26</v>
      </c>
      <c r="CE34" s="25">
        <v>57.5</v>
      </c>
      <c r="CF34" s="25">
        <v>1.7</v>
      </c>
      <c r="CG34" s="25">
        <v>8.1999999999999993</v>
      </c>
      <c r="CH34" s="42">
        <v>53435</v>
      </c>
      <c r="CI34" s="48">
        <v>6.1499999999999999E-2</v>
      </c>
      <c r="CJ34" s="49">
        <v>4.4999999999999998E-2</v>
      </c>
      <c r="CK34" s="50">
        <v>2.2000000000000002</v>
      </c>
      <c r="CL34" s="51">
        <v>22</v>
      </c>
      <c r="CM34" s="49">
        <v>57.629999999999995</v>
      </c>
      <c r="CN34" s="49"/>
      <c r="CO34" s="49">
        <v>8.8000000000000007</v>
      </c>
      <c r="CP34" s="24">
        <v>1164563</v>
      </c>
      <c r="CQ34" s="33">
        <v>7.4999999999999997E-2</v>
      </c>
      <c r="CR34" s="25">
        <v>0.04</v>
      </c>
      <c r="CS34" s="34">
        <v>2.2000000000000002</v>
      </c>
      <c r="CT34" s="35">
        <v>22</v>
      </c>
      <c r="CU34" s="25">
        <v>52.3</v>
      </c>
      <c r="CV34" s="25">
        <v>1.5</v>
      </c>
      <c r="CW34" s="24">
        <v>758010</v>
      </c>
      <c r="CX34" s="33">
        <v>0.06</v>
      </c>
      <c r="CY34" s="25">
        <v>0.05</v>
      </c>
      <c r="CZ34" s="34">
        <v>2.2000000000000002</v>
      </c>
      <c r="DA34" s="35">
        <v>22</v>
      </c>
      <c r="DB34" s="25">
        <v>52.5</v>
      </c>
      <c r="DC34" s="25">
        <v>1.64</v>
      </c>
      <c r="DD34" s="42"/>
      <c r="DE34" s="49"/>
      <c r="DF34" s="49"/>
      <c r="DG34" s="49"/>
      <c r="DH34" s="49"/>
      <c r="DI34" s="49"/>
      <c r="DJ34" s="49"/>
      <c r="DK34" s="49"/>
      <c r="DL34" s="56"/>
      <c r="DM34" s="24">
        <v>32951</v>
      </c>
      <c r="DN34" s="33">
        <v>0.113</v>
      </c>
      <c r="DO34" s="25">
        <v>0.06</v>
      </c>
      <c r="DP34" s="34">
        <v>2.4</v>
      </c>
      <c r="DQ34" s="35">
        <v>24</v>
      </c>
      <c r="DR34" s="25">
        <v>58.9</v>
      </c>
      <c r="DS34" s="25"/>
      <c r="DT34" s="25">
        <v>7.6</v>
      </c>
      <c r="DU34" s="57"/>
      <c r="DV34" s="49"/>
      <c r="DW34" s="49"/>
      <c r="DX34" s="49"/>
      <c r="DY34" s="49"/>
      <c r="DZ34" s="49"/>
      <c r="EA34" s="49"/>
      <c r="EB34" s="49"/>
      <c r="EC34" s="49"/>
      <c r="ED34" s="56"/>
      <c r="EE34" s="42"/>
      <c r="EF34" s="49"/>
      <c r="EG34" s="49"/>
      <c r="EH34" s="49"/>
      <c r="EI34" s="49"/>
      <c r="EJ34" s="49"/>
      <c r="EK34" s="49"/>
      <c r="EL34" s="49"/>
      <c r="EM34" s="58"/>
      <c r="EN34" s="39"/>
      <c r="EO34" s="40">
        <f t="shared" si="4"/>
        <v>46110</v>
      </c>
      <c r="EP34" s="40">
        <v>45978</v>
      </c>
      <c r="EQ34" s="40">
        <v>46074</v>
      </c>
      <c r="ER34" s="40" t="s">
        <v>70</v>
      </c>
      <c r="ES34" s="40">
        <v>45930</v>
      </c>
      <c r="ET34" s="40">
        <v>46055</v>
      </c>
      <c r="EU34" s="40" t="s">
        <v>71</v>
      </c>
      <c r="EV34" s="40">
        <v>45992</v>
      </c>
      <c r="EW34" s="40">
        <v>46097</v>
      </c>
      <c r="EX34" s="40" t="s">
        <v>71</v>
      </c>
      <c r="EY34" s="40">
        <v>45688</v>
      </c>
      <c r="EZ34" s="40">
        <v>46077</v>
      </c>
      <c r="FA34" s="40">
        <v>46038</v>
      </c>
      <c r="FB34" s="40">
        <v>46055</v>
      </c>
      <c r="FC34" s="40">
        <v>46055</v>
      </c>
      <c r="FD34" s="40">
        <v>46055</v>
      </c>
      <c r="FE34" s="40">
        <v>46037</v>
      </c>
      <c r="FF34" s="40">
        <v>46048</v>
      </c>
      <c r="FG34" s="40">
        <v>46041</v>
      </c>
      <c r="FH34" s="40">
        <v>46044</v>
      </c>
      <c r="FI34" s="40">
        <v>46044</v>
      </c>
      <c r="FJ34" s="40">
        <v>46047</v>
      </c>
      <c r="FK34" s="40">
        <v>46047</v>
      </c>
      <c r="FL34" s="40">
        <v>46056</v>
      </c>
      <c r="FM34" s="40">
        <v>46056</v>
      </c>
      <c r="FN34" s="40">
        <v>46056</v>
      </c>
      <c r="FO34" s="40">
        <v>46109</v>
      </c>
      <c r="FP34" s="40">
        <v>46109</v>
      </c>
      <c r="FQ34" s="40">
        <v>46023</v>
      </c>
      <c r="FR34" s="40">
        <v>46074</v>
      </c>
      <c r="FS34" s="40"/>
      <c r="FT34" s="40">
        <v>46022</v>
      </c>
      <c r="FU34" s="40">
        <v>46077</v>
      </c>
      <c r="FV34" s="40"/>
      <c r="FW34" s="40"/>
      <c r="FX34" s="40"/>
      <c r="FY34" s="40">
        <v>46054</v>
      </c>
      <c r="FZ34" s="40">
        <v>46054</v>
      </c>
      <c r="GA34" s="40"/>
      <c r="GB34" s="40"/>
      <c r="GC34" s="40"/>
      <c r="GD34" s="40"/>
    </row>
    <row r="35" spans="1:186" x14ac:dyDescent="0.35">
      <c r="B35" s="41">
        <f t="shared" si="3"/>
        <v>46111</v>
      </c>
      <c r="C35" s="24">
        <v>2506149</v>
      </c>
      <c r="D35" s="25">
        <v>5.26</v>
      </c>
      <c r="E35" s="25">
        <v>0.27</v>
      </c>
      <c r="F35" s="25">
        <v>1.87</v>
      </c>
      <c r="G35" s="25">
        <v>51.72</v>
      </c>
      <c r="H35" s="25">
        <v>2.8</v>
      </c>
      <c r="I35" s="25">
        <v>2.5</v>
      </c>
      <c r="J35" s="25">
        <f t="shared" si="0"/>
        <v>8.1</v>
      </c>
      <c r="K35" s="24">
        <v>2577692</v>
      </c>
      <c r="L35" s="25">
        <v>5.53</v>
      </c>
      <c r="M35" s="25">
        <v>0.27</v>
      </c>
      <c r="N35" s="25">
        <v>1.85</v>
      </c>
      <c r="O35" s="25">
        <v>51.89898436964922</v>
      </c>
      <c r="P35" s="25">
        <v>2.58</v>
      </c>
      <c r="Q35" s="25">
        <v>2.4</v>
      </c>
      <c r="R35" s="25">
        <f t="shared" si="1"/>
        <v>7.5600000000000005</v>
      </c>
      <c r="S35" s="42">
        <v>2511018</v>
      </c>
      <c r="T35" s="25">
        <v>5.35</v>
      </c>
      <c r="U35" s="25">
        <v>0.26</v>
      </c>
      <c r="V35" s="25">
        <v>1.65</v>
      </c>
      <c r="W35" s="27">
        <v>51.65</v>
      </c>
      <c r="X35" s="25">
        <v>2.5</v>
      </c>
      <c r="Y35" s="25">
        <v>2.2000000000000002</v>
      </c>
      <c r="Z35" s="25">
        <f t="shared" si="2"/>
        <v>7.2</v>
      </c>
      <c r="AA35" s="24">
        <v>328064</v>
      </c>
      <c r="AB35" s="25">
        <v>84.88</v>
      </c>
      <c r="AC35" s="25">
        <v>0.31</v>
      </c>
      <c r="AD35" s="24">
        <v>529521</v>
      </c>
      <c r="AE35" s="33">
        <v>0.16600000000000001</v>
      </c>
      <c r="AF35" s="25">
        <v>7.0000000000000007E-2</v>
      </c>
      <c r="AG35" s="34">
        <v>2.2000000000000002</v>
      </c>
      <c r="AH35" s="35">
        <v>22</v>
      </c>
      <c r="AI35" s="25">
        <v>36.6</v>
      </c>
      <c r="AJ35" s="25"/>
      <c r="AK35" s="25">
        <v>50.2</v>
      </c>
      <c r="AL35" s="24">
        <v>122806</v>
      </c>
      <c r="AM35" s="33">
        <v>0.1</v>
      </c>
      <c r="AN35" s="25">
        <v>0.05</v>
      </c>
      <c r="AO35" s="34">
        <v>2.2000000000000002</v>
      </c>
      <c r="AP35" s="35">
        <v>22</v>
      </c>
      <c r="AQ35" s="25">
        <v>35.78</v>
      </c>
      <c r="AR35" s="25"/>
      <c r="AS35" s="25">
        <v>50.8</v>
      </c>
      <c r="AT35" s="24">
        <v>498748</v>
      </c>
      <c r="AU35" s="48">
        <v>9.6000000000000002E-2</v>
      </c>
      <c r="AV35" s="25">
        <v>7.0000000000000007E-2</v>
      </c>
      <c r="AW35" s="34">
        <v>2.2000000000000002</v>
      </c>
      <c r="AX35" s="35">
        <v>22</v>
      </c>
      <c r="AY35" s="25">
        <v>56.01</v>
      </c>
      <c r="AZ35" s="25">
        <v>2.06</v>
      </c>
      <c r="BA35" s="34">
        <v>10</v>
      </c>
      <c r="BB35" s="24">
        <v>4280</v>
      </c>
      <c r="BC35" s="48"/>
      <c r="BD35" s="49"/>
      <c r="BE35" s="50"/>
      <c r="BF35" s="51"/>
      <c r="BG35" s="49"/>
      <c r="BH35" s="49"/>
      <c r="BI35" s="49"/>
      <c r="BJ35" s="24">
        <v>111273</v>
      </c>
      <c r="BK35" s="33">
        <v>8.7999999999999995E-2</v>
      </c>
      <c r="BL35" s="25">
        <v>7.0000000000000007E-2</v>
      </c>
      <c r="BM35" s="25">
        <v>2.2000000000000002</v>
      </c>
      <c r="BN35" s="35">
        <v>22</v>
      </c>
      <c r="BO35" s="25">
        <v>56.55</v>
      </c>
      <c r="BP35" s="25">
        <v>1.64</v>
      </c>
      <c r="BQ35" s="25">
        <v>9.8000000000000007</v>
      </c>
      <c r="BR35" s="24">
        <v>510730</v>
      </c>
      <c r="BS35" s="33">
        <v>8.4000000000000005E-2</v>
      </c>
      <c r="BT35" s="25">
        <v>7.0000000000000007E-2</v>
      </c>
      <c r="BU35" s="34">
        <v>2.2999999999999998</v>
      </c>
      <c r="BV35" s="35">
        <v>23</v>
      </c>
      <c r="BW35" s="25">
        <v>56.8</v>
      </c>
      <c r="BX35" s="25">
        <v>1.6</v>
      </c>
      <c r="BY35" s="25">
        <v>9.4</v>
      </c>
      <c r="BZ35" s="24">
        <v>10973</v>
      </c>
      <c r="CA35" s="33">
        <v>0.14499999999999999</v>
      </c>
      <c r="CB35" s="25">
        <v>0.08</v>
      </c>
      <c r="CC35" s="34">
        <v>2.6</v>
      </c>
      <c r="CD35" s="35">
        <v>26</v>
      </c>
      <c r="CE35" s="25">
        <v>57.5</v>
      </c>
      <c r="CF35" s="25">
        <v>1.7</v>
      </c>
      <c r="CG35" s="25">
        <v>8.1999999999999993</v>
      </c>
      <c r="CH35" s="42">
        <v>104404</v>
      </c>
      <c r="CI35" s="48">
        <v>6.6000000000000003E-2</v>
      </c>
      <c r="CJ35" s="49">
        <v>0.03</v>
      </c>
      <c r="CK35" s="50">
        <v>2.2000000000000002</v>
      </c>
      <c r="CL35" s="51">
        <v>22</v>
      </c>
      <c r="CM35" s="49">
        <v>58.05</v>
      </c>
      <c r="CN35" s="49"/>
      <c r="CO35" s="49">
        <v>8</v>
      </c>
      <c r="CP35" s="24">
        <v>1164563</v>
      </c>
      <c r="CQ35" s="33">
        <v>7.4999999999999997E-2</v>
      </c>
      <c r="CR35" s="25">
        <v>0.04</v>
      </c>
      <c r="CS35" s="34">
        <v>2.2000000000000002</v>
      </c>
      <c r="CT35" s="35">
        <v>22</v>
      </c>
      <c r="CU35" s="25">
        <v>52.3</v>
      </c>
      <c r="CV35" s="25">
        <v>1.5</v>
      </c>
      <c r="CW35" s="42">
        <v>717142</v>
      </c>
      <c r="CX35" s="33">
        <v>0.06</v>
      </c>
      <c r="CY35" s="25">
        <v>0.05</v>
      </c>
      <c r="CZ35" s="34">
        <v>2.2000000000000002</v>
      </c>
      <c r="DA35" s="35">
        <v>22</v>
      </c>
      <c r="DB35" s="25">
        <v>52.5</v>
      </c>
      <c r="DC35" s="25">
        <v>1.64</v>
      </c>
      <c r="DD35" s="42"/>
      <c r="DE35" s="49"/>
      <c r="DF35" s="49"/>
      <c r="DG35" s="49"/>
      <c r="DH35" s="49"/>
      <c r="DI35" s="49"/>
      <c r="DJ35" s="49"/>
      <c r="DK35" s="49"/>
      <c r="DL35" s="56"/>
      <c r="DM35" s="24">
        <v>32951</v>
      </c>
      <c r="DN35" s="33">
        <v>0.11600000000000001</v>
      </c>
      <c r="DO35" s="25">
        <v>0.06</v>
      </c>
      <c r="DP35" s="34">
        <v>2.4</v>
      </c>
      <c r="DQ35" s="35">
        <v>24</v>
      </c>
      <c r="DR35" s="25">
        <v>58.9</v>
      </c>
      <c r="DS35" s="25"/>
      <c r="DT35" s="25">
        <v>7.6</v>
      </c>
      <c r="DU35" s="57"/>
      <c r="DV35" s="49"/>
      <c r="DW35" s="49"/>
      <c r="DX35" s="49"/>
      <c r="DY35" s="49"/>
      <c r="DZ35" s="49"/>
      <c r="EA35" s="49"/>
      <c r="EB35" s="49"/>
      <c r="EC35" s="49"/>
      <c r="ED35" s="56"/>
      <c r="EE35" s="42"/>
      <c r="EF35" s="49"/>
      <c r="EG35" s="49"/>
      <c r="EH35" s="49"/>
      <c r="EI35" s="49"/>
      <c r="EJ35" s="49"/>
      <c r="EK35" s="49"/>
      <c r="EL35" s="49"/>
      <c r="EM35" s="58"/>
      <c r="EN35" s="39"/>
      <c r="EO35" s="40">
        <f t="shared" si="4"/>
        <v>46111</v>
      </c>
      <c r="EP35" s="40">
        <v>45978</v>
      </c>
      <c r="EQ35" s="40">
        <v>46074</v>
      </c>
      <c r="ER35" s="40" t="s">
        <v>70</v>
      </c>
      <c r="ES35" s="40">
        <v>45930</v>
      </c>
      <c r="ET35" s="40">
        <v>46055</v>
      </c>
      <c r="EU35" s="40" t="s">
        <v>71</v>
      </c>
      <c r="EV35" s="40">
        <v>45992</v>
      </c>
      <c r="EW35" s="40">
        <v>46097</v>
      </c>
      <c r="EX35" s="40" t="s">
        <v>71</v>
      </c>
      <c r="EY35" s="40">
        <v>45688</v>
      </c>
      <c r="EZ35" s="40">
        <v>46077</v>
      </c>
      <c r="FA35" s="40">
        <v>46038</v>
      </c>
      <c r="FB35" s="40">
        <v>46055</v>
      </c>
      <c r="FC35" s="40">
        <v>46055</v>
      </c>
      <c r="FD35" s="40">
        <v>46110</v>
      </c>
      <c r="FE35" s="40">
        <v>46037</v>
      </c>
      <c r="FF35" s="40">
        <v>46048</v>
      </c>
      <c r="FG35" s="40">
        <v>46041</v>
      </c>
      <c r="FH35" s="40">
        <v>46044</v>
      </c>
      <c r="FI35" s="40">
        <v>46044</v>
      </c>
      <c r="FJ35" s="40">
        <v>46047</v>
      </c>
      <c r="FK35" s="40">
        <v>46047</v>
      </c>
      <c r="FL35" s="40">
        <v>46056</v>
      </c>
      <c r="FM35" s="40">
        <v>46056</v>
      </c>
      <c r="FN35" s="40">
        <v>46056</v>
      </c>
      <c r="FO35" s="40">
        <v>46109</v>
      </c>
      <c r="FP35" s="40">
        <v>46110</v>
      </c>
      <c r="FQ35" s="40">
        <v>46023</v>
      </c>
      <c r="FR35" s="40">
        <v>46074</v>
      </c>
      <c r="FS35" s="40"/>
      <c r="FT35" s="40">
        <v>46022</v>
      </c>
      <c r="FU35" s="40">
        <v>46110</v>
      </c>
      <c r="FV35" s="40"/>
      <c r="FW35" s="40"/>
      <c r="FX35" s="40"/>
      <c r="FY35" s="40">
        <v>46054</v>
      </c>
      <c r="FZ35" s="40">
        <v>46054</v>
      </c>
      <c r="GA35" s="40"/>
      <c r="GB35" s="40"/>
      <c r="GC35" s="40"/>
      <c r="GD35" s="40"/>
    </row>
    <row r="36" spans="1:186" x14ac:dyDescent="0.35">
      <c r="B36" s="41">
        <f t="shared" si="3"/>
        <v>46112</v>
      </c>
      <c r="C36" s="24">
        <v>2506149</v>
      </c>
      <c r="D36" s="25">
        <v>5.26</v>
      </c>
      <c r="E36" s="25">
        <v>0.27</v>
      </c>
      <c r="F36" s="25">
        <v>1.87</v>
      </c>
      <c r="G36" s="25">
        <v>51.72</v>
      </c>
      <c r="H36" s="25">
        <v>2.85</v>
      </c>
      <c r="I36" s="25">
        <v>2.57</v>
      </c>
      <c r="J36" s="25">
        <f t="shared" si="0"/>
        <v>8.27</v>
      </c>
      <c r="K36" s="24">
        <v>2577692</v>
      </c>
      <c r="L36" s="25">
        <v>5.53</v>
      </c>
      <c r="M36" s="25">
        <v>0.27</v>
      </c>
      <c r="N36" s="25">
        <v>1.85</v>
      </c>
      <c r="O36" s="25">
        <v>51.89898436964922</v>
      </c>
      <c r="P36" s="25">
        <v>2.66</v>
      </c>
      <c r="Q36" s="25">
        <v>2.4500000000000002</v>
      </c>
      <c r="R36" s="25">
        <f t="shared" si="1"/>
        <v>7.7700000000000005</v>
      </c>
      <c r="S36" s="42">
        <v>2340438</v>
      </c>
      <c r="T36" s="25">
        <v>5.4</v>
      </c>
      <c r="U36" s="25">
        <v>0.26</v>
      </c>
      <c r="V36" s="25">
        <v>1.65</v>
      </c>
      <c r="W36" s="27">
        <v>51.65</v>
      </c>
      <c r="X36" s="25">
        <v>2.7</v>
      </c>
      <c r="Y36" s="25">
        <v>2.35</v>
      </c>
      <c r="Z36" s="25">
        <f t="shared" si="2"/>
        <v>7.75</v>
      </c>
      <c r="AA36" s="42">
        <v>374144</v>
      </c>
      <c r="AB36" s="25">
        <v>84.88</v>
      </c>
      <c r="AC36" s="25">
        <v>0.31</v>
      </c>
      <c r="AD36" s="24">
        <v>529521</v>
      </c>
      <c r="AE36" s="33">
        <v>0.16700000000000001</v>
      </c>
      <c r="AF36" s="25">
        <v>7.0000000000000007E-2</v>
      </c>
      <c r="AG36" s="34">
        <v>2.2000000000000002</v>
      </c>
      <c r="AH36" s="35">
        <v>22</v>
      </c>
      <c r="AI36" s="25">
        <v>36.6</v>
      </c>
      <c r="AJ36" s="25"/>
      <c r="AK36" s="25">
        <v>50.2</v>
      </c>
      <c r="AL36" s="54">
        <v>196652</v>
      </c>
      <c r="AM36" s="33">
        <v>9.0999999999999998E-2</v>
      </c>
      <c r="AN36" s="25">
        <v>0.05</v>
      </c>
      <c r="AO36" s="34">
        <v>2.2000000000000002</v>
      </c>
      <c r="AP36" s="35">
        <v>22</v>
      </c>
      <c r="AQ36" s="25">
        <v>35.78</v>
      </c>
      <c r="AR36" s="25"/>
      <c r="AS36" s="25">
        <v>50.8</v>
      </c>
      <c r="AT36" s="24">
        <v>498748</v>
      </c>
      <c r="AU36" s="48">
        <v>9.6000000000000002E-2</v>
      </c>
      <c r="AV36" s="25">
        <v>7.0000000000000007E-2</v>
      </c>
      <c r="AW36" s="34">
        <v>2.2000000000000002</v>
      </c>
      <c r="AX36" s="35">
        <v>22</v>
      </c>
      <c r="AY36" s="25">
        <v>56.01</v>
      </c>
      <c r="AZ36" s="25">
        <v>2.06</v>
      </c>
      <c r="BA36" s="34">
        <v>10</v>
      </c>
      <c r="BB36" s="24">
        <v>992</v>
      </c>
      <c r="BC36" s="48"/>
      <c r="BD36" s="49"/>
      <c r="BE36" s="50"/>
      <c r="BF36" s="51"/>
      <c r="BG36" s="49"/>
      <c r="BH36" s="49"/>
      <c r="BI36" s="49"/>
      <c r="BJ36" s="42">
        <v>20301</v>
      </c>
      <c r="BK36" s="33">
        <v>8.7999999999999995E-2</v>
      </c>
      <c r="BL36" s="25">
        <v>7.0000000000000007E-2</v>
      </c>
      <c r="BM36" s="25">
        <v>2.2000000000000002</v>
      </c>
      <c r="BN36" s="35">
        <v>22</v>
      </c>
      <c r="BO36" s="25">
        <v>56.55</v>
      </c>
      <c r="BP36" s="25">
        <v>1.64</v>
      </c>
      <c r="BQ36" s="25">
        <v>9.8000000000000007</v>
      </c>
      <c r="BR36" s="24">
        <v>510730</v>
      </c>
      <c r="BS36" s="33">
        <v>8.5999999999999993E-2</v>
      </c>
      <c r="BT36" s="25">
        <v>7.0000000000000007E-2</v>
      </c>
      <c r="BU36" s="34">
        <v>2.2999999999999998</v>
      </c>
      <c r="BV36" s="35">
        <v>23</v>
      </c>
      <c r="BW36" s="25">
        <v>56.8</v>
      </c>
      <c r="BX36" s="25">
        <v>1.6</v>
      </c>
      <c r="BY36" s="25">
        <v>9.4</v>
      </c>
      <c r="BZ36" s="24">
        <v>10973</v>
      </c>
      <c r="CA36" s="33">
        <v>0.14899999999999999</v>
      </c>
      <c r="CB36" s="25">
        <v>0.08</v>
      </c>
      <c r="CC36" s="34">
        <v>2.6</v>
      </c>
      <c r="CD36" s="35">
        <v>26</v>
      </c>
      <c r="CE36" s="25">
        <v>57.5</v>
      </c>
      <c r="CF36" s="25">
        <v>1.7</v>
      </c>
      <c r="CG36" s="25">
        <v>8.1999999999999993</v>
      </c>
      <c r="CH36" s="54">
        <v>274164</v>
      </c>
      <c r="CI36" s="74">
        <v>6.6000000000000003E-2</v>
      </c>
      <c r="CJ36" s="55">
        <v>0.06</v>
      </c>
      <c r="CK36" s="75">
        <v>2.2999999999999998</v>
      </c>
      <c r="CL36" s="76">
        <v>23</v>
      </c>
      <c r="CM36" s="55">
        <v>59.56</v>
      </c>
      <c r="CN36" s="55"/>
      <c r="CO36" s="55">
        <v>7.6</v>
      </c>
      <c r="CP36" s="24">
        <v>1164563</v>
      </c>
      <c r="CQ36" s="33">
        <v>7.4999999999999997E-2</v>
      </c>
      <c r="CR36" s="25">
        <v>0.04</v>
      </c>
      <c r="CS36" s="34">
        <v>2.2000000000000002</v>
      </c>
      <c r="CT36" s="35">
        <v>22</v>
      </c>
      <c r="CU36" s="25">
        <v>52.3</v>
      </c>
      <c r="CV36" s="25">
        <v>1.5</v>
      </c>
      <c r="CW36" s="42">
        <v>739311</v>
      </c>
      <c r="CX36" s="48">
        <v>5.1999999999999998E-2</v>
      </c>
      <c r="CY36" s="49">
        <v>0.04</v>
      </c>
      <c r="CZ36" s="50">
        <v>2.1</v>
      </c>
      <c r="DA36" s="51">
        <v>21</v>
      </c>
      <c r="DB36" s="49">
        <v>52.92</v>
      </c>
      <c r="DC36" s="49">
        <v>1.3</v>
      </c>
      <c r="DD36" s="54"/>
      <c r="DE36" s="55"/>
      <c r="DF36" s="55"/>
      <c r="DG36" s="55"/>
      <c r="DH36" s="55"/>
      <c r="DI36" s="55"/>
      <c r="DJ36" s="55"/>
      <c r="DK36" s="55"/>
      <c r="DL36" s="56"/>
      <c r="DM36" s="24">
        <v>32951</v>
      </c>
      <c r="DN36" s="33">
        <v>0.11600000000000001</v>
      </c>
      <c r="DO36" s="25">
        <v>0.06</v>
      </c>
      <c r="DP36" s="34">
        <v>2.4</v>
      </c>
      <c r="DQ36" s="35">
        <v>24</v>
      </c>
      <c r="DR36" s="25">
        <v>58.9</v>
      </c>
      <c r="DS36" s="25"/>
      <c r="DT36" s="25">
        <v>7.6</v>
      </c>
      <c r="DU36" s="57"/>
      <c r="DV36" s="55"/>
      <c r="DW36" s="55"/>
      <c r="DX36" s="55"/>
      <c r="DY36" s="55"/>
      <c r="DZ36" s="55"/>
      <c r="EA36" s="55"/>
      <c r="EB36" s="55"/>
      <c r="EC36" s="55"/>
      <c r="ED36" s="56"/>
      <c r="EE36" s="54"/>
      <c r="EF36" s="55"/>
      <c r="EG36" s="55"/>
      <c r="EH36" s="55"/>
      <c r="EI36" s="55"/>
      <c r="EJ36" s="55"/>
      <c r="EK36" s="55"/>
      <c r="EL36" s="55"/>
      <c r="EM36" s="58"/>
      <c r="EN36" s="39"/>
      <c r="EO36" s="40">
        <f t="shared" si="4"/>
        <v>46112</v>
      </c>
      <c r="EP36" s="40">
        <v>45978</v>
      </c>
      <c r="EQ36" s="40">
        <v>46074</v>
      </c>
      <c r="ER36" s="40" t="s">
        <v>70</v>
      </c>
      <c r="ES36" s="40">
        <v>45930</v>
      </c>
      <c r="ET36" s="40">
        <v>46055</v>
      </c>
      <c r="EU36" s="40" t="s">
        <v>71</v>
      </c>
      <c r="EV36" s="40">
        <v>45992</v>
      </c>
      <c r="EW36" s="40">
        <v>46111</v>
      </c>
      <c r="EX36" s="40" t="s">
        <v>71</v>
      </c>
      <c r="EY36" s="40">
        <v>45688</v>
      </c>
      <c r="EZ36" s="40">
        <v>46111</v>
      </c>
      <c r="FA36" s="40">
        <v>46038</v>
      </c>
      <c r="FB36" s="40">
        <v>46055</v>
      </c>
      <c r="FC36" s="40">
        <v>46055</v>
      </c>
      <c r="FD36" s="40">
        <v>46111</v>
      </c>
      <c r="FE36" s="40">
        <v>46037</v>
      </c>
      <c r="FF36" s="40">
        <v>46048</v>
      </c>
      <c r="FG36" s="40"/>
      <c r="FH36" s="40"/>
      <c r="FI36" s="40">
        <v>46044</v>
      </c>
      <c r="FJ36" s="40">
        <v>46047</v>
      </c>
      <c r="FK36" s="40">
        <v>46047</v>
      </c>
      <c r="FL36" s="40">
        <v>46056</v>
      </c>
      <c r="FM36" s="40">
        <v>46056</v>
      </c>
      <c r="FN36" s="40">
        <v>46056</v>
      </c>
      <c r="FO36" s="40">
        <v>46109</v>
      </c>
      <c r="FP36" s="40">
        <v>46111</v>
      </c>
      <c r="FQ36" s="40">
        <v>46023</v>
      </c>
      <c r="FR36" s="40">
        <v>46074</v>
      </c>
      <c r="FS36" s="40"/>
      <c r="FT36" s="40">
        <v>46022</v>
      </c>
      <c r="FU36" s="40">
        <v>46111</v>
      </c>
      <c r="FV36" s="40"/>
      <c r="FW36" s="40"/>
      <c r="FX36" s="40"/>
      <c r="FY36" s="40">
        <v>46054</v>
      </c>
      <c r="FZ36" s="40">
        <v>46054</v>
      </c>
      <c r="GA36" s="40"/>
      <c r="GB36" s="40"/>
      <c r="GC36" s="40"/>
      <c r="GD36" s="40"/>
    </row>
    <row r="37" spans="1:186" ht="15" thickBot="1" x14ac:dyDescent="0.4">
      <c r="B37" s="41">
        <f t="shared" si="3"/>
        <v>46113</v>
      </c>
      <c r="C37" s="24">
        <v>2506149</v>
      </c>
      <c r="D37" s="25">
        <v>5.26</v>
      </c>
      <c r="E37" s="25">
        <v>0.27</v>
      </c>
      <c r="F37" s="25">
        <v>1.87</v>
      </c>
      <c r="G37" s="25">
        <v>51.72</v>
      </c>
      <c r="H37" s="25">
        <v>2.85</v>
      </c>
      <c r="I37" s="25">
        <v>2.57</v>
      </c>
      <c r="J37" s="25">
        <f t="shared" si="0"/>
        <v>8.27</v>
      </c>
      <c r="K37" s="24">
        <v>2577692</v>
      </c>
      <c r="L37" s="25">
        <v>5.55</v>
      </c>
      <c r="M37" s="25">
        <v>0.27</v>
      </c>
      <c r="N37" s="25">
        <v>1.85</v>
      </c>
      <c r="O37" s="25">
        <v>51.89898436964922</v>
      </c>
      <c r="P37" s="25">
        <v>2.66</v>
      </c>
      <c r="Q37" s="25">
        <v>2.4500000000000002</v>
      </c>
      <c r="R37" s="25">
        <f t="shared" si="1"/>
        <v>7.7700000000000005</v>
      </c>
      <c r="S37" s="42">
        <v>2177488</v>
      </c>
      <c r="T37" s="25">
        <v>5.4</v>
      </c>
      <c r="U37" s="25">
        <v>0.28000000000000003</v>
      </c>
      <c r="V37" s="25">
        <v>1.65</v>
      </c>
      <c r="W37" s="27">
        <v>51.65</v>
      </c>
      <c r="X37" s="25">
        <v>2.7</v>
      </c>
      <c r="Y37" s="25">
        <v>2.35</v>
      </c>
      <c r="Z37" s="25">
        <f t="shared" si="2"/>
        <v>7.75</v>
      </c>
      <c r="AA37" s="42">
        <v>378125</v>
      </c>
      <c r="AB37" s="25">
        <v>84.88</v>
      </c>
      <c r="AC37" s="25">
        <v>0.31</v>
      </c>
      <c r="AD37" s="24">
        <v>529521</v>
      </c>
      <c r="AE37" s="33">
        <v>0.16700000000000001</v>
      </c>
      <c r="AF37" s="25">
        <v>7.0000000000000007E-2</v>
      </c>
      <c r="AG37" s="34">
        <v>2.2000000000000002</v>
      </c>
      <c r="AH37" s="35">
        <v>22</v>
      </c>
      <c r="AI37" s="25">
        <v>36.6</v>
      </c>
      <c r="AJ37" s="25"/>
      <c r="AK37" s="25">
        <v>50.2</v>
      </c>
      <c r="AL37" s="54">
        <v>277435</v>
      </c>
      <c r="AM37" s="74">
        <v>6.2E-2</v>
      </c>
      <c r="AN37" s="55">
        <v>0.03</v>
      </c>
      <c r="AO37" s="75">
        <v>2.1</v>
      </c>
      <c r="AP37" s="76">
        <v>21</v>
      </c>
      <c r="AQ37" s="55">
        <v>38.56</v>
      </c>
      <c r="AR37" s="55"/>
      <c r="AS37" s="55">
        <v>53.2</v>
      </c>
      <c r="AT37" s="24">
        <v>498748</v>
      </c>
      <c r="AU37" s="48">
        <v>9.7000000000000003E-2</v>
      </c>
      <c r="AV37" s="25">
        <v>7.0000000000000007E-2</v>
      </c>
      <c r="AW37" s="34">
        <v>2.2000000000000002</v>
      </c>
      <c r="AX37" s="35">
        <v>22</v>
      </c>
      <c r="AY37" s="25">
        <v>56.01</v>
      </c>
      <c r="AZ37" s="25">
        <v>2.06</v>
      </c>
      <c r="BA37" s="34">
        <v>10</v>
      </c>
      <c r="BB37" s="42">
        <v>992</v>
      </c>
      <c r="BC37" s="48"/>
      <c r="BD37" s="49"/>
      <c r="BE37" s="50"/>
      <c r="BF37" s="51"/>
      <c r="BG37" s="49"/>
      <c r="BH37" s="49"/>
      <c r="BI37" s="49"/>
      <c r="BJ37" s="42">
        <v>20301</v>
      </c>
      <c r="BK37" s="33">
        <v>9.4E-2</v>
      </c>
      <c r="BL37" s="25">
        <v>7.0000000000000007E-2</v>
      </c>
      <c r="BM37" s="25">
        <v>2.2000000000000002</v>
      </c>
      <c r="BN37" s="35">
        <v>22</v>
      </c>
      <c r="BO37" s="25">
        <v>56.55</v>
      </c>
      <c r="BP37" s="25">
        <v>1.64</v>
      </c>
      <c r="BQ37" s="25">
        <v>9.8000000000000007</v>
      </c>
      <c r="BR37" s="24">
        <v>501310</v>
      </c>
      <c r="BS37" s="33">
        <v>0.09</v>
      </c>
      <c r="BT37" s="25">
        <v>7.0000000000000007E-2</v>
      </c>
      <c r="BU37" s="34">
        <v>2.2999999999999998</v>
      </c>
      <c r="BV37" s="35">
        <v>23</v>
      </c>
      <c r="BW37" s="25">
        <v>56.8</v>
      </c>
      <c r="BX37" s="25">
        <v>1.6</v>
      </c>
      <c r="BY37" s="25">
        <v>9.4</v>
      </c>
      <c r="BZ37" s="24">
        <v>10973</v>
      </c>
      <c r="CA37" s="33">
        <v>0.155</v>
      </c>
      <c r="CB37" s="25">
        <v>0.08</v>
      </c>
      <c r="CC37" s="34">
        <v>2.6</v>
      </c>
      <c r="CD37" s="35">
        <v>26</v>
      </c>
      <c r="CE37" s="25">
        <v>57.5</v>
      </c>
      <c r="CF37" s="25">
        <v>1.7</v>
      </c>
      <c r="CG37" s="25">
        <v>8.1999999999999993</v>
      </c>
      <c r="CH37" s="54">
        <v>455021</v>
      </c>
      <c r="CI37" s="74">
        <v>0.06</v>
      </c>
      <c r="CJ37" s="55">
        <v>0.05</v>
      </c>
      <c r="CK37" s="75">
        <v>2.2000000000000002</v>
      </c>
      <c r="CL37" s="76">
        <v>22</v>
      </c>
      <c r="CM37" s="55">
        <v>58.93</v>
      </c>
      <c r="CN37" s="55"/>
      <c r="CO37" s="55">
        <v>8.8000000000000007</v>
      </c>
      <c r="CP37" s="42">
        <v>902919</v>
      </c>
      <c r="CQ37" s="33">
        <v>7.4999999999999997E-2</v>
      </c>
      <c r="CR37" s="25">
        <v>0.04</v>
      </c>
      <c r="CS37" s="34">
        <v>2.2000000000000002</v>
      </c>
      <c r="CT37" s="35">
        <v>22</v>
      </c>
      <c r="CU37" s="25">
        <v>52.3</v>
      </c>
      <c r="CV37" s="25">
        <v>1.5</v>
      </c>
      <c r="CW37" s="42">
        <v>1013146</v>
      </c>
      <c r="CX37" s="48">
        <v>5.2999999999999999E-2</v>
      </c>
      <c r="CY37" s="49">
        <v>0.03</v>
      </c>
      <c r="CZ37" s="50">
        <v>2.1</v>
      </c>
      <c r="DA37" s="51">
        <v>21</v>
      </c>
      <c r="DB37" s="49">
        <v>52.35</v>
      </c>
      <c r="DC37" s="49">
        <v>1</v>
      </c>
      <c r="DD37" s="54"/>
      <c r="DE37" s="55"/>
      <c r="DF37" s="55"/>
      <c r="DG37" s="55"/>
      <c r="DH37" s="55"/>
      <c r="DI37" s="55"/>
      <c r="DJ37" s="55"/>
      <c r="DK37" s="55"/>
      <c r="DL37" s="56"/>
      <c r="DM37" s="24">
        <v>32951</v>
      </c>
      <c r="DN37" s="33">
        <v>0.11600000000000001</v>
      </c>
      <c r="DO37" s="25">
        <v>0.06</v>
      </c>
      <c r="DP37" s="34">
        <v>2.4</v>
      </c>
      <c r="DQ37" s="35">
        <v>24</v>
      </c>
      <c r="DR37" s="25">
        <v>58.9</v>
      </c>
      <c r="DS37" s="25"/>
      <c r="DT37" s="25">
        <v>7.6</v>
      </c>
      <c r="DU37" s="57"/>
      <c r="DV37" s="55"/>
      <c r="DW37" s="55"/>
      <c r="DX37" s="55"/>
      <c r="DY37" s="55"/>
      <c r="DZ37" s="55"/>
      <c r="EA37" s="55"/>
      <c r="EB37" s="55"/>
      <c r="EC37" s="55"/>
      <c r="ED37" s="56"/>
      <c r="EE37" s="54"/>
      <c r="EF37" s="55"/>
      <c r="EG37" s="55"/>
      <c r="EH37" s="55"/>
      <c r="EI37" s="55"/>
      <c r="EJ37" s="55"/>
      <c r="EK37" s="55"/>
      <c r="EL37" s="55"/>
      <c r="EM37" s="58"/>
      <c r="EN37" s="39"/>
      <c r="EO37" s="40">
        <f t="shared" si="4"/>
        <v>46113</v>
      </c>
      <c r="EP37" s="40">
        <v>45978</v>
      </c>
      <c r="EQ37" s="40">
        <v>46074</v>
      </c>
      <c r="ER37" s="40" t="s">
        <v>70</v>
      </c>
      <c r="ES37" s="40">
        <v>45930</v>
      </c>
      <c r="ET37" s="40">
        <v>46055</v>
      </c>
      <c r="EU37" s="40" t="s">
        <v>71</v>
      </c>
      <c r="EV37" s="40">
        <v>45992</v>
      </c>
      <c r="EW37" s="40">
        <v>46112</v>
      </c>
      <c r="EX37" s="40" t="s">
        <v>71</v>
      </c>
      <c r="EY37" s="40">
        <v>45688</v>
      </c>
      <c r="EZ37" s="40">
        <v>46112</v>
      </c>
      <c r="FA37" s="40">
        <v>46038</v>
      </c>
      <c r="FB37" s="40">
        <v>46055</v>
      </c>
      <c r="FC37" s="40">
        <v>46055</v>
      </c>
      <c r="FD37" s="40">
        <v>46112</v>
      </c>
      <c r="FE37" s="40">
        <v>46037</v>
      </c>
      <c r="FF37" s="40">
        <v>46048</v>
      </c>
      <c r="FG37" s="40"/>
      <c r="FH37" s="40"/>
      <c r="FI37" s="40">
        <v>46044</v>
      </c>
      <c r="FJ37" s="40">
        <v>46047</v>
      </c>
      <c r="FK37" s="40">
        <v>46047</v>
      </c>
      <c r="FL37" s="40">
        <v>46056</v>
      </c>
      <c r="FM37" s="40">
        <v>46056</v>
      </c>
      <c r="FN37" s="40">
        <v>46056</v>
      </c>
      <c r="FO37" s="40">
        <v>46109</v>
      </c>
      <c r="FP37" s="40">
        <v>46112</v>
      </c>
      <c r="FQ37" s="40">
        <v>46023</v>
      </c>
      <c r="FR37" s="40">
        <v>46074</v>
      </c>
      <c r="FS37" s="40"/>
      <c r="FT37" s="40">
        <v>46022</v>
      </c>
      <c r="FU37" s="40">
        <v>46112</v>
      </c>
      <c r="FV37" s="40"/>
      <c r="FW37" s="40"/>
      <c r="FX37" s="40"/>
      <c r="FY37" s="40">
        <v>46054</v>
      </c>
      <c r="FZ37" s="40">
        <v>46054</v>
      </c>
      <c r="GA37" s="40"/>
      <c r="GB37" s="40"/>
      <c r="GC37" s="40"/>
      <c r="GD37" s="40"/>
    </row>
    <row r="38" spans="1:186" s="12" customFormat="1" ht="17" customHeight="1" thickBot="1" x14ac:dyDescent="0.4">
      <c r="A38" s="3"/>
      <c r="B38" s="59"/>
      <c r="C38" s="60"/>
      <c r="D38" s="61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0"/>
      <c r="T38" s="61"/>
      <c r="U38" s="61"/>
      <c r="V38" s="61"/>
      <c r="W38" s="61"/>
      <c r="X38" s="61"/>
      <c r="Y38" s="61"/>
      <c r="Z38" s="61"/>
      <c r="AA38" s="60"/>
      <c r="AB38" s="61"/>
      <c r="AC38" s="61"/>
      <c r="AD38" s="60"/>
      <c r="AE38" s="62"/>
      <c r="AF38" s="61"/>
      <c r="AG38" s="63"/>
      <c r="AH38" s="64"/>
      <c r="AI38" s="61"/>
      <c r="AJ38" s="61"/>
      <c r="AK38" s="63"/>
      <c r="AL38" s="60"/>
      <c r="AM38" s="61"/>
      <c r="AN38" s="61"/>
      <c r="AO38" s="61"/>
      <c r="AP38" s="61"/>
      <c r="AQ38" s="61"/>
      <c r="AR38" s="61"/>
      <c r="AS38" s="61"/>
      <c r="AT38" s="60"/>
      <c r="AU38" s="62"/>
      <c r="AV38" s="61"/>
      <c r="AW38" s="63"/>
      <c r="AX38" s="64"/>
      <c r="AY38" s="61"/>
      <c r="AZ38" s="61"/>
      <c r="BA38" s="63"/>
      <c r="BB38" s="60"/>
      <c r="BC38" s="62"/>
      <c r="BD38" s="61"/>
      <c r="BE38" s="61"/>
      <c r="BF38" s="61"/>
      <c r="BG38" s="61"/>
      <c r="BH38" s="61"/>
      <c r="BI38" s="61"/>
      <c r="BJ38" s="60"/>
      <c r="BK38" s="61"/>
      <c r="BL38" s="61"/>
      <c r="BM38" s="61"/>
      <c r="BN38" s="61"/>
      <c r="BO38" s="61"/>
      <c r="BP38" s="61"/>
      <c r="BQ38" s="61"/>
      <c r="BR38" s="60"/>
      <c r="BS38" s="62"/>
      <c r="BT38" s="61"/>
      <c r="BU38" s="63"/>
      <c r="BV38" s="64"/>
      <c r="BW38" s="61"/>
      <c r="BX38" s="61"/>
      <c r="BY38" s="61"/>
      <c r="BZ38" s="60"/>
      <c r="CA38" s="61"/>
      <c r="CB38" s="61"/>
      <c r="CC38" s="61"/>
      <c r="CD38" s="61"/>
      <c r="CE38" s="61"/>
      <c r="CF38" s="61"/>
      <c r="CG38" s="61"/>
      <c r="CH38" s="60"/>
      <c r="CI38" s="61"/>
      <c r="CJ38" s="61"/>
      <c r="CK38" s="61"/>
      <c r="CL38" s="61"/>
      <c r="CM38" s="61"/>
      <c r="CN38" s="61"/>
      <c r="CO38" s="61"/>
      <c r="CP38" s="60"/>
      <c r="CQ38" s="62"/>
      <c r="CR38" s="61"/>
      <c r="CS38" s="63"/>
      <c r="CT38" s="64"/>
      <c r="CU38" s="61"/>
      <c r="CV38" s="61"/>
      <c r="CW38" s="60"/>
      <c r="CX38" s="62"/>
      <c r="CY38" s="61"/>
      <c r="CZ38" s="63"/>
      <c r="DA38" s="64"/>
      <c r="DB38" s="61"/>
      <c r="DC38" s="61"/>
      <c r="DD38" s="60"/>
      <c r="DE38" s="61"/>
      <c r="DF38" s="61"/>
      <c r="DG38" s="61"/>
      <c r="DH38" s="61"/>
      <c r="DI38" s="61"/>
      <c r="DJ38" s="61"/>
      <c r="DK38" s="61"/>
      <c r="DL38" s="65"/>
      <c r="DM38" s="60"/>
      <c r="DN38" s="61"/>
      <c r="DO38" s="61"/>
      <c r="DP38" s="61"/>
      <c r="DQ38" s="61"/>
      <c r="DR38" s="61"/>
      <c r="DS38" s="61"/>
      <c r="DT38" s="61"/>
      <c r="DU38" s="66"/>
      <c r="DV38" s="61"/>
      <c r="DW38" s="61"/>
      <c r="DX38" s="61"/>
      <c r="DY38" s="61"/>
      <c r="DZ38" s="61"/>
      <c r="EA38" s="61"/>
      <c r="EB38" s="61"/>
      <c r="EC38" s="61"/>
      <c r="ED38" s="61"/>
      <c r="EE38" s="60"/>
      <c r="EF38" s="61"/>
      <c r="EG38" s="61"/>
      <c r="EH38" s="61"/>
      <c r="EI38" s="61"/>
      <c r="EJ38" s="61"/>
      <c r="EK38" s="61"/>
      <c r="EL38" s="61"/>
      <c r="EM38" s="61"/>
      <c r="EN38" s="67"/>
      <c r="EO38" s="40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  <c r="FZ38" s="68"/>
      <c r="GA38" s="68"/>
      <c r="GB38" s="68"/>
      <c r="GC38" s="68"/>
      <c r="GD38" s="68"/>
    </row>
    <row r="39" spans="1:186" s="12" customFormat="1" ht="17" hidden="1" customHeight="1" thickBot="1" x14ac:dyDescent="0.4">
      <c r="A39" s="3"/>
      <c r="B39" s="69">
        <f>B6-1</f>
        <v>46081</v>
      </c>
      <c r="C39" s="60"/>
      <c r="D39" s="61"/>
      <c r="E39" s="61"/>
      <c r="F39" s="61"/>
      <c r="G39" s="61"/>
      <c r="H39" s="61"/>
      <c r="I39" s="61"/>
      <c r="J39" s="61"/>
      <c r="K39" s="60"/>
      <c r="L39" s="61"/>
      <c r="M39" s="61"/>
      <c r="N39" s="61"/>
      <c r="O39" s="61"/>
      <c r="P39" s="61"/>
      <c r="Q39" s="61"/>
      <c r="R39" s="61"/>
      <c r="S39" s="60"/>
      <c r="T39" s="61"/>
      <c r="U39" s="61"/>
      <c r="V39" s="61"/>
      <c r="W39" s="61"/>
      <c r="X39" s="61"/>
      <c r="Y39" s="61"/>
      <c r="Z39" s="61"/>
      <c r="AA39" s="60"/>
      <c r="AB39" s="61"/>
      <c r="AC39" s="61"/>
      <c r="AD39" s="60"/>
      <c r="AE39" s="61"/>
      <c r="AF39" s="61"/>
      <c r="AG39" s="61"/>
      <c r="AH39" s="61"/>
      <c r="AI39" s="61"/>
      <c r="AJ39" s="61"/>
      <c r="AK39" s="61"/>
      <c r="AL39" s="60"/>
      <c r="AM39" s="61"/>
      <c r="AN39" s="61"/>
      <c r="AO39" s="61"/>
      <c r="AP39" s="61"/>
      <c r="AQ39" s="61"/>
      <c r="AR39" s="61"/>
      <c r="AS39" s="61"/>
      <c r="AT39" s="60"/>
      <c r="AU39" s="61"/>
      <c r="AV39" s="61"/>
      <c r="AW39" s="61"/>
      <c r="AX39" s="61"/>
      <c r="AY39" s="61"/>
      <c r="AZ39" s="61"/>
      <c r="BA39" s="61"/>
      <c r="BB39" s="60"/>
      <c r="BC39" s="61"/>
      <c r="BD39" s="61"/>
      <c r="BE39" s="61"/>
      <c r="BF39" s="61"/>
      <c r="BG39" s="61"/>
      <c r="BH39" s="61"/>
      <c r="BI39" s="61"/>
      <c r="BJ39" s="60"/>
      <c r="BK39" s="61"/>
      <c r="BL39" s="61"/>
      <c r="BM39" s="61"/>
      <c r="BN39" s="61"/>
      <c r="BO39" s="61"/>
      <c r="BP39" s="61"/>
      <c r="BQ39" s="61"/>
      <c r="BR39" s="60"/>
      <c r="BS39" s="61"/>
      <c r="BT39" s="61"/>
      <c r="BU39" s="61"/>
      <c r="BV39" s="61"/>
      <c r="BW39" s="61"/>
      <c r="BX39" s="61"/>
      <c r="BY39" s="61"/>
      <c r="BZ39" s="60"/>
      <c r="CA39" s="61"/>
      <c r="CB39" s="61"/>
      <c r="CC39" s="61"/>
      <c r="CD39" s="61"/>
      <c r="CE39" s="61"/>
      <c r="CF39" s="61"/>
      <c r="CG39" s="61"/>
      <c r="CH39" s="60"/>
      <c r="CI39" s="61"/>
      <c r="CJ39" s="61"/>
      <c r="CK39" s="61"/>
      <c r="CL39" s="61"/>
      <c r="CM39" s="61"/>
      <c r="CN39" s="61"/>
      <c r="CO39" s="61"/>
      <c r="CP39" s="60"/>
      <c r="CQ39" s="61"/>
      <c r="CR39" s="61"/>
      <c r="CS39" s="61"/>
      <c r="CT39" s="61"/>
      <c r="CU39" s="61"/>
      <c r="CV39" s="61"/>
      <c r="CW39" s="60"/>
      <c r="CX39" s="61"/>
      <c r="CY39" s="61"/>
      <c r="CZ39" s="61"/>
      <c r="DA39" s="61"/>
      <c r="DB39" s="61"/>
      <c r="DC39" s="61"/>
      <c r="DD39" s="60"/>
      <c r="DE39" s="61"/>
      <c r="DF39" s="61"/>
      <c r="DG39" s="61"/>
      <c r="DH39" s="61"/>
      <c r="DI39" s="61"/>
      <c r="DJ39" s="61"/>
      <c r="DK39" s="61"/>
      <c r="DL39" s="61"/>
      <c r="DM39" s="60"/>
      <c r="DN39" s="61"/>
      <c r="DO39" s="61"/>
      <c r="DP39" s="61"/>
      <c r="DQ39" s="61"/>
      <c r="DR39" s="61"/>
      <c r="DS39" s="61"/>
      <c r="DT39" s="61"/>
      <c r="DU39" s="66"/>
      <c r="DV39" s="61"/>
      <c r="DW39" s="61"/>
      <c r="DX39" s="61"/>
      <c r="DY39" s="61"/>
      <c r="DZ39" s="61"/>
      <c r="EA39" s="61"/>
      <c r="EB39" s="61"/>
      <c r="EC39" s="61"/>
      <c r="ED39" s="61"/>
      <c r="EE39" s="60"/>
      <c r="EF39" s="61"/>
      <c r="EG39" s="61"/>
      <c r="EH39" s="61"/>
      <c r="EI39" s="61"/>
      <c r="EJ39" s="61"/>
      <c r="EK39" s="61"/>
      <c r="EL39" s="61"/>
      <c r="EM39" s="61"/>
      <c r="EN39" s="67"/>
      <c r="EO39" s="3"/>
    </row>
  </sheetData>
  <mergeCells count="77">
    <mergeCell ref="B2:B5"/>
    <mergeCell ref="C2:Z2"/>
    <mergeCell ref="AA2:AC2"/>
    <mergeCell ref="AD2:AS2"/>
    <mergeCell ref="AT2:CO2"/>
    <mergeCell ref="BR3:BY3"/>
    <mergeCell ref="BZ3:CG3"/>
    <mergeCell ref="CH3:CO3"/>
    <mergeCell ref="C4:C5"/>
    <mergeCell ref="K4:K5"/>
    <mergeCell ref="S4:S5"/>
    <mergeCell ref="AA4:AA5"/>
    <mergeCell ref="AD4:AD5"/>
    <mergeCell ref="BB4:BB5"/>
    <mergeCell ref="DD2:EM2"/>
    <mergeCell ref="C3:J3"/>
    <mergeCell ref="K3:R3"/>
    <mergeCell ref="S3:Z3"/>
    <mergeCell ref="AA3:AC3"/>
    <mergeCell ref="AD3:AK3"/>
    <mergeCell ref="AL3:AS3"/>
    <mergeCell ref="AT3:BA3"/>
    <mergeCell ref="BB3:BI3"/>
    <mergeCell ref="BJ3:BQ3"/>
    <mergeCell ref="CP2:DC2"/>
    <mergeCell ref="CP3:CV3"/>
    <mergeCell ref="EE3:EM3"/>
    <mergeCell ref="CW3:DC3"/>
    <mergeCell ref="DD3:DL3"/>
    <mergeCell ref="DM3:DU3"/>
    <mergeCell ref="DV3:ED3"/>
    <mergeCell ref="AG4:AH4"/>
    <mergeCell ref="AL4:AL5"/>
    <mergeCell ref="AO4:AP4"/>
    <mergeCell ref="AT4:AT5"/>
    <mergeCell ref="AW4:AX4"/>
    <mergeCell ref="DG4:DH4"/>
    <mergeCell ref="BE4:BF4"/>
    <mergeCell ref="BJ4:BJ5"/>
    <mergeCell ref="BM4:BN4"/>
    <mergeCell ref="BU4:BV4"/>
    <mergeCell ref="CC4:CD4"/>
    <mergeCell ref="CK4:CL4"/>
    <mergeCell ref="CP4:CP5"/>
    <mergeCell ref="CS4:CT4"/>
    <mergeCell ref="CW4:CW5"/>
    <mergeCell ref="CZ4:DA4"/>
    <mergeCell ref="DD4:DD5"/>
    <mergeCell ref="EX4:EX5"/>
    <mergeCell ref="DM4:DM5"/>
    <mergeCell ref="DP4:DQ4"/>
    <mergeCell ref="DY4:DZ4"/>
    <mergeCell ref="EE4:EE5"/>
    <mergeCell ref="EH4:EI4"/>
    <mergeCell ref="EO4:EO5"/>
    <mergeCell ref="EP4:EQ4"/>
    <mergeCell ref="ER4:ER5"/>
    <mergeCell ref="ES4:ET4"/>
    <mergeCell ref="EU4:EU5"/>
    <mergeCell ref="EV4:EW4"/>
    <mergeCell ref="FT4:FU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S5"/>
    <mergeCell ref="FV4:FV5"/>
    <mergeCell ref="FW4:FX4"/>
    <mergeCell ref="FY4:FZ4"/>
    <mergeCell ref="GA4:GB4"/>
    <mergeCell ref="GC4:GD4"/>
  </mergeCells>
  <conditionalFormatting sqref="D6:D37 L6:L37 T6:T37">
    <cfRule type="cellIs" dxfId="93" priority="21" operator="greaterThan">
      <formula>5</formula>
    </cfRule>
  </conditionalFormatting>
  <conditionalFormatting sqref="E6:E37 M6:M37 U6:U37">
    <cfRule type="cellIs" dxfId="92" priority="20" operator="greaterThan">
      <formula>0.5</formula>
    </cfRule>
  </conditionalFormatting>
  <conditionalFormatting sqref="F6:F37 N6:N37 V6:V37">
    <cfRule type="cellIs" dxfId="91" priority="19" operator="lessThan">
      <formula>2</formula>
    </cfRule>
  </conditionalFormatting>
  <conditionalFormatting sqref="G6:G37 O6:O37 W6:W37">
    <cfRule type="cellIs" dxfId="90" priority="18" operator="lessThan">
      <formula>51</formula>
    </cfRule>
  </conditionalFormatting>
  <conditionalFormatting sqref="H6:H37 P6:P37 X6:X37">
    <cfRule type="cellIs" dxfId="89" priority="17" operator="greaterThan">
      <formula>2.5</formula>
    </cfRule>
  </conditionalFormatting>
  <conditionalFormatting sqref="I6:I37 Q6:Q37 Y6:Y37">
    <cfRule type="cellIs" dxfId="88" priority="16" operator="greaterThan">
      <formula>5</formula>
    </cfRule>
  </conditionalFormatting>
  <conditionalFormatting sqref="J6:J37 R6:R37 Z6:Z37">
    <cfRule type="cellIs" dxfId="87" priority="15" operator="greaterThan">
      <formula>10</formula>
    </cfRule>
  </conditionalFormatting>
  <conditionalFormatting sqref="AB6:AB37">
    <cfRule type="cellIs" dxfId="86" priority="14" operator="lessThan">
      <formula>70</formula>
    </cfRule>
  </conditionalFormatting>
  <conditionalFormatting sqref="AC6:AC37">
    <cfRule type="cellIs" dxfId="85" priority="13" operator="greaterThan">
      <formula>1</formula>
    </cfRule>
  </conditionalFormatting>
  <conditionalFormatting sqref="AE6:AE37 AM6:AM37">
    <cfRule type="cellIs" dxfId="84" priority="12" operator="greaterThan">
      <formula>0.2</formula>
    </cfRule>
  </conditionalFormatting>
  <conditionalFormatting sqref="AF6:AF37 AN6:AN37">
    <cfRule type="cellIs" dxfId="83" priority="11" operator="greaterThan">
      <formula>0.15</formula>
    </cfRule>
  </conditionalFormatting>
  <conditionalFormatting sqref="AG6:AG37 AO6:AO37">
    <cfRule type="cellIs" dxfId="82" priority="10" operator="greaterThan">
      <formula>3</formula>
    </cfRule>
  </conditionalFormatting>
  <conditionalFormatting sqref="AI6:AI37 AQ6:AQ37">
    <cfRule type="cellIs" dxfId="81" priority="9" operator="lessThan">
      <formula>30</formula>
    </cfRule>
  </conditionalFormatting>
  <conditionalFormatting sqref="AK6:AK37 AS6:AS37">
    <cfRule type="cellIs" dxfId="80" priority="8" operator="lessThan">
      <formula>44</formula>
    </cfRule>
  </conditionalFormatting>
  <conditionalFormatting sqref="AU6:AV37 BC6:BD37 BK6:BL37 BS6:BT37 CA6:CB37 CI6:CJ37 DE6:DF37 DN6:DO37 DW6:DX37 EF6:EG37">
    <cfRule type="cellIs" dxfId="79" priority="7" operator="greaterThan">
      <formula>0.1</formula>
    </cfRule>
  </conditionalFormatting>
  <conditionalFormatting sqref="AW6:AW37 BE6:BE37 BM6:BM37 BU6:BU37 CC6:CC37 CK6:CK37 CS6:CS37 CZ6:CZ37 DG6:DG37 DP6:DP37 DY6:DY37 EH6:EH37">
    <cfRule type="cellIs" dxfId="78" priority="6" operator="greaterThan">
      <formula>3</formula>
    </cfRule>
  </conditionalFormatting>
  <conditionalFormatting sqref="AY6:AY37 BG6:BG37 BO6:BO37 BW6:BW37 CM6:CM37 DI6:DI37 DR6:DR37 EA6:EA37 EJ6:EJ37 CE6:CE38">
    <cfRule type="cellIs" dxfId="77" priority="5" operator="lessThan">
      <formula>56</formula>
    </cfRule>
  </conditionalFormatting>
  <conditionalFormatting sqref="BA6:BA37 BI6:BI37 BQ6:BQ37 BY6:BY37 CG6:CG37 CO6:CO37 DK6:DK37 DT6:DT37 EC6:EC37 EL6:EL37">
    <cfRule type="cellIs" dxfId="76" priority="4" operator="greaterThan">
      <formula>10</formula>
    </cfRule>
  </conditionalFormatting>
  <conditionalFormatting sqref="CQ6:CR37 CX6:CY37">
    <cfRule type="cellIs" dxfId="75" priority="3" operator="greaterThan">
      <formula>0.1</formula>
    </cfRule>
  </conditionalFormatting>
  <conditionalFormatting sqref="CU6:CU37 DB6:DB37">
    <cfRule type="cellIs" dxfId="74" priority="2" operator="lessThan">
      <formula>50</formula>
    </cfRule>
  </conditionalFormatting>
  <conditionalFormatting sqref="CV6:CV37 DC6:DC37">
    <cfRule type="cellIs" dxfId="73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57DA-4F4F-4A03-84A0-84E2E9374866}">
  <dimension ref="A1:GT39"/>
  <sheetViews>
    <sheetView view="pageBreakPreview" zoomScale="60" zoomScaleNormal="135" workbookViewId="0">
      <pane xSplit="2" ySplit="5" topLeftCell="CL6" activePane="bottomRight" state="frozen"/>
      <selection pane="topRight" activeCell="C1" sqref="C1"/>
      <selection pane="bottomLeft" activeCell="A5" sqref="A5"/>
      <selection pane="bottomRight" activeCell="A35" sqref="A35:XFD35"/>
    </sheetView>
  </sheetViews>
  <sheetFormatPr defaultColWidth="8.81640625" defaultRowHeight="14.5" x14ac:dyDescent="0.35"/>
  <cols>
    <col min="1" max="1" width="8.81640625" style="3"/>
    <col min="2" max="2" width="14.81640625" style="3" customWidth="1"/>
    <col min="3" max="3" width="10.7265625" style="2" customWidth="1"/>
    <col min="4" max="10" width="8.90625" style="70" customWidth="1"/>
    <col min="11" max="11" width="11.81640625" style="2" customWidth="1"/>
    <col min="12" max="18" width="8.90625" style="70" customWidth="1"/>
    <col min="19" max="19" width="10.1796875" style="2" customWidth="1"/>
    <col min="20" max="26" width="8.81640625" style="70" customWidth="1"/>
    <col min="27" max="27" width="8.81640625" style="2" customWidth="1"/>
    <col min="28" max="29" width="8.81640625" style="70" customWidth="1"/>
    <col min="30" max="30" width="8.81640625" style="2" customWidth="1"/>
    <col min="31" max="37" width="8.81640625" style="70" customWidth="1"/>
    <col min="38" max="38" width="8.81640625" style="2" customWidth="1"/>
    <col min="39" max="45" width="8.81640625" style="70" customWidth="1"/>
    <col min="46" max="46" width="8.81640625" style="2" customWidth="1"/>
    <col min="47" max="53" width="8.81640625" style="70" customWidth="1"/>
    <col min="54" max="54" width="8.81640625" style="2" customWidth="1"/>
    <col min="55" max="61" width="8.81640625" style="70" customWidth="1"/>
    <col min="62" max="62" width="8.81640625" style="2" customWidth="1"/>
    <col min="63" max="69" width="8.81640625" style="70" customWidth="1"/>
    <col min="70" max="70" width="8.81640625" style="2" customWidth="1"/>
    <col min="71" max="77" width="8.81640625" style="70" customWidth="1"/>
    <col min="78" max="78" width="8.81640625" style="2" customWidth="1"/>
    <col min="79" max="85" width="8.81640625" style="70" customWidth="1"/>
    <col min="86" max="86" width="8.81640625" style="2" customWidth="1"/>
    <col min="87" max="93" width="8.81640625" style="70" customWidth="1"/>
    <col min="94" max="94" width="10.1796875" style="2" customWidth="1"/>
    <col min="95" max="100" width="8.81640625" style="70" customWidth="1"/>
    <col min="101" max="101" width="10.54296875" style="2" bestFit="1" customWidth="1"/>
    <col min="102" max="107" width="8.81640625" style="70" customWidth="1"/>
    <col min="108" max="108" width="8.81640625" style="2" customWidth="1"/>
    <col min="109" max="116" width="8.81640625" style="70" customWidth="1"/>
    <col min="117" max="117" width="8.81640625" style="2" customWidth="1"/>
    <col min="118" max="124" width="8.81640625" style="70" customWidth="1"/>
    <col min="125" max="125" width="8.81640625" style="3" customWidth="1"/>
    <col min="126" max="134" width="8.81640625" style="70" customWidth="1"/>
    <col min="135" max="135" width="8.81640625" style="2" customWidth="1"/>
    <col min="136" max="144" width="8.81640625" style="70" customWidth="1"/>
    <col min="145" max="145" width="11.54296875" style="3" bestFit="1" customWidth="1"/>
    <col min="146" max="146" width="11.36328125" style="3" bestFit="1" customWidth="1"/>
    <col min="147" max="147" width="11.1796875" style="3" bestFit="1" customWidth="1"/>
    <col min="148" max="148" width="18.453125" style="3" bestFit="1" customWidth="1"/>
    <col min="149" max="149" width="18.453125" style="3" customWidth="1"/>
    <col min="150" max="151" width="11.08984375" style="3" bestFit="1" customWidth="1"/>
    <col min="152" max="152" width="18.7265625" style="3" bestFit="1" customWidth="1"/>
    <col min="153" max="153" width="18.7265625" style="3" customWidth="1"/>
    <col min="154" max="154" width="11.6328125" style="3" bestFit="1" customWidth="1"/>
    <col min="155" max="155" width="12.08984375" style="3" bestFit="1" customWidth="1"/>
    <col min="156" max="156" width="18.7265625" style="3" bestFit="1" customWidth="1"/>
    <col min="157" max="157" width="13.453125" style="3" bestFit="1" customWidth="1"/>
    <col min="158" max="158" width="11.26953125" style="3" bestFit="1" customWidth="1"/>
    <col min="159" max="159" width="12.08984375" style="3" bestFit="1" customWidth="1"/>
    <col min="160" max="160" width="11.08984375" style="3" customWidth="1"/>
    <col min="161" max="161" width="11.26953125" style="3" bestFit="1" customWidth="1"/>
    <col min="162" max="162" width="11.453125" style="3" bestFit="1" customWidth="1"/>
    <col min="163" max="163" width="11.08984375" style="3" customWidth="1"/>
    <col min="164" max="165" width="11.08984375" style="3" bestFit="1" customWidth="1"/>
    <col min="166" max="166" width="11.08984375" style="3" customWidth="1"/>
    <col min="167" max="168" width="10.81640625" style="3" bestFit="1" customWidth="1"/>
    <col min="169" max="169" width="10.81640625" style="3" customWidth="1"/>
    <col min="170" max="171" width="10.81640625" style="3" bestFit="1" customWidth="1"/>
    <col min="172" max="172" width="14.26953125" style="3" bestFit="1" customWidth="1"/>
    <col min="173" max="173" width="10.81640625" style="3" bestFit="1" customWidth="1"/>
    <col min="174" max="174" width="11.08984375" style="3" bestFit="1" customWidth="1"/>
    <col min="175" max="175" width="14.26953125" style="3" bestFit="1" customWidth="1"/>
    <col min="176" max="176" width="10.81640625" style="3" bestFit="1" customWidth="1"/>
    <col min="177" max="177" width="11.08984375" style="3" bestFit="1" customWidth="1"/>
    <col min="178" max="178" width="20.6328125" style="3" bestFit="1" customWidth="1"/>
    <col min="179" max="180" width="11.08984375" style="3" bestFit="1" customWidth="1"/>
    <col min="181" max="181" width="21.54296875" style="3" bestFit="1" customWidth="1"/>
    <col min="182" max="183" width="11.54296875" style="3" bestFit="1" customWidth="1"/>
    <col min="184" max="184" width="21.54296875" style="3" bestFit="1" customWidth="1"/>
    <col min="185" max="185" width="10.81640625" style="3" bestFit="1" customWidth="1"/>
    <col min="186" max="186" width="11.08984375" style="3" bestFit="1" customWidth="1"/>
    <col min="187" max="187" width="15.08984375" style="3" bestFit="1" customWidth="1"/>
    <col min="188" max="188" width="11.1796875" style="3" bestFit="1" customWidth="1"/>
    <col min="189" max="189" width="11.08984375" style="3" bestFit="1" customWidth="1"/>
    <col min="190" max="190" width="15.08984375" style="3" bestFit="1" customWidth="1"/>
    <col min="191" max="193" width="8.81640625" style="3"/>
    <col min="194" max="195" width="11.08984375" style="3" bestFit="1" customWidth="1"/>
    <col min="196" max="196" width="11.08984375" style="3" customWidth="1"/>
    <col min="197" max="16384" width="8.81640625" style="3"/>
  </cols>
  <sheetData>
    <row r="1" spans="2:202" x14ac:dyDescent="0.35">
      <c r="B1" s="3">
        <v>1</v>
      </c>
      <c r="C1" s="2">
        <v>2</v>
      </c>
      <c r="D1" s="3">
        <v>3</v>
      </c>
      <c r="E1" s="2">
        <v>4</v>
      </c>
      <c r="F1" s="3">
        <v>5</v>
      </c>
      <c r="G1" s="2">
        <v>6</v>
      </c>
      <c r="H1" s="3">
        <v>7</v>
      </c>
      <c r="I1" s="2">
        <v>8</v>
      </c>
      <c r="J1" s="3">
        <v>9</v>
      </c>
      <c r="K1" s="2">
        <v>10</v>
      </c>
      <c r="L1" s="3">
        <v>11</v>
      </c>
      <c r="M1" s="2">
        <v>12</v>
      </c>
      <c r="N1" s="3">
        <v>13</v>
      </c>
      <c r="O1" s="2">
        <v>14</v>
      </c>
      <c r="P1" s="3">
        <v>15</v>
      </c>
      <c r="Q1" s="2">
        <v>16</v>
      </c>
      <c r="R1" s="3">
        <v>17</v>
      </c>
      <c r="S1" s="2">
        <v>18</v>
      </c>
      <c r="T1" s="3">
        <v>19</v>
      </c>
      <c r="U1" s="2">
        <v>20</v>
      </c>
      <c r="V1" s="3">
        <v>21</v>
      </c>
      <c r="W1" s="2">
        <v>22</v>
      </c>
      <c r="X1" s="3">
        <v>23</v>
      </c>
      <c r="Y1" s="2">
        <v>24</v>
      </c>
      <c r="Z1" s="3">
        <v>25</v>
      </c>
      <c r="AA1" s="2">
        <v>26</v>
      </c>
      <c r="AB1" s="3">
        <v>27</v>
      </c>
      <c r="AC1" s="2">
        <v>28</v>
      </c>
      <c r="AD1" s="3">
        <v>29</v>
      </c>
      <c r="AE1" s="2">
        <v>30</v>
      </c>
      <c r="AF1" s="3">
        <v>31</v>
      </c>
      <c r="AG1" s="2">
        <v>32</v>
      </c>
      <c r="AH1" s="3">
        <v>33</v>
      </c>
      <c r="AI1" s="2">
        <v>34</v>
      </c>
      <c r="AJ1" s="3">
        <v>35</v>
      </c>
      <c r="AK1" s="2">
        <v>36</v>
      </c>
      <c r="AL1" s="3">
        <v>37</v>
      </c>
      <c r="AM1" s="2">
        <v>38</v>
      </c>
      <c r="AN1" s="3">
        <v>39</v>
      </c>
      <c r="AO1" s="2">
        <v>40</v>
      </c>
      <c r="AP1" s="3">
        <v>41</v>
      </c>
      <c r="AQ1" s="2">
        <v>42</v>
      </c>
      <c r="AR1" s="3">
        <v>43</v>
      </c>
      <c r="AS1" s="2">
        <v>44</v>
      </c>
      <c r="AT1" s="3">
        <v>45</v>
      </c>
      <c r="AU1" s="2">
        <v>46</v>
      </c>
      <c r="AV1" s="3">
        <v>47</v>
      </c>
      <c r="AW1" s="2">
        <v>48</v>
      </c>
      <c r="AX1" s="3">
        <v>49</v>
      </c>
      <c r="AY1" s="2">
        <v>50</v>
      </c>
      <c r="AZ1" s="3">
        <v>51</v>
      </c>
      <c r="BA1" s="2">
        <v>52</v>
      </c>
      <c r="BB1" s="3">
        <v>53</v>
      </c>
      <c r="BC1" s="2">
        <v>54</v>
      </c>
      <c r="BD1" s="3">
        <v>55</v>
      </c>
      <c r="BE1" s="2">
        <v>56</v>
      </c>
      <c r="BF1" s="3">
        <v>57</v>
      </c>
      <c r="BG1" s="2">
        <v>58</v>
      </c>
      <c r="BH1" s="3">
        <v>59</v>
      </c>
      <c r="BI1" s="2">
        <v>60</v>
      </c>
      <c r="BJ1" s="3">
        <v>61</v>
      </c>
      <c r="BK1" s="2">
        <v>62</v>
      </c>
      <c r="BL1" s="3">
        <v>63</v>
      </c>
      <c r="BM1" s="2">
        <v>64</v>
      </c>
      <c r="BN1" s="3">
        <v>65</v>
      </c>
      <c r="BO1" s="2">
        <v>66</v>
      </c>
      <c r="BP1" s="3">
        <v>67</v>
      </c>
      <c r="BQ1" s="2">
        <v>68</v>
      </c>
      <c r="BR1" s="3">
        <v>69</v>
      </c>
      <c r="BS1" s="2">
        <v>70</v>
      </c>
      <c r="BT1" s="3">
        <v>71</v>
      </c>
      <c r="BU1" s="2">
        <v>72</v>
      </c>
      <c r="BV1" s="3">
        <v>73</v>
      </c>
      <c r="BW1" s="2">
        <v>74</v>
      </c>
      <c r="BX1" s="3">
        <v>75</v>
      </c>
      <c r="BY1" s="2">
        <v>76</v>
      </c>
      <c r="BZ1" s="3">
        <v>77</v>
      </c>
      <c r="CA1" s="2">
        <v>78</v>
      </c>
      <c r="CB1" s="3">
        <v>79</v>
      </c>
      <c r="CC1" s="2">
        <v>80</v>
      </c>
      <c r="CD1" s="3">
        <v>81</v>
      </c>
      <c r="CE1" s="2">
        <v>82</v>
      </c>
      <c r="CF1" s="3">
        <v>83</v>
      </c>
      <c r="CG1" s="2">
        <v>84</v>
      </c>
      <c r="CH1" s="3">
        <v>85</v>
      </c>
      <c r="CI1" s="2">
        <v>86</v>
      </c>
      <c r="CJ1" s="3">
        <v>87</v>
      </c>
      <c r="CK1" s="2">
        <v>88</v>
      </c>
      <c r="CL1" s="3">
        <v>89</v>
      </c>
      <c r="CM1" s="2">
        <v>90</v>
      </c>
      <c r="CN1" s="3">
        <v>91</v>
      </c>
      <c r="CO1" s="2">
        <v>92</v>
      </c>
      <c r="CP1" s="3">
        <v>93</v>
      </c>
      <c r="CQ1" s="2">
        <v>94</v>
      </c>
      <c r="CR1" s="3">
        <v>95</v>
      </c>
      <c r="CS1" s="2">
        <v>96</v>
      </c>
      <c r="CT1" s="3">
        <v>97</v>
      </c>
      <c r="CU1" s="2">
        <v>98</v>
      </c>
      <c r="CV1" s="3">
        <v>99</v>
      </c>
      <c r="CW1" s="2">
        <v>100</v>
      </c>
      <c r="CX1" s="3">
        <v>101</v>
      </c>
      <c r="CY1" s="2">
        <v>102</v>
      </c>
      <c r="CZ1" s="3">
        <v>103</v>
      </c>
      <c r="DA1" s="2">
        <v>104</v>
      </c>
      <c r="DB1" s="3">
        <v>105</v>
      </c>
      <c r="DC1" s="2">
        <v>106</v>
      </c>
      <c r="DD1" s="3">
        <v>107</v>
      </c>
      <c r="DE1" s="2">
        <v>108</v>
      </c>
      <c r="DF1" s="3">
        <v>109</v>
      </c>
      <c r="DG1" s="2">
        <v>110</v>
      </c>
      <c r="DH1" s="3">
        <v>111</v>
      </c>
      <c r="DI1" s="2">
        <v>112</v>
      </c>
      <c r="DJ1" s="3">
        <v>113</v>
      </c>
      <c r="DK1" s="2">
        <v>114</v>
      </c>
      <c r="DL1" s="3">
        <v>115</v>
      </c>
      <c r="DM1" s="2">
        <v>116</v>
      </c>
      <c r="DN1" s="3">
        <v>117</v>
      </c>
      <c r="DO1" s="2">
        <v>118</v>
      </c>
      <c r="DP1" s="3">
        <v>119</v>
      </c>
      <c r="DQ1" s="2">
        <v>120</v>
      </c>
      <c r="DR1" s="3">
        <v>121</v>
      </c>
      <c r="DS1" s="2">
        <v>122</v>
      </c>
      <c r="DT1" s="3">
        <v>123</v>
      </c>
      <c r="DU1" s="2">
        <v>124</v>
      </c>
      <c r="DV1" s="3">
        <v>125</v>
      </c>
      <c r="DW1" s="2">
        <v>126</v>
      </c>
      <c r="DX1" s="3">
        <v>127</v>
      </c>
      <c r="DY1" s="2">
        <v>128</v>
      </c>
      <c r="DZ1" s="3">
        <v>129</v>
      </c>
      <c r="EA1" s="2">
        <v>130</v>
      </c>
      <c r="EB1" s="3">
        <v>131</v>
      </c>
      <c r="EC1" s="2">
        <v>132</v>
      </c>
      <c r="ED1" s="3">
        <v>133</v>
      </c>
      <c r="EE1" s="2">
        <v>134</v>
      </c>
      <c r="EF1" s="3">
        <v>135</v>
      </c>
      <c r="EG1" s="2">
        <v>136</v>
      </c>
      <c r="EH1" s="3">
        <v>137</v>
      </c>
      <c r="EI1" s="2">
        <v>138</v>
      </c>
      <c r="EJ1" s="3">
        <v>139</v>
      </c>
      <c r="EK1" s="2">
        <v>140</v>
      </c>
      <c r="EL1" s="3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</row>
    <row r="2" spans="2:202" x14ac:dyDescent="0.35">
      <c r="B2" s="123" t="s">
        <v>1</v>
      </c>
      <c r="C2" s="121" t="s">
        <v>2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2" t="s">
        <v>3</v>
      </c>
      <c r="AB2" s="122"/>
      <c r="AC2" s="122"/>
      <c r="AD2" s="113" t="s">
        <v>4</v>
      </c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1" t="s">
        <v>5</v>
      </c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5" t="s">
        <v>6</v>
      </c>
      <c r="CQ2" s="116"/>
      <c r="CR2" s="116"/>
      <c r="CS2" s="116"/>
      <c r="CT2" s="116"/>
      <c r="CU2" s="116"/>
      <c r="CV2" s="117"/>
      <c r="CW2" s="118" t="s">
        <v>4</v>
      </c>
      <c r="CX2" s="119"/>
      <c r="CY2" s="119"/>
      <c r="CZ2" s="119"/>
      <c r="DA2" s="119"/>
      <c r="DB2" s="119"/>
      <c r="DC2" s="120"/>
      <c r="DD2" s="110" t="s">
        <v>7</v>
      </c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2"/>
    </row>
    <row r="3" spans="2:202" x14ac:dyDescent="0.35">
      <c r="B3" s="123"/>
      <c r="C3" s="121" t="s">
        <v>8</v>
      </c>
      <c r="D3" s="121"/>
      <c r="E3" s="121"/>
      <c r="F3" s="121"/>
      <c r="G3" s="121"/>
      <c r="H3" s="121"/>
      <c r="I3" s="121"/>
      <c r="J3" s="121"/>
      <c r="K3" s="121" t="s">
        <v>9</v>
      </c>
      <c r="L3" s="121"/>
      <c r="M3" s="121"/>
      <c r="N3" s="121"/>
      <c r="O3" s="121"/>
      <c r="P3" s="121"/>
      <c r="Q3" s="121"/>
      <c r="R3" s="121"/>
      <c r="S3" s="121" t="s">
        <v>10</v>
      </c>
      <c r="T3" s="121"/>
      <c r="U3" s="121"/>
      <c r="V3" s="121"/>
      <c r="W3" s="121"/>
      <c r="X3" s="121"/>
      <c r="Y3" s="121"/>
      <c r="Z3" s="121"/>
      <c r="AA3" s="122" t="s">
        <v>11</v>
      </c>
      <c r="AB3" s="122"/>
      <c r="AC3" s="122"/>
      <c r="AD3" s="113" t="s">
        <v>12</v>
      </c>
      <c r="AE3" s="113"/>
      <c r="AF3" s="113"/>
      <c r="AG3" s="113"/>
      <c r="AH3" s="113"/>
      <c r="AI3" s="113"/>
      <c r="AJ3" s="113"/>
      <c r="AK3" s="113"/>
      <c r="AL3" s="113" t="s">
        <v>13</v>
      </c>
      <c r="AM3" s="113"/>
      <c r="AN3" s="113"/>
      <c r="AO3" s="113"/>
      <c r="AP3" s="113"/>
      <c r="AQ3" s="113"/>
      <c r="AR3" s="113"/>
      <c r="AS3" s="113"/>
      <c r="AT3" s="111" t="s">
        <v>14</v>
      </c>
      <c r="AU3" s="111"/>
      <c r="AV3" s="111"/>
      <c r="AW3" s="111"/>
      <c r="AX3" s="111"/>
      <c r="AY3" s="111"/>
      <c r="AZ3" s="111"/>
      <c r="BA3" s="111"/>
      <c r="BB3" s="111" t="s">
        <v>15</v>
      </c>
      <c r="BC3" s="111"/>
      <c r="BD3" s="111"/>
      <c r="BE3" s="111"/>
      <c r="BF3" s="111"/>
      <c r="BG3" s="111"/>
      <c r="BH3" s="111"/>
      <c r="BI3" s="111"/>
      <c r="BJ3" s="111" t="s">
        <v>16</v>
      </c>
      <c r="BK3" s="111"/>
      <c r="BL3" s="111"/>
      <c r="BM3" s="111"/>
      <c r="BN3" s="111"/>
      <c r="BO3" s="111"/>
      <c r="BP3" s="111"/>
      <c r="BQ3" s="111"/>
      <c r="BR3" s="111" t="s">
        <v>17</v>
      </c>
      <c r="BS3" s="111"/>
      <c r="BT3" s="111"/>
      <c r="BU3" s="111"/>
      <c r="BV3" s="111"/>
      <c r="BW3" s="111"/>
      <c r="BX3" s="111"/>
      <c r="BY3" s="111"/>
      <c r="BZ3" s="111" t="s">
        <v>18</v>
      </c>
      <c r="CA3" s="111"/>
      <c r="CB3" s="111"/>
      <c r="CC3" s="111"/>
      <c r="CD3" s="111"/>
      <c r="CE3" s="111"/>
      <c r="CF3" s="111"/>
      <c r="CG3" s="111"/>
      <c r="CH3" s="111" t="s">
        <v>19</v>
      </c>
      <c r="CI3" s="111"/>
      <c r="CJ3" s="111"/>
      <c r="CK3" s="111"/>
      <c r="CL3" s="111"/>
      <c r="CM3" s="111"/>
      <c r="CN3" s="111"/>
      <c r="CO3" s="111"/>
      <c r="CP3" s="112" t="s">
        <v>20</v>
      </c>
      <c r="CQ3" s="112"/>
      <c r="CR3" s="112"/>
      <c r="CS3" s="112"/>
      <c r="CT3" s="112"/>
      <c r="CU3" s="112"/>
      <c r="CV3" s="112"/>
      <c r="CW3" s="113" t="s">
        <v>21</v>
      </c>
      <c r="CX3" s="113"/>
      <c r="CY3" s="113"/>
      <c r="CZ3" s="113"/>
      <c r="DA3" s="113"/>
      <c r="DB3" s="113"/>
      <c r="DC3" s="113"/>
      <c r="DD3" s="110" t="s">
        <v>22</v>
      </c>
      <c r="DE3" s="110"/>
      <c r="DF3" s="110"/>
      <c r="DG3" s="110"/>
      <c r="DH3" s="110"/>
      <c r="DI3" s="110"/>
      <c r="DJ3" s="110"/>
      <c r="DK3" s="110"/>
      <c r="DL3" s="110"/>
      <c r="DM3" s="110" t="s">
        <v>23</v>
      </c>
      <c r="DN3" s="110"/>
      <c r="DO3" s="110"/>
      <c r="DP3" s="110"/>
      <c r="DQ3" s="110"/>
      <c r="DR3" s="110"/>
      <c r="DS3" s="110"/>
      <c r="DT3" s="110"/>
      <c r="DU3" s="110"/>
      <c r="DV3" s="114" t="s">
        <v>24</v>
      </c>
      <c r="DW3" s="114"/>
      <c r="DX3" s="114"/>
      <c r="DY3" s="114"/>
      <c r="DZ3" s="114"/>
      <c r="EA3" s="114"/>
      <c r="EB3" s="114"/>
      <c r="EC3" s="114"/>
      <c r="ED3" s="114"/>
      <c r="EE3" s="110" t="s">
        <v>25</v>
      </c>
      <c r="EF3" s="110"/>
      <c r="EG3" s="110"/>
      <c r="EH3" s="110"/>
      <c r="EI3" s="110"/>
      <c r="EJ3" s="110"/>
      <c r="EK3" s="110"/>
      <c r="EL3" s="110"/>
      <c r="EM3" s="110"/>
      <c r="EN3" s="2"/>
    </row>
    <row r="4" spans="2:202" x14ac:dyDescent="0.35">
      <c r="B4" s="123"/>
      <c r="C4" s="105"/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10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105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105" t="s">
        <v>26</v>
      </c>
      <c r="AB4" s="6" t="s">
        <v>27</v>
      </c>
      <c r="AC4" s="6" t="s">
        <v>34</v>
      </c>
      <c r="AD4" s="105" t="s">
        <v>26</v>
      </c>
      <c r="AE4" s="6" t="s">
        <v>27</v>
      </c>
      <c r="AF4" s="6" t="s">
        <v>34</v>
      </c>
      <c r="AG4" s="108" t="s">
        <v>35</v>
      </c>
      <c r="AH4" s="109"/>
      <c r="AI4" s="6" t="s">
        <v>30</v>
      </c>
      <c r="AJ4" s="6" t="s">
        <v>31</v>
      </c>
      <c r="AK4" s="6" t="s">
        <v>36</v>
      </c>
      <c r="AL4" s="105" t="s">
        <v>26</v>
      </c>
      <c r="AM4" s="6" t="s">
        <v>27</v>
      </c>
      <c r="AN4" s="6" t="s">
        <v>34</v>
      </c>
      <c r="AO4" s="108" t="s">
        <v>35</v>
      </c>
      <c r="AP4" s="109"/>
      <c r="AQ4" s="6" t="s">
        <v>30</v>
      </c>
      <c r="AR4" s="6" t="s">
        <v>31</v>
      </c>
      <c r="AS4" s="6" t="s">
        <v>36</v>
      </c>
      <c r="AT4" s="105" t="s">
        <v>26</v>
      </c>
      <c r="AU4" s="6" t="s">
        <v>27</v>
      </c>
      <c r="AV4" s="6" t="s">
        <v>34</v>
      </c>
      <c r="AW4" s="108" t="s">
        <v>35</v>
      </c>
      <c r="AX4" s="109"/>
      <c r="AY4" s="6" t="s">
        <v>30</v>
      </c>
      <c r="AZ4" s="6" t="s">
        <v>31</v>
      </c>
      <c r="BA4" s="6" t="s">
        <v>37</v>
      </c>
      <c r="BB4" s="105" t="s">
        <v>26</v>
      </c>
      <c r="BC4" s="6" t="s">
        <v>27</v>
      </c>
      <c r="BD4" s="6" t="s">
        <v>34</v>
      </c>
      <c r="BE4" s="108" t="s">
        <v>35</v>
      </c>
      <c r="BF4" s="109"/>
      <c r="BG4" s="6" t="s">
        <v>30</v>
      </c>
      <c r="BH4" s="6" t="s">
        <v>31</v>
      </c>
      <c r="BI4" s="6" t="s">
        <v>37</v>
      </c>
      <c r="BJ4" s="105" t="s">
        <v>26</v>
      </c>
      <c r="BK4" s="6" t="s">
        <v>27</v>
      </c>
      <c r="BL4" s="6" t="s">
        <v>34</v>
      </c>
      <c r="BM4" s="108" t="s">
        <v>35</v>
      </c>
      <c r="BN4" s="109"/>
      <c r="BO4" s="6" t="s">
        <v>30</v>
      </c>
      <c r="BP4" s="6" t="s">
        <v>31</v>
      </c>
      <c r="BQ4" s="6" t="s">
        <v>37</v>
      </c>
      <c r="BR4" s="7" t="s">
        <v>26</v>
      </c>
      <c r="BS4" s="6" t="s">
        <v>27</v>
      </c>
      <c r="BT4" s="6" t="s">
        <v>34</v>
      </c>
      <c r="BU4" s="108" t="s">
        <v>35</v>
      </c>
      <c r="BV4" s="109"/>
      <c r="BW4" s="6" t="s">
        <v>30</v>
      </c>
      <c r="BX4" s="6" t="s">
        <v>31</v>
      </c>
      <c r="BY4" s="6" t="s">
        <v>37</v>
      </c>
      <c r="BZ4" s="7" t="s">
        <v>26</v>
      </c>
      <c r="CA4" s="6" t="s">
        <v>27</v>
      </c>
      <c r="CB4" s="6" t="s">
        <v>34</v>
      </c>
      <c r="CC4" s="108" t="s">
        <v>35</v>
      </c>
      <c r="CD4" s="109"/>
      <c r="CE4" s="6" t="s">
        <v>30</v>
      </c>
      <c r="CF4" s="6" t="s">
        <v>31</v>
      </c>
      <c r="CG4" s="6" t="s">
        <v>37</v>
      </c>
      <c r="CH4" s="7" t="s">
        <v>26</v>
      </c>
      <c r="CI4" s="6" t="s">
        <v>27</v>
      </c>
      <c r="CJ4" s="6" t="s">
        <v>34</v>
      </c>
      <c r="CK4" s="108" t="s">
        <v>35</v>
      </c>
      <c r="CL4" s="109"/>
      <c r="CM4" s="6" t="s">
        <v>30</v>
      </c>
      <c r="CN4" s="6" t="s">
        <v>31</v>
      </c>
      <c r="CO4" s="6" t="s">
        <v>37</v>
      </c>
      <c r="CP4" s="105" t="s">
        <v>26</v>
      </c>
      <c r="CQ4" s="6" t="s">
        <v>27</v>
      </c>
      <c r="CR4" s="6" t="s">
        <v>34</v>
      </c>
      <c r="CS4" s="108" t="s">
        <v>35</v>
      </c>
      <c r="CT4" s="109"/>
      <c r="CU4" s="6" t="s">
        <v>30</v>
      </c>
      <c r="CV4" s="6" t="s">
        <v>31</v>
      </c>
      <c r="CW4" s="105" t="s">
        <v>26</v>
      </c>
      <c r="CX4" s="6" t="s">
        <v>27</v>
      </c>
      <c r="CY4" s="6" t="s">
        <v>34</v>
      </c>
      <c r="CZ4" s="108" t="s">
        <v>35</v>
      </c>
      <c r="DA4" s="109"/>
      <c r="DB4" s="6" t="s">
        <v>30</v>
      </c>
      <c r="DC4" s="6" t="s">
        <v>36</v>
      </c>
      <c r="DD4" s="105" t="s">
        <v>26</v>
      </c>
      <c r="DE4" s="6" t="s">
        <v>27</v>
      </c>
      <c r="DF4" s="6" t="s">
        <v>34</v>
      </c>
      <c r="DG4" s="101" t="s">
        <v>35</v>
      </c>
      <c r="DH4" s="101"/>
      <c r="DI4" s="6" t="s">
        <v>30</v>
      </c>
      <c r="DJ4" s="6" t="s">
        <v>31</v>
      </c>
      <c r="DK4" s="6" t="s">
        <v>37</v>
      </c>
      <c r="DL4" s="6" t="s">
        <v>38</v>
      </c>
      <c r="DM4" s="105" t="s">
        <v>26</v>
      </c>
      <c r="DN4" s="6" t="s">
        <v>27</v>
      </c>
      <c r="DO4" s="6" t="s">
        <v>34</v>
      </c>
      <c r="DP4" s="101" t="s">
        <v>35</v>
      </c>
      <c r="DQ4" s="101"/>
      <c r="DR4" s="6" t="s">
        <v>30</v>
      </c>
      <c r="DS4" s="6" t="s">
        <v>31</v>
      </c>
      <c r="DT4" s="6" t="s">
        <v>37</v>
      </c>
      <c r="DU4" s="8" t="s">
        <v>38</v>
      </c>
      <c r="DV4" s="6" t="s">
        <v>26</v>
      </c>
      <c r="DW4" s="6" t="s">
        <v>27</v>
      </c>
      <c r="DX4" s="6" t="s">
        <v>34</v>
      </c>
      <c r="DY4" s="101" t="s">
        <v>35</v>
      </c>
      <c r="DZ4" s="101"/>
      <c r="EA4" s="6" t="s">
        <v>30</v>
      </c>
      <c r="EB4" s="6" t="s">
        <v>31</v>
      </c>
      <c r="EC4" s="6" t="s">
        <v>37</v>
      </c>
      <c r="ED4" s="6" t="s">
        <v>38</v>
      </c>
      <c r="EE4" s="107" t="s">
        <v>26</v>
      </c>
      <c r="EF4" s="6" t="s">
        <v>27</v>
      </c>
      <c r="EG4" s="6" t="s">
        <v>34</v>
      </c>
      <c r="EH4" s="101" t="s">
        <v>35</v>
      </c>
      <c r="EI4" s="101"/>
      <c r="EJ4" s="6" t="s">
        <v>30</v>
      </c>
      <c r="EK4" s="6" t="s">
        <v>31</v>
      </c>
      <c r="EL4" s="6" t="s">
        <v>37</v>
      </c>
      <c r="EM4" s="6" t="s">
        <v>38</v>
      </c>
      <c r="EN4" s="9"/>
      <c r="EO4" s="102" t="s">
        <v>39</v>
      </c>
      <c r="EP4" s="104" t="s">
        <v>73</v>
      </c>
      <c r="EQ4" s="104"/>
      <c r="ER4" s="104"/>
      <c r="ES4" s="104"/>
      <c r="ET4" s="104" t="s">
        <v>74</v>
      </c>
      <c r="EU4" s="104"/>
      <c r="EV4" s="104"/>
      <c r="EW4" s="104"/>
      <c r="EX4" s="104" t="s">
        <v>75</v>
      </c>
      <c r="EY4" s="104"/>
      <c r="EZ4" s="104"/>
      <c r="FA4" s="104"/>
      <c r="FB4" s="100" t="s">
        <v>11</v>
      </c>
      <c r="FC4" s="100"/>
      <c r="FD4" s="100"/>
      <c r="FE4" s="99" t="s">
        <v>12</v>
      </c>
      <c r="FF4" s="99"/>
      <c r="FG4" s="99"/>
      <c r="FH4" s="99" t="s">
        <v>13</v>
      </c>
      <c r="FI4" s="99"/>
      <c r="FJ4" s="99"/>
      <c r="FK4" s="97" t="s">
        <v>14</v>
      </c>
      <c r="FL4" s="97"/>
      <c r="FM4" s="97"/>
      <c r="FN4" s="97" t="s">
        <v>15</v>
      </c>
      <c r="FO4" s="97"/>
      <c r="FP4" s="97"/>
      <c r="FQ4" s="97" t="s">
        <v>16</v>
      </c>
      <c r="FR4" s="97"/>
      <c r="FS4" s="97"/>
      <c r="FT4" s="97" t="s">
        <v>17</v>
      </c>
      <c r="FU4" s="97"/>
      <c r="FV4" s="97"/>
      <c r="FW4" s="97" t="s">
        <v>18</v>
      </c>
      <c r="FX4" s="97"/>
      <c r="FY4" s="97"/>
      <c r="FZ4" s="97" t="s">
        <v>19</v>
      </c>
      <c r="GA4" s="97"/>
      <c r="GB4" s="97"/>
      <c r="GC4" s="98" t="s">
        <v>20</v>
      </c>
      <c r="GD4" s="98"/>
      <c r="GE4" s="98"/>
      <c r="GF4" s="98" t="s">
        <v>21</v>
      </c>
      <c r="GG4" s="98"/>
      <c r="GH4" s="98"/>
      <c r="GI4" s="96" t="s">
        <v>40</v>
      </c>
      <c r="GJ4" s="96"/>
      <c r="GK4" s="96"/>
      <c r="GL4" s="96" t="s">
        <v>41</v>
      </c>
      <c r="GM4" s="96"/>
      <c r="GN4" s="96"/>
      <c r="GO4" s="96" t="s">
        <v>42</v>
      </c>
      <c r="GP4" s="96"/>
      <c r="GQ4" s="96"/>
      <c r="GR4" s="96" t="s">
        <v>43</v>
      </c>
      <c r="GS4" s="96"/>
      <c r="GT4" s="96"/>
    </row>
    <row r="5" spans="2:202" s="22" customFormat="1" x14ac:dyDescent="0.35">
      <c r="B5" s="123"/>
      <c r="C5" s="106"/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44</v>
      </c>
      <c r="J5" s="13" t="s">
        <v>49</v>
      </c>
      <c r="K5" s="106"/>
      <c r="L5" s="13" t="s">
        <v>44</v>
      </c>
      <c r="M5" s="13" t="s">
        <v>45</v>
      </c>
      <c r="N5" s="13" t="s">
        <v>46</v>
      </c>
      <c r="O5" s="13" t="s">
        <v>47</v>
      </c>
      <c r="P5" s="13" t="s">
        <v>48</v>
      </c>
      <c r="Q5" s="13" t="s">
        <v>44</v>
      </c>
      <c r="R5" s="13" t="s">
        <v>49</v>
      </c>
      <c r="S5" s="106"/>
      <c r="T5" s="13" t="s">
        <v>44</v>
      </c>
      <c r="U5" s="13" t="s">
        <v>45</v>
      </c>
      <c r="V5" s="13" t="s">
        <v>46</v>
      </c>
      <c r="W5" s="13" t="s">
        <v>47</v>
      </c>
      <c r="X5" s="13" t="s">
        <v>48</v>
      </c>
      <c r="Y5" s="13" t="s">
        <v>44</v>
      </c>
      <c r="Z5" s="13" t="s">
        <v>49</v>
      </c>
      <c r="AA5" s="106"/>
      <c r="AB5" s="6" t="s">
        <v>50</v>
      </c>
      <c r="AC5" s="6" t="s">
        <v>51</v>
      </c>
      <c r="AD5" s="106"/>
      <c r="AE5" s="6" t="s">
        <v>52</v>
      </c>
      <c r="AF5" s="6" t="s">
        <v>53</v>
      </c>
      <c r="AG5" s="6" t="s">
        <v>54</v>
      </c>
      <c r="AH5" s="6" t="s">
        <v>55</v>
      </c>
      <c r="AI5" s="6" t="s">
        <v>56</v>
      </c>
      <c r="AJ5" s="6"/>
      <c r="AK5" s="6" t="s">
        <v>57</v>
      </c>
      <c r="AL5" s="106"/>
      <c r="AM5" s="6" t="s">
        <v>52</v>
      </c>
      <c r="AN5" s="6" t="s">
        <v>53</v>
      </c>
      <c r="AO5" s="6" t="s">
        <v>54</v>
      </c>
      <c r="AP5" s="6" t="s">
        <v>55</v>
      </c>
      <c r="AQ5" s="6" t="s">
        <v>56</v>
      </c>
      <c r="AR5" s="6"/>
      <c r="AS5" s="6" t="s">
        <v>57</v>
      </c>
      <c r="AT5" s="106"/>
      <c r="AU5" s="6" t="s">
        <v>58</v>
      </c>
      <c r="AV5" s="6" t="s">
        <v>58</v>
      </c>
      <c r="AW5" s="6" t="s">
        <v>54</v>
      </c>
      <c r="AX5" s="6" t="s">
        <v>55</v>
      </c>
      <c r="AY5" s="6" t="s">
        <v>59</v>
      </c>
      <c r="AZ5" s="6"/>
      <c r="BA5" s="14" t="s">
        <v>60</v>
      </c>
      <c r="BB5" s="106"/>
      <c r="BC5" s="6" t="s">
        <v>58</v>
      </c>
      <c r="BD5" s="6" t="s">
        <v>58</v>
      </c>
      <c r="BE5" s="6" t="s">
        <v>54</v>
      </c>
      <c r="BF5" s="6" t="s">
        <v>55</v>
      </c>
      <c r="BG5" s="6" t="s">
        <v>59</v>
      </c>
      <c r="BH5" s="6"/>
      <c r="BI5" s="14" t="s">
        <v>60</v>
      </c>
      <c r="BJ5" s="106"/>
      <c r="BK5" s="6" t="s">
        <v>58</v>
      </c>
      <c r="BL5" s="6" t="s">
        <v>58</v>
      </c>
      <c r="BM5" s="6" t="s">
        <v>54</v>
      </c>
      <c r="BN5" s="6" t="s">
        <v>55</v>
      </c>
      <c r="BO5" s="6" t="s">
        <v>59</v>
      </c>
      <c r="BP5" s="6"/>
      <c r="BQ5" s="14" t="s">
        <v>60</v>
      </c>
      <c r="BR5" s="7"/>
      <c r="BS5" s="6" t="s">
        <v>58</v>
      </c>
      <c r="BT5" s="6" t="s">
        <v>58</v>
      </c>
      <c r="BU5" s="6" t="s">
        <v>54</v>
      </c>
      <c r="BV5" s="6" t="s">
        <v>55</v>
      </c>
      <c r="BW5" s="6" t="s">
        <v>59</v>
      </c>
      <c r="BX5" s="6"/>
      <c r="BY5" s="14" t="s">
        <v>60</v>
      </c>
      <c r="BZ5" s="7"/>
      <c r="CA5" s="6" t="s">
        <v>58</v>
      </c>
      <c r="CB5" s="6" t="s">
        <v>58</v>
      </c>
      <c r="CC5" s="6" t="s">
        <v>54</v>
      </c>
      <c r="CD5" s="6" t="s">
        <v>55</v>
      </c>
      <c r="CE5" s="6" t="s">
        <v>59</v>
      </c>
      <c r="CF5" s="6"/>
      <c r="CG5" s="14" t="s">
        <v>60</v>
      </c>
      <c r="CH5" s="7"/>
      <c r="CI5" s="6" t="s">
        <v>58</v>
      </c>
      <c r="CJ5" s="6" t="s">
        <v>58</v>
      </c>
      <c r="CK5" s="6" t="s">
        <v>54</v>
      </c>
      <c r="CL5" s="6" t="s">
        <v>55</v>
      </c>
      <c r="CM5" s="6" t="s">
        <v>59</v>
      </c>
      <c r="CN5" s="6"/>
      <c r="CO5" s="14" t="s">
        <v>60</v>
      </c>
      <c r="CP5" s="106"/>
      <c r="CQ5" s="6" t="s">
        <v>58</v>
      </c>
      <c r="CR5" s="6" t="s">
        <v>58</v>
      </c>
      <c r="CS5" s="6" t="s">
        <v>54</v>
      </c>
      <c r="CT5" s="6" t="s">
        <v>55</v>
      </c>
      <c r="CU5" s="6" t="s">
        <v>61</v>
      </c>
      <c r="CV5" s="6" t="s">
        <v>51</v>
      </c>
      <c r="CW5" s="106"/>
      <c r="CX5" s="6" t="s">
        <v>58</v>
      </c>
      <c r="CY5" s="6" t="s">
        <v>58</v>
      </c>
      <c r="CZ5" s="6" t="s">
        <v>54</v>
      </c>
      <c r="DA5" s="6" t="s">
        <v>55</v>
      </c>
      <c r="DB5" s="6" t="s">
        <v>61</v>
      </c>
      <c r="DC5" s="6" t="s">
        <v>57</v>
      </c>
      <c r="DD5" s="106"/>
      <c r="DE5" s="6" t="s">
        <v>58</v>
      </c>
      <c r="DF5" s="6" t="s">
        <v>58</v>
      </c>
      <c r="DG5" s="6" t="s">
        <v>62</v>
      </c>
      <c r="DH5" s="6" t="s">
        <v>55</v>
      </c>
      <c r="DI5" s="6" t="s">
        <v>59</v>
      </c>
      <c r="DJ5" s="6"/>
      <c r="DK5" s="6" t="s">
        <v>60</v>
      </c>
      <c r="DL5" s="15" t="s">
        <v>63</v>
      </c>
      <c r="DM5" s="106"/>
      <c r="DN5" s="6" t="s">
        <v>58</v>
      </c>
      <c r="DO5" s="6" t="s">
        <v>58</v>
      </c>
      <c r="DP5" s="6" t="s">
        <v>62</v>
      </c>
      <c r="DQ5" s="6" t="s">
        <v>55</v>
      </c>
      <c r="DR5" s="6" t="s">
        <v>59</v>
      </c>
      <c r="DS5" s="6"/>
      <c r="DT5" s="6" t="s">
        <v>60</v>
      </c>
      <c r="DU5" s="15" t="s">
        <v>63</v>
      </c>
      <c r="DV5" s="6"/>
      <c r="DW5" s="6" t="s">
        <v>58</v>
      </c>
      <c r="DX5" s="6" t="s">
        <v>58</v>
      </c>
      <c r="DY5" s="6" t="s">
        <v>62</v>
      </c>
      <c r="DZ5" s="6" t="s">
        <v>55</v>
      </c>
      <c r="EA5" s="6" t="s">
        <v>59</v>
      </c>
      <c r="EB5" s="6"/>
      <c r="EC5" s="6" t="s">
        <v>60</v>
      </c>
      <c r="ED5" s="15" t="s">
        <v>63</v>
      </c>
      <c r="EE5" s="107"/>
      <c r="EF5" s="6" t="s">
        <v>58</v>
      </c>
      <c r="EG5" s="6" t="s">
        <v>58</v>
      </c>
      <c r="EH5" s="6" t="s">
        <v>62</v>
      </c>
      <c r="EI5" s="6" t="s">
        <v>55</v>
      </c>
      <c r="EJ5" s="6" t="s">
        <v>59</v>
      </c>
      <c r="EK5" s="6"/>
      <c r="EL5" s="6" t="s">
        <v>60</v>
      </c>
      <c r="EM5" s="15" t="s">
        <v>63</v>
      </c>
      <c r="EN5" s="16"/>
      <c r="EO5" s="103"/>
      <c r="EP5" s="17" t="s">
        <v>64</v>
      </c>
      <c r="EQ5" s="17" t="s">
        <v>65</v>
      </c>
      <c r="ER5" s="10" t="s">
        <v>69</v>
      </c>
      <c r="ES5" s="10" t="s">
        <v>76</v>
      </c>
      <c r="ET5" s="17" t="s">
        <v>64</v>
      </c>
      <c r="EU5" s="17" t="s">
        <v>65</v>
      </c>
      <c r="EV5" s="10" t="s">
        <v>69</v>
      </c>
      <c r="EW5" s="10" t="s">
        <v>76</v>
      </c>
      <c r="EX5" s="17" t="s">
        <v>64</v>
      </c>
      <c r="EY5" s="17" t="s">
        <v>65</v>
      </c>
      <c r="EZ5" s="10" t="s">
        <v>69</v>
      </c>
      <c r="FA5" s="10" t="s">
        <v>76</v>
      </c>
      <c r="FB5" s="18" t="s">
        <v>64</v>
      </c>
      <c r="FC5" s="18" t="s">
        <v>65</v>
      </c>
      <c r="FD5" s="18" t="s">
        <v>76</v>
      </c>
      <c r="FE5" s="19" t="s">
        <v>64</v>
      </c>
      <c r="FF5" s="19" t="s">
        <v>65</v>
      </c>
      <c r="FG5" s="19" t="s">
        <v>76</v>
      </c>
      <c r="FH5" s="19" t="s">
        <v>64</v>
      </c>
      <c r="FI5" s="19" t="s">
        <v>65</v>
      </c>
      <c r="FJ5" s="19" t="s">
        <v>76</v>
      </c>
      <c r="FK5" s="20" t="s">
        <v>64</v>
      </c>
      <c r="FL5" s="20" t="s">
        <v>65</v>
      </c>
      <c r="FM5" s="20" t="s">
        <v>76</v>
      </c>
      <c r="FN5" s="20" t="s">
        <v>64</v>
      </c>
      <c r="FO5" s="20" t="s">
        <v>65</v>
      </c>
      <c r="FP5" s="20" t="s">
        <v>76</v>
      </c>
      <c r="FQ5" s="20" t="s">
        <v>64</v>
      </c>
      <c r="FR5" s="20" t="s">
        <v>65</v>
      </c>
      <c r="FS5" s="20" t="s">
        <v>76</v>
      </c>
      <c r="FT5" s="20" t="s">
        <v>64</v>
      </c>
      <c r="FU5" s="20" t="s">
        <v>65</v>
      </c>
      <c r="FV5" s="20" t="s">
        <v>76</v>
      </c>
      <c r="FW5" s="20" t="s">
        <v>64</v>
      </c>
      <c r="FX5" s="20" t="s">
        <v>65</v>
      </c>
      <c r="FY5" s="20" t="s">
        <v>76</v>
      </c>
      <c r="FZ5" s="20" t="s">
        <v>64</v>
      </c>
      <c r="GA5" s="20" t="s">
        <v>65</v>
      </c>
      <c r="GB5" s="20" t="s">
        <v>76</v>
      </c>
      <c r="GC5" s="71" t="s">
        <v>64</v>
      </c>
      <c r="GD5" s="71" t="s">
        <v>65</v>
      </c>
      <c r="GE5" s="77" t="s">
        <v>76</v>
      </c>
      <c r="GF5" s="71" t="s">
        <v>64</v>
      </c>
      <c r="GG5" s="71" t="s">
        <v>65</v>
      </c>
      <c r="GH5" s="77" t="s">
        <v>76</v>
      </c>
      <c r="GI5" s="21" t="s">
        <v>64</v>
      </c>
      <c r="GJ5" s="21" t="s">
        <v>65</v>
      </c>
      <c r="GK5" s="21" t="s">
        <v>76</v>
      </c>
      <c r="GL5" s="21" t="s">
        <v>64</v>
      </c>
      <c r="GM5" s="21" t="s">
        <v>65</v>
      </c>
      <c r="GN5" s="21" t="s">
        <v>76</v>
      </c>
      <c r="GO5" s="21" t="s">
        <v>64</v>
      </c>
      <c r="GP5" s="21" t="s">
        <v>65</v>
      </c>
      <c r="GQ5" s="21" t="s">
        <v>76</v>
      </c>
      <c r="GR5" s="21" t="s">
        <v>64</v>
      </c>
      <c r="GS5" s="21" t="s">
        <v>65</v>
      </c>
      <c r="GT5" s="21" t="s">
        <v>76</v>
      </c>
    </row>
    <row r="6" spans="2:202" x14ac:dyDescent="0.35">
      <c r="B6" s="23">
        <f>[5]Refinery!B6</f>
        <v>46113</v>
      </c>
      <c r="C6" s="24">
        <v>2506149</v>
      </c>
      <c r="D6" s="25">
        <v>5.26</v>
      </c>
      <c r="E6" s="25">
        <v>0.27</v>
      </c>
      <c r="F6" s="25">
        <v>1.87</v>
      </c>
      <c r="G6" s="25">
        <v>51.72</v>
      </c>
      <c r="H6" s="25">
        <v>2.85</v>
      </c>
      <c r="I6" s="25">
        <v>2.57</v>
      </c>
      <c r="J6" s="25">
        <f>(2*H6)+I6</f>
        <v>8.27</v>
      </c>
      <c r="K6" s="24">
        <v>2577692</v>
      </c>
      <c r="L6" s="25">
        <v>5.55</v>
      </c>
      <c r="M6" s="25">
        <v>0.27</v>
      </c>
      <c r="N6" s="25">
        <v>1.85</v>
      </c>
      <c r="O6" s="25">
        <v>51.89898436964922</v>
      </c>
      <c r="P6" s="25">
        <v>2.66</v>
      </c>
      <c r="Q6" s="25">
        <v>2.4500000000000002</v>
      </c>
      <c r="R6" s="25">
        <f t="shared" ref="R6:R36" si="0">(2*P6)+Q6</f>
        <v>7.7700000000000005</v>
      </c>
      <c r="S6" s="24">
        <v>2177488</v>
      </c>
      <c r="T6" s="25">
        <v>5.41</v>
      </c>
      <c r="U6" s="25">
        <v>0.28000000000000003</v>
      </c>
      <c r="V6" s="25">
        <v>1.65</v>
      </c>
      <c r="W6" s="25">
        <v>51.65</v>
      </c>
      <c r="X6" s="25">
        <v>2.7</v>
      </c>
      <c r="Y6" s="25">
        <v>2.35</v>
      </c>
      <c r="Z6" s="25">
        <f t="shared" ref="Z6:Z36" si="1">(2*X6)+Y6</f>
        <v>7.75</v>
      </c>
      <c r="AA6" s="24">
        <v>378125</v>
      </c>
      <c r="AB6" s="25">
        <v>84.88</v>
      </c>
      <c r="AC6" s="25">
        <v>0.31</v>
      </c>
      <c r="AD6" s="24">
        <v>529521</v>
      </c>
      <c r="AE6" s="33">
        <v>0.16700000000000001</v>
      </c>
      <c r="AF6" s="25">
        <v>7.0000000000000007E-2</v>
      </c>
      <c r="AG6" s="34">
        <v>2.2000000000000002</v>
      </c>
      <c r="AH6" s="35">
        <v>22</v>
      </c>
      <c r="AI6" s="25">
        <v>36.6</v>
      </c>
      <c r="AJ6" s="25"/>
      <c r="AK6" s="25">
        <v>50.2</v>
      </c>
      <c r="AL6" s="24">
        <v>277435</v>
      </c>
      <c r="AM6" s="33">
        <v>6.2E-2</v>
      </c>
      <c r="AN6" s="25">
        <v>0.03</v>
      </c>
      <c r="AO6" s="34">
        <v>2.1</v>
      </c>
      <c r="AP6" s="35">
        <v>21</v>
      </c>
      <c r="AQ6" s="25">
        <v>38.56</v>
      </c>
      <c r="AR6" s="25"/>
      <c r="AS6" s="25">
        <v>53.2</v>
      </c>
      <c r="AT6" s="24">
        <v>498748</v>
      </c>
      <c r="AU6" s="33">
        <v>9.7000000000000003E-2</v>
      </c>
      <c r="AV6" s="25">
        <v>7.0000000000000007E-2</v>
      </c>
      <c r="AW6" s="34">
        <v>2.2000000000000002</v>
      </c>
      <c r="AX6" s="35">
        <v>22</v>
      </c>
      <c r="AY6" s="25">
        <v>56.01</v>
      </c>
      <c r="AZ6" s="25">
        <v>2.06</v>
      </c>
      <c r="BA6" s="34">
        <v>10</v>
      </c>
      <c r="BB6" s="24">
        <v>992</v>
      </c>
      <c r="BC6" s="33"/>
      <c r="BD6" s="25"/>
      <c r="BE6" s="25"/>
      <c r="BF6" s="25"/>
      <c r="BG6" s="25"/>
      <c r="BH6" s="25"/>
      <c r="BI6" s="25"/>
      <c r="BJ6" s="24">
        <v>20301</v>
      </c>
      <c r="BK6" s="33">
        <v>9.4E-2</v>
      </c>
      <c r="BL6" s="25">
        <v>7.0000000000000007E-2</v>
      </c>
      <c r="BM6" s="25">
        <v>2.2000000000000002</v>
      </c>
      <c r="BN6" s="25">
        <v>22</v>
      </c>
      <c r="BO6" s="25">
        <v>56.55</v>
      </c>
      <c r="BP6" s="25">
        <v>1.64</v>
      </c>
      <c r="BQ6" s="25">
        <v>9.8000000000000007</v>
      </c>
      <c r="BR6" s="24">
        <v>501310</v>
      </c>
      <c r="BS6" s="33">
        <v>0.09</v>
      </c>
      <c r="BT6" s="25">
        <v>7.0000000000000007E-2</v>
      </c>
      <c r="BU6" s="25">
        <v>2.2999999999999998</v>
      </c>
      <c r="BV6" s="25">
        <v>23</v>
      </c>
      <c r="BW6" s="25">
        <v>56.8</v>
      </c>
      <c r="BX6" s="25">
        <v>1.6</v>
      </c>
      <c r="BY6" s="25">
        <v>9.4</v>
      </c>
      <c r="BZ6" s="24">
        <v>10973</v>
      </c>
      <c r="CA6" s="33">
        <v>0.155</v>
      </c>
      <c r="CB6" s="25">
        <v>0.08</v>
      </c>
      <c r="CC6" s="34">
        <v>2.6</v>
      </c>
      <c r="CD6" s="35">
        <v>26</v>
      </c>
      <c r="CE6" s="25">
        <v>57.5</v>
      </c>
      <c r="CF6" s="25">
        <v>1.7</v>
      </c>
      <c r="CG6" s="25">
        <v>8.1999999999999993</v>
      </c>
      <c r="CH6" s="24">
        <v>455021</v>
      </c>
      <c r="CI6" s="33">
        <v>0.06</v>
      </c>
      <c r="CJ6" s="25">
        <v>0.05</v>
      </c>
      <c r="CK6" s="25">
        <v>2.2000000000000002</v>
      </c>
      <c r="CL6" s="25">
        <v>22</v>
      </c>
      <c r="CM6" s="25">
        <v>58.93</v>
      </c>
      <c r="CN6" s="25"/>
      <c r="CO6" s="25">
        <v>8.8000000000000007</v>
      </c>
      <c r="CP6" s="24">
        <v>902919</v>
      </c>
      <c r="CQ6" s="33">
        <v>7.4999999999999997E-2</v>
      </c>
      <c r="CR6" s="25">
        <v>0.04</v>
      </c>
      <c r="CS6" s="34">
        <v>2.2000000000000002</v>
      </c>
      <c r="CT6" s="35">
        <v>22</v>
      </c>
      <c r="CU6" s="25">
        <v>52.3</v>
      </c>
      <c r="CV6" s="25">
        <v>1.5</v>
      </c>
      <c r="CW6" s="24">
        <v>1013146</v>
      </c>
      <c r="CX6" s="33">
        <v>5.2999999999999999E-2</v>
      </c>
      <c r="CY6" s="25">
        <v>0.03</v>
      </c>
      <c r="CZ6" s="34">
        <v>2.1</v>
      </c>
      <c r="DA6" s="35">
        <v>21</v>
      </c>
      <c r="DB6" s="25">
        <v>52.35</v>
      </c>
      <c r="DC6" s="25">
        <v>1</v>
      </c>
      <c r="DD6" s="24"/>
      <c r="DE6" s="25"/>
      <c r="DF6" s="25"/>
      <c r="DG6" s="25"/>
      <c r="DH6" s="25"/>
      <c r="DI6" s="25"/>
      <c r="DJ6" s="25"/>
      <c r="DK6" s="25"/>
      <c r="DL6" s="58"/>
      <c r="DM6" s="24">
        <v>32951</v>
      </c>
      <c r="DN6" s="33">
        <v>0.11600000000000001</v>
      </c>
      <c r="DO6" s="25">
        <v>0.06</v>
      </c>
      <c r="DP6" s="25">
        <v>2.4</v>
      </c>
      <c r="DQ6" s="25">
        <v>24</v>
      </c>
      <c r="DR6" s="25">
        <v>58.9</v>
      </c>
      <c r="DS6" s="25"/>
      <c r="DT6" s="25">
        <v>7.6</v>
      </c>
      <c r="DU6" s="72"/>
      <c r="DV6" s="25"/>
      <c r="DW6" s="25"/>
      <c r="DX6" s="25"/>
      <c r="DY6" s="25"/>
      <c r="DZ6" s="25"/>
      <c r="EA6" s="25"/>
      <c r="EB6" s="25"/>
      <c r="EC6" s="25"/>
      <c r="ED6" s="56"/>
      <c r="EE6" s="24"/>
      <c r="EF6" s="25"/>
      <c r="EG6" s="25"/>
      <c r="EH6" s="25"/>
      <c r="EI6" s="25"/>
      <c r="EJ6" s="25"/>
      <c r="EK6" s="25"/>
      <c r="EL6" s="25"/>
      <c r="EM6" s="58"/>
      <c r="EN6" s="39"/>
      <c r="EO6" s="40">
        <f>[5]!Table1[[#This Row],[1]]</f>
        <v>46113</v>
      </c>
      <c r="EP6" s="40">
        <v>45978</v>
      </c>
      <c r="EQ6" s="40">
        <v>46074</v>
      </c>
      <c r="ER6" s="40" t="s">
        <v>70</v>
      </c>
      <c r="ES6" s="40"/>
      <c r="ET6" s="40">
        <v>45930</v>
      </c>
      <c r="EU6" s="40">
        <v>46055</v>
      </c>
      <c r="EV6" s="40" t="s">
        <v>71</v>
      </c>
      <c r="EW6" s="40"/>
      <c r="EX6" s="40">
        <v>45992</v>
      </c>
      <c r="EY6" s="40">
        <v>46112</v>
      </c>
      <c r="EZ6" s="40" t="s">
        <v>71</v>
      </c>
      <c r="FA6" s="40"/>
      <c r="FB6" s="40">
        <v>45688</v>
      </c>
      <c r="FC6" s="40">
        <v>46112</v>
      </c>
      <c r="FD6" s="40"/>
      <c r="FE6" s="40">
        <v>46038</v>
      </c>
      <c r="FF6" s="40">
        <v>46055</v>
      </c>
      <c r="FG6" s="40"/>
      <c r="FH6" s="40">
        <v>46055</v>
      </c>
      <c r="FI6" s="40">
        <v>46112</v>
      </c>
      <c r="FJ6" s="40"/>
      <c r="FK6" s="40">
        <v>46037</v>
      </c>
      <c r="FL6" s="40">
        <v>46048</v>
      </c>
      <c r="FM6" s="40"/>
      <c r="FN6" s="40"/>
      <c r="FO6" s="40"/>
      <c r="FP6" s="40"/>
      <c r="FQ6" s="40">
        <v>46044</v>
      </c>
      <c r="FR6" s="40">
        <v>46047</v>
      </c>
      <c r="FS6" s="40"/>
      <c r="FT6" s="40">
        <v>46047</v>
      </c>
      <c r="FU6" s="40">
        <v>46056</v>
      </c>
      <c r="FV6" s="40"/>
      <c r="FW6" s="40">
        <v>46056</v>
      </c>
      <c r="FX6" s="40">
        <v>46056</v>
      </c>
      <c r="FY6" s="40"/>
      <c r="FZ6" s="40">
        <v>46109</v>
      </c>
      <c r="GA6" s="40">
        <v>46112</v>
      </c>
      <c r="GB6" s="40"/>
      <c r="GC6" s="40">
        <v>46023</v>
      </c>
      <c r="GD6" s="40">
        <v>46074</v>
      </c>
      <c r="GE6" s="40"/>
      <c r="GF6" s="40">
        <v>46022</v>
      </c>
      <c r="GG6" s="40">
        <v>46112</v>
      </c>
      <c r="GH6" s="40"/>
      <c r="GI6" s="40"/>
      <c r="GJ6" s="40"/>
      <c r="GK6" s="40"/>
      <c r="GL6" s="40">
        <v>46054</v>
      </c>
      <c r="GM6" s="40">
        <v>46054</v>
      </c>
      <c r="GN6" s="40"/>
      <c r="GO6" s="40"/>
      <c r="GP6" s="40"/>
      <c r="GQ6" s="40"/>
      <c r="GR6" s="40"/>
      <c r="GS6" s="40"/>
    </row>
    <row r="7" spans="2:202" x14ac:dyDescent="0.35">
      <c r="B7" s="41">
        <f>B6+1</f>
        <v>46114</v>
      </c>
      <c r="C7" s="24">
        <v>2506149</v>
      </c>
      <c r="D7" s="25">
        <v>5.26</v>
      </c>
      <c r="E7" s="25">
        <v>0.27</v>
      </c>
      <c r="F7" s="25">
        <v>1.87</v>
      </c>
      <c r="G7" s="25">
        <v>51.72</v>
      </c>
      <c r="H7" s="25">
        <v>2.85</v>
      </c>
      <c r="I7" s="25">
        <v>2.57</v>
      </c>
      <c r="J7" s="25">
        <f t="shared" ref="J7:J36" si="2">(2*H7)+I7</f>
        <v>8.27</v>
      </c>
      <c r="K7" s="24">
        <v>2577692</v>
      </c>
      <c r="L7" s="25">
        <v>5.55</v>
      </c>
      <c r="M7" s="25">
        <v>0.27</v>
      </c>
      <c r="N7" s="25">
        <v>1.85</v>
      </c>
      <c r="O7" s="25">
        <v>51.89898436964922</v>
      </c>
      <c r="P7" s="25">
        <v>2.66</v>
      </c>
      <c r="Q7" s="25">
        <v>2.4500000000000002</v>
      </c>
      <c r="R7" s="25">
        <f t="shared" si="0"/>
        <v>7.7700000000000005</v>
      </c>
      <c r="S7" s="24">
        <v>1988198</v>
      </c>
      <c r="T7" s="25">
        <v>5.41</v>
      </c>
      <c r="U7" s="25">
        <v>0.28000000000000003</v>
      </c>
      <c r="V7" s="25">
        <v>1.65</v>
      </c>
      <c r="W7" s="25">
        <v>51.65</v>
      </c>
      <c r="X7" s="25">
        <v>2.7</v>
      </c>
      <c r="Y7" s="25">
        <v>2.35</v>
      </c>
      <c r="Z7" s="25">
        <f t="shared" si="1"/>
        <v>7.75</v>
      </c>
      <c r="AA7" s="24">
        <v>382107</v>
      </c>
      <c r="AB7" s="25">
        <v>84.5</v>
      </c>
      <c r="AC7" s="25">
        <v>0.22</v>
      </c>
      <c r="AD7" s="24">
        <v>529521</v>
      </c>
      <c r="AE7" s="33">
        <v>0.16900000000000001</v>
      </c>
      <c r="AF7" s="25">
        <v>7.0000000000000007E-2</v>
      </c>
      <c r="AG7" s="34">
        <v>2.2000000000000002</v>
      </c>
      <c r="AH7" s="35">
        <v>22</v>
      </c>
      <c r="AI7" s="25">
        <v>36.6</v>
      </c>
      <c r="AJ7" s="25"/>
      <c r="AK7" s="25">
        <v>50.2</v>
      </c>
      <c r="AL7" s="24">
        <v>328841</v>
      </c>
      <c r="AM7" s="33">
        <v>6.2E-2</v>
      </c>
      <c r="AN7" s="25">
        <v>0.03</v>
      </c>
      <c r="AO7" s="34">
        <v>2.1</v>
      </c>
      <c r="AP7" s="35">
        <v>21</v>
      </c>
      <c r="AQ7" s="25">
        <v>38.56</v>
      </c>
      <c r="AR7" s="25"/>
      <c r="AS7" s="25">
        <v>53.2</v>
      </c>
      <c r="AT7" s="24">
        <v>498748</v>
      </c>
      <c r="AU7" s="33">
        <v>9.7000000000000003E-2</v>
      </c>
      <c r="AV7" s="25">
        <v>7.0000000000000007E-2</v>
      </c>
      <c r="AW7" s="34">
        <v>2.2000000000000002</v>
      </c>
      <c r="AX7" s="35">
        <v>22</v>
      </c>
      <c r="AY7" s="25">
        <v>56.01</v>
      </c>
      <c r="AZ7" s="25">
        <v>2.06</v>
      </c>
      <c r="BA7" s="34">
        <v>10</v>
      </c>
      <c r="BB7" s="24">
        <v>992</v>
      </c>
      <c r="BC7" s="33"/>
      <c r="BD7" s="25"/>
      <c r="BE7" s="25"/>
      <c r="BF7" s="25"/>
      <c r="BG7" s="25"/>
      <c r="BH7" s="25"/>
      <c r="BI7" s="25"/>
      <c r="BJ7" s="24">
        <v>20301</v>
      </c>
      <c r="BK7" s="33">
        <v>9.4E-2</v>
      </c>
      <c r="BL7" s="25">
        <v>7.0000000000000007E-2</v>
      </c>
      <c r="BM7" s="25">
        <v>2.2000000000000002</v>
      </c>
      <c r="BN7" s="25">
        <v>22</v>
      </c>
      <c r="BO7" s="25">
        <v>56.55</v>
      </c>
      <c r="BP7" s="25">
        <v>1.64</v>
      </c>
      <c r="BQ7" s="25">
        <v>9.8000000000000007</v>
      </c>
      <c r="BR7" s="24">
        <v>404880</v>
      </c>
      <c r="BS7" s="33">
        <v>0.09</v>
      </c>
      <c r="BT7" s="25">
        <v>7.0000000000000007E-2</v>
      </c>
      <c r="BU7" s="25">
        <v>2.2999999999999998</v>
      </c>
      <c r="BV7" s="25">
        <v>23</v>
      </c>
      <c r="BW7" s="25">
        <v>56.8</v>
      </c>
      <c r="BX7" s="25">
        <v>1.6</v>
      </c>
      <c r="BY7" s="25">
        <v>9.4</v>
      </c>
      <c r="BZ7" s="24">
        <v>63037</v>
      </c>
      <c r="CA7" s="33">
        <v>9.4E-2</v>
      </c>
      <c r="CB7" s="25">
        <v>0.04</v>
      </c>
      <c r="CC7" s="34">
        <v>2.2999999999999998</v>
      </c>
      <c r="CD7" s="35">
        <v>23</v>
      </c>
      <c r="CE7" s="25">
        <v>58.25</v>
      </c>
      <c r="CF7" s="25"/>
      <c r="CG7" s="25">
        <v>8.4</v>
      </c>
      <c r="CH7" s="24">
        <v>552026</v>
      </c>
      <c r="CI7" s="33">
        <v>6.5000000000000002E-2</v>
      </c>
      <c r="CJ7" s="25">
        <v>0.04</v>
      </c>
      <c r="CK7" s="25">
        <v>2.2000000000000002</v>
      </c>
      <c r="CL7" s="25">
        <v>22</v>
      </c>
      <c r="CM7" s="25">
        <v>58.62</v>
      </c>
      <c r="CN7" s="49">
        <v>0.99</v>
      </c>
      <c r="CO7" s="25">
        <v>8.8000000000000007</v>
      </c>
      <c r="CP7" s="24">
        <v>773538</v>
      </c>
      <c r="CQ7" s="33">
        <v>7.4999999999999997E-2</v>
      </c>
      <c r="CR7" s="25">
        <v>0.04</v>
      </c>
      <c r="CS7" s="34">
        <v>2.2000000000000002</v>
      </c>
      <c r="CT7" s="35">
        <v>22</v>
      </c>
      <c r="CU7" s="25">
        <v>52.3</v>
      </c>
      <c r="CV7" s="25">
        <v>1.5</v>
      </c>
      <c r="CW7" s="24">
        <v>1080505</v>
      </c>
      <c r="CX7" s="33">
        <v>5.3999999999999999E-2</v>
      </c>
      <c r="CY7" s="25">
        <v>0.03</v>
      </c>
      <c r="CZ7" s="34">
        <v>2.1</v>
      </c>
      <c r="DA7" s="35">
        <v>21</v>
      </c>
      <c r="DB7" s="25">
        <v>52.35</v>
      </c>
      <c r="DC7" s="25">
        <v>0.77</v>
      </c>
      <c r="DD7" s="24"/>
      <c r="DE7" s="25"/>
      <c r="DF7" s="25"/>
      <c r="DG7" s="25"/>
      <c r="DH7" s="25"/>
      <c r="DI7" s="25"/>
      <c r="DJ7" s="25"/>
      <c r="DK7" s="25"/>
      <c r="DL7" s="58"/>
      <c r="DM7" s="24">
        <v>32951</v>
      </c>
      <c r="DN7" s="33">
        <v>0.11600000000000001</v>
      </c>
      <c r="DO7" s="25">
        <v>0.06</v>
      </c>
      <c r="DP7" s="25">
        <v>2.4</v>
      </c>
      <c r="DQ7" s="25">
        <v>24</v>
      </c>
      <c r="DR7" s="25">
        <v>58.9</v>
      </c>
      <c r="DS7" s="25"/>
      <c r="DT7" s="25">
        <v>7.6</v>
      </c>
      <c r="DU7" s="57"/>
      <c r="DV7" s="49"/>
      <c r="DW7" s="49"/>
      <c r="DX7" s="49"/>
      <c r="DY7" s="49"/>
      <c r="DZ7" s="49"/>
      <c r="EA7" s="49"/>
      <c r="EB7" s="49"/>
      <c r="EC7" s="49"/>
      <c r="ED7" s="56"/>
      <c r="EE7" s="42"/>
      <c r="EF7" s="49"/>
      <c r="EG7" s="49"/>
      <c r="EH7" s="49"/>
      <c r="EI7" s="49"/>
      <c r="EJ7" s="49"/>
      <c r="EK7" s="49"/>
      <c r="EL7" s="49"/>
      <c r="EM7" s="58"/>
      <c r="EN7" s="39"/>
      <c r="EO7" s="40">
        <f>EO6+1</f>
        <v>46114</v>
      </c>
      <c r="EP7" s="40">
        <v>45978</v>
      </c>
      <c r="EQ7" s="40">
        <v>46074</v>
      </c>
      <c r="ER7" s="40" t="s">
        <v>70</v>
      </c>
      <c r="ES7" s="40"/>
      <c r="ET7" s="40">
        <v>45930</v>
      </c>
      <c r="EU7" s="40">
        <v>46055</v>
      </c>
      <c r="EV7" s="40" t="s">
        <v>71</v>
      </c>
      <c r="EW7" s="40"/>
      <c r="EX7" s="40">
        <v>45992</v>
      </c>
      <c r="EY7" s="40">
        <v>46113</v>
      </c>
      <c r="EZ7" s="40" t="s">
        <v>71</v>
      </c>
      <c r="FA7" s="40" t="s">
        <v>77</v>
      </c>
      <c r="FB7" s="40">
        <v>45688</v>
      </c>
      <c r="FC7" s="40">
        <v>46113</v>
      </c>
      <c r="FD7" s="40"/>
      <c r="FE7" s="40">
        <v>46038</v>
      </c>
      <c r="FF7" s="40">
        <v>46055</v>
      </c>
      <c r="FG7" s="40"/>
      <c r="FH7" s="40">
        <v>46055</v>
      </c>
      <c r="FI7" s="40">
        <v>46113</v>
      </c>
      <c r="FJ7" s="40"/>
      <c r="FK7" s="40">
        <v>46037</v>
      </c>
      <c r="FL7" s="40">
        <v>46048</v>
      </c>
      <c r="FM7" s="40"/>
      <c r="FN7" s="40"/>
      <c r="FO7" s="40"/>
      <c r="FP7" s="40" t="s">
        <v>78</v>
      </c>
      <c r="FQ7" s="40">
        <v>46044</v>
      </c>
      <c r="FR7" s="40">
        <v>46047</v>
      </c>
      <c r="FS7" s="40" t="s">
        <v>78</v>
      </c>
      <c r="FT7" s="40">
        <v>46047</v>
      </c>
      <c r="FU7" s="40">
        <v>46056</v>
      </c>
      <c r="FV7" s="40" t="s">
        <v>79</v>
      </c>
      <c r="FW7" s="40">
        <v>46113</v>
      </c>
      <c r="FX7" s="40">
        <v>46113</v>
      </c>
      <c r="FY7" s="40"/>
      <c r="FZ7" s="40">
        <v>46109</v>
      </c>
      <c r="GA7" s="40">
        <v>46113</v>
      </c>
      <c r="GB7" s="40"/>
      <c r="GC7" s="40">
        <v>46023</v>
      </c>
      <c r="GD7" s="40">
        <v>46113</v>
      </c>
      <c r="GE7" s="40" t="s">
        <v>72</v>
      </c>
      <c r="GF7" s="40">
        <v>46022</v>
      </c>
      <c r="GG7" s="40">
        <v>46113</v>
      </c>
      <c r="GH7" s="40"/>
      <c r="GI7" s="40"/>
      <c r="GJ7" s="40"/>
      <c r="GK7" s="40" t="s">
        <v>80</v>
      </c>
      <c r="GL7" s="40">
        <v>46054</v>
      </c>
      <c r="GM7" s="40">
        <v>46054</v>
      </c>
      <c r="GN7" s="40"/>
      <c r="GO7" s="40"/>
      <c r="GP7" s="40"/>
      <c r="GQ7" s="40" t="s">
        <v>80</v>
      </c>
      <c r="GR7" s="40"/>
      <c r="GS7" s="40"/>
      <c r="GT7" s="3" t="s">
        <v>80</v>
      </c>
    </row>
    <row r="8" spans="2:202" x14ac:dyDescent="0.35">
      <c r="B8" s="41">
        <f t="shared" ref="B8:B37" si="3">B7+1</f>
        <v>46115</v>
      </c>
      <c r="C8" s="24">
        <v>2506149</v>
      </c>
      <c r="D8" s="49">
        <v>5.27</v>
      </c>
      <c r="E8" s="49">
        <v>0.27</v>
      </c>
      <c r="F8" s="49">
        <v>1.87</v>
      </c>
      <c r="G8" s="25">
        <v>51.72</v>
      </c>
      <c r="H8" s="25">
        <v>2.85</v>
      </c>
      <c r="I8" s="25">
        <v>2.6</v>
      </c>
      <c r="J8" s="25">
        <f t="shared" si="2"/>
        <v>8.3000000000000007</v>
      </c>
      <c r="K8" s="24">
        <v>2577692</v>
      </c>
      <c r="L8" s="25">
        <v>5.55</v>
      </c>
      <c r="M8" s="25">
        <v>0.27</v>
      </c>
      <c r="N8" s="25">
        <v>1.85</v>
      </c>
      <c r="O8" s="25">
        <v>52.35</v>
      </c>
      <c r="P8" s="25">
        <v>2.74</v>
      </c>
      <c r="Q8" s="25">
        <v>2.5</v>
      </c>
      <c r="R8" s="25">
        <f t="shared" si="0"/>
        <v>7.98</v>
      </c>
      <c r="S8" s="26">
        <v>1985018</v>
      </c>
      <c r="T8" s="25">
        <v>5.41</v>
      </c>
      <c r="U8" s="25">
        <v>0.28000000000000003</v>
      </c>
      <c r="V8" s="25">
        <v>1.9</v>
      </c>
      <c r="W8" s="27">
        <v>51.95</v>
      </c>
      <c r="X8" s="25">
        <v>2.86</v>
      </c>
      <c r="Y8" s="25">
        <v>2.38</v>
      </c>
      <c r="Z8" s="25">
        <f t="shared" si="1"/>
        <v>8.1</v>
      </c>
      <c r="AA8" s="24">
        <v>403207</v>
      </c>
      <c r="AB8" s="25">
        <v>84.5</v>
      </c>
      <c r="AC8" s="25">
        <v>0.22</v>
      </c>
      <c r="AD8" s="24">
        <v>529521</v>
      </c>
      <c r="AE8" s="33">
        <v>0.16900000000000001</v>
      </c>
      <c r="AF8" s="25">
        <v>7.0000000000000007E-2</v>
      </c>
      <c r="AG8" s="34">
        <v>2.2000000000000002</v>
      </c>
      <c r="AH8" s="35">
        <v>22</v>
      </c>
      <c r="AI8" s="25">
        <v>36.6</v>
      </c>
      <c r="AJ8" s="25"/>
      <c r="AK8" s="25">
        <v>50.2</v>
      </c>
      <c r="AL8" s="42">
        <v>369223</v>
      </c>
      <c r="AM8" s="33">
        <v>6.2E-2</v>
      </c>
      <c r="AN8" s="25">
        <v>0.03</v>
      </c>
      <c r="AO8" s="34">
        <v>2.1</v>
      </c>
      <c r="AP8" s="35">
        <v>21</v>
      </c>
      <c r="AQ8" s="25">
        <v>38.56</v>
      </c>
      <c r="AR8" s="25"/>
      <c r="AS8" s="25">
        <v>53.2</v>
      </c>
      <c r="AT8" s="24">
        <v>498748</v>
      </c>
      <c r="AU8" s="33">
        <v>9.7000000000000003E-2</v>
      </c>
      <c r="AV8" s="25">
        <v>7.0000000000000007E-2</v>
      </c>
      <c r="AW8" s="34">
        <v>2.2000000000000002</v>
      </c>
      <c r="AX8" s="35">
        <v>22</v>
      </c>
      <c r="AY8" s="25">
        <v>56.01</v>
      </c>
      <c r="AZ8" s="25">
        <v>2.06</v>
      </c>
      <c r="BA8" s="34">
        <v>10</v>
      </c>
      <c r="BB8" s="24">
        <v>992</v>
      </c>
      <c r="BC8" s="48"/>
      <c r="BD8" s="49"/>
      <c r="BE8" s="49"/>
      <c r="BF8" s="49"/>
      <c r="BG8" s="49"/>
      <c r="BH8" s="49"/>
      <c r="BI8" s="49"/>
      <c r="BJ8" s="24">
        <v>20301</v>
      </c>
      <c r="BK8" s="33">
        <v>9.6000000000000002E-2</v>
      </c>
      <c r="BL8" s="25">
        <v>7.0000000000000007E-2</v>
      </c>
      <c r="BM8" s="25">
        <v>2.2000000000000002</v>
      </c>
      <c r="BN8" s="25">
        <v>22</v>
      </c>
      <c r="BO8" s="25">
        <v>56.55</v>
      </c>
      <c r="BP8" s="25">
        <v>1.64</v>
      </c>
      <c r="BQ8" s="25">
        <v>9.8000000000000007</v>
      </c>
      <c r="BR8" s="42">
        <v>262920</v>
      </c>
      <c r="BS8" s="33">
        <v>9.1999999999999998E-2</v>
      </c>
      <c r="BT8" s="25">
        <v>7.0000000000000007E-2</v>
      </c>
      <c r="BU8" s="25">
        <v>2.2999999999999998</v>
      </c>
      <c r="BV8" s="25">
        <v>23</v>
      </c>
      <c r="BW8" s="25">
        <v>56.8</v>
      </c>
      <c r="BX8" s="25">
        <v>1.6</v>
      </c>
      <c r="BY8" s="25">
        <v>9.4</v>
      </c>
      <c r="BZ8" s="42">
        <v>151049</v>
      </c>
      <c r="CA8" s="48">
        <v>8.3000000000000004E-2</v>
      </c>
      <c r="CB8" s="49">
        <v>0.05</v>
      </c>
      <c r="CC8" s="50">
        <v>2.4</v>
      </c>
      <c r="CD8" s="51">
        <v>24</v>
      </c>
      <c r="CE8" s="49">
        <v>58.97</v>
      </c>
      <c r="CF8" s="49">
        <v>1.72</v>
      </c>
      <c r="CG8" s="49">
        <v>8</v>
      </c>
      <c r="CH8" s="42">
        <v>552026</v>
      </c>
      <c r="CI8" s="48">
        <v>6.5000000000000002E-2</v>
      </c>
      <c r="CJ8" s="49">
        <v>0.04</v>
      </c>
      <c r="CK8" s="49">
        <v>2.2000000000000002</v>
      </c>
      <c r="CL8" s="49">
        <v>22</v>
      </c>
      <c r="CM8" s="49">
        <v>59.63</v>
      </c>
      <c r="CN8" s="49">
        <v>0.99</v>
      </c>
      <c r="CO8" s="49">
        <v>7.6</v>
      </c>
      <c r="CP8" s="42">
        <v>793393</v>
      </c>
      <c r="CQ8" s="48">
        <v>6.6000000000000003E-2</v>
      </c>
      <c r="CR8" s="49">
        <v>0.04</v>
      </c>
      <c r="CS8" s="34">
        <v>2.2000000000000002</v>
      </c>
      <c r="CT8" s="35">
        <v>22</v>
      </c>
      <c r="CU8" s="49">
        <v>52.26</v>
      </c>
      <c r="CV8" s="49">
        <v>0.91</v>
      </c>
      <c r="CW8" s="42">
        <v>1080505</v>
      </c>
      <c r="CX8" s="33">
        <v>0.05</v>
      </c>
      <c r="CY8" s="25">
        <v>0.04</v>
      </c>
      <c r="CZ8" s="34">
        <v>2.1</v>
      </c>
      <c r="DA8" s="35">
        <v>21</v>
      </c>
      <c r="DB8" s="25">
        <v>52.13</v>
      </c>
      <c r="DC8" s="25">
        <v>0.77</v>
      </c>
      <c r="DD8" s="42"/>
      <c r="DE8" s="49"/>
      <c r="DF8" s="49"/>
      <c r="DG8" s="49"/>
      <c r="DH8" s="49"/>
      <c r="DI8" s="49"/>
      <c r="DJ8" s="49"/>
      <c r="DK8" s="49"/>
      <c r="DL8" s="56"/>
      <c r="DM8" s="24">
        <v>32951</v>
      </c>
      <c r="DN8" s="33">
        <v>0.11600000000000001</v>
      </c>
      <c r="DO8" s="25">
        <v>0.06</v>
      </c>
      <c r="DP8" s="25">
        <v>2.4</v>
      </c>
      <c r="DQ8" s="25">
        <v>24</v>
      </c>
      <c r="DR8" s="25">
        <v>58.9</v>
      </c>
      <c r="DS8" s="25"/>
      <c r="DT8" s="25">
        <v>7.6</v>
      </c>
      <c r="DU8" s="57"/>
      <c r="DV8" s="49"/>
      <c r="DW8" s="49"/>
      <c r="DX8" s="49"/>
      <c r="DY8" s="49"/>
      <c r="DZ8" s="49"/>
      <c r="EA8" s="49"/>
      <c r="EB8" s="49"/>
      <c r="EC8" s="49"/>
      <c r="ED8" s="56"/>
      <c r="EE8" s="42"/>
      <c r="EF8" s="49"/>
      <c r="EG8" s="49"/>
      <c r="EH8" s="49"/>
      <c r="EI8" s="49"/>
      <c r="EJ8" s="49"/>
      <c r="EK8" s="49"/>
      <c r="EL8" s="49"/>
      <c r="EM8" s="58"/>
      <c r="EN8" s="39"/>
      <c r="EO8" s="40">
        <f t="shared" ref="EO8:EO37" si="4">EO7+1</f>
        <v>46115</v>
      </c>
      <c r="EP8" s="40">
        <v>45978</v>
      </c>
      <c r="EQ8" s="40">
        <v>46074</v>
      </c>
      <c r="ER8" s="40" t="s">
        <v>70</v>
      </c>
      <c r="ES8" s="40"/>
      <c r="ET8" s="40">
        <v>45930</v>
      </c>
      <c r="EU8" s="40">
        <v>46055</v>
      </c>
      <c r="EV8" s="40" t="s">
        <v>71</v>
      </c>
      <c r="EW8" s="40"/>
      <c r="EX8" s="40">
        <v>45992</v>
      </c>
      <c r="EY8" s="40">
        <v>46114</v>
      </c>
      <c r="EZ8" s="40" t="s">
        <v>71</v>
      </c>
      <c r="FA8" s="40" t="s">
        <v>77</v>
      </c>
      <c r="FB8" s="40">
        <v>45688</v>
      </c>
      <c r="FC8" s="40">
        <v>46114</v>
      </c>
      <c r="FD8" s="40"/>
      <c r="FE8" s="40">
        <v>46038</v>
      </c>
      <c r="FF8" s="40">
        <v>46055</v>
      </c>
      <c r="FG8" s="40"/>
      <c r="FH8" s="40">
        <v>46055</v>
      </c>
      <c r="FI8" s="40">
        <v>46114</v>
      </c>
      <c r="FJ8" s="40"/>
      <c r="FK8" s="40">
        <v>46037</v>
      </c>
      <c r="FL8" s="40">
        <v>46048</v>
      </c>
      <c r="FM8" s="40"/>
      <c r="FN8" s="40"/>
      <c r="FO8" s="40"/>
      <c r="FP8" s="40" t="s">
        <v>78</v>
      </c>
      <c r="FQ8" s="40">
        <v>46044</v>
      </c>
      <c r="FR8" s="40">
        <v>46047</v>
      </c>
      <c r="FS8" s="40" t="s">
        <v>78</v>
      </c>
      <c r="FT8" s="40">
        <v>46047</v>
      </c>
      <c r="FU8" s="40">
        <v>46056</v>
      </c>
      <c r="FV8" s="40" t="s">
        <v>81</v>
      </c>
      <c r="FW8" s="40">
        <v>46113</v>
      </c>
      <c r="FX8" s="40">
        <v>46114</v>
      </c>
      <c r="FY8" s="40"/>
      <c r="FZ8" s="40">
        <v>46109</v>
      </c>
      <c r="GA8" s="40">
        <v>46113</v>
      </c>
      <c r="GB8" s="40"/>
      <c r="GC8" s="40">
        <v>46023</v>
      </c>
      <c r="GD8" s="40">
        <v>46114</v>
      </c>
      <c r="GE8" s="40"/>
      <c r="GF8" s="40">
        <v>46022</v>
      </c>
      <c r="GG8" s="40">
        <v>46113</v>
      </c>
      <c r="GH8" s="40"/>
      <c r="GI8" s="40"/>
      <c r="GJ8" s="40"/>
      <c r="GK8" s="40" t="s">
        <v>80</v>
      </c>
      <c r="GL8" s="40">
        <v>46054</v>
      </c>
      <c r="GM8" s="40">
        <v>46054</v>
      </c>
      <c r="GN8" s="40"/>
      <c r="GO8" s="40"/>
      <c r="GP8" s="40"/>
      <c r="GQ8" s="40" t="s">
        <v>80</v>
      </c>
      <c r="GR8" s="40"/>
      <c r="GS8" s="40"/>
      <c r="GT8" s="3" t="s">
        <v>80</v>
      </c>
    </row>
    <row r="9" spans="2:202" x14ac:dyDescent="0.35">
      <c r="B9" s="41">
        <f t="shared" si="3"/>
        <v>46116</v>
      </c>
      <c r="C9" s="24">
        <v>2506149</v>
      </c>
      <c r="D9" s="49">
        <v>5.27</v>
      </c>
      <c r="E9" s="49">
        <v>0.27</v>
      </c>
      <c r="F9" s="49">
        <v>1.87</v>
      </c>
      <c r="G9" s="25">
        <v>51.72</v>
      </c>
      <c r="H9" s="25">
        <v>2.85</v>
      </c>
      <c r="I9" s="25">
        <v>2.6</v>
      </c>
      <c r="J9" s="25">
        <f t="shared" si="2"/>
        <v>8.3000000000000007</v>
      </c>
      <c r="K9" s="24">
        <v>2577692</v>
      </c>
      <c r="L9" s="25">
        <v>5.55</v>
      </c>
      <c r="M9" s="25">
        <v>0.27</v>
      </c>
      <c r="N9" s="25">
        <v>1.85</v>
      </c>
      <c r="O9" s="25">
        <v>52.35</v>
      </c>
      <c r="P9" s="25">
        <v>2.74</v>
      </c>
      <c r="Q9" s="25">
        <v>2.5</v>
      </c>
      <c r="R9" s="25">
        <f t="shared" si="0"/>
        <v>7.98</v>
      </c>
      <c r="S9" s="26">
        <v>1985018</v>
      </c>
      <c r="T9" s="25">
        <v>5.41</v>
      </c>
      <c r="U9" s="25">
        <v>0.28000000000000003</v>
      </c>
      <c r="V9" s="25">
        <v>1.9</v>
      </c>
      <c r="W9" s="27">
        <v>51.95</v>
      </c>
      <c r="X9" s="25">
        <v>2.86</v>
      </c>
      <c r="Y9" s="25">
        <v>2.38</v>
      </c>
      <c r="Z9" s="25">
        <f t="shared" si="1"/>
        <v>8.1</v>
      </c>
      <c r="AA9" s="42">
        <v>405994</v>
      </c>
      <c r="AB9" s="49">
        <v>88.63</v>
      </c>
      <c r="AC9" s="25">
        <v>0.25</v>
      </c>
      <c r="AD9" s="24">
        <v>529521</v>
      </c>
      <c r="AE9" s="33">
        <v>0.17</v>
      </c>
      <c r="AF9" s="25">
        <v>7.0000000000000007E-2</v>
      </c>
      <c r="AG9" s="34">
        <v>2.2000000000000002</v>
      </c>
      <c r="AH9" s="35">
        <v>22</v>
      </c>
      <c r="AI9" s="25">
        <v>36.6</v>
      </c>
      <c r="AJ9" s="25"/>
      <c r="AK9" s="25">
        <v>50.2</v>
      </c>
      <c r="AL9" s="42">
        <v>369223</v>
      </c>
      <c r="AM9" s="33">
        <v>6.3E-2</v>
      </c>
      <c r="AN9" s="25">
        <v>0.05</v>
      </c>
      <c r="AO9" s="34">
        <v>2.1</v>
      </c>
      <c r="AP9" s="35">
        <v>21</v>
      </c>
      <c r="AQ9" s="25">
        <v>38.26</v>
      </c>
      <c r="AR9" s="25"/>
      <c r="AS9" s="25">
        <v>53.6</v>
      </c>
      <c r="AT9" s="24">
        <v>498748</v>
      </c>
      <c r="AU9" s="33">
        <v>9.7000000000000003E-2</v>
      </c>
      <c r="AV9" s="25">
        <v>7.0000000000000007E-2</v>
      </c>
      <c r="AW9" s="34">
        <v>2.2000000000000002</v>
      </c>
      <c r="AX9" s="35">
        <v>22</v>
      </c>
      <c r="AY9" s="25">
        <v>56.01</v>
      </c>
      <c r="AZ9" s="25">
        <v>2.06</v>
      </c>
      <c r="BA9" s="34">
        <v>10</v>
      </c>
      <c r="BB9" s="24">
        <v>992</v>
      </c>
      <c r="BC9" s="48"/>
      <c r="BD9" s="49"/>
      <c r="BE9" s="49"/>
      <c r="BF9" s="49"/>
      <c r="BG9" s="49"/>
      <c r="BH9" s="49"/>
      <c r="BI9" s="49"/>
      <c r="BJ9" s="24">
        <v>20301</v>
      </c>
      <c r="BK9" s="33">
        <v>9.9000000000000005E-2</v>
      </c>
      <c r="BL9" s="25">
        <v>7.0000000000000007E-2</v>
      </c>
      <c r="BM9" s="25">
        <v>2.2000000000000002</v>
      </c>
      <c r="BN9" s="25">
        <v>22</v>
      </c>
      <c r="BO9" s="25">
        <v>56.55</v>
      </c>
      <c r="BP9" s="25">
        <v>1.64</v>
      </c>
      <c r="BQ9" s="25">
        <v>9.8000000000000007</v>
      </c>
      <c r="BR9" s="42">
        <v>262920</v>
      </c>
      <c r="BS9" s="33">
        <v>9.2999999999999999E-2</v>
      </c>
      <c r="BT9" s="25">
        <v>7.0000000000000007E-2</v>
      </c>
      <c r="BU9" s="25">
        <v>2.2999999999999998</v>
      </c>
      <c r="BV9" s="25">
        <v>23</v>
      </c>
      <c r="BW9" s="25">
        <v>56.8</v>
      </c>
      <c r="BX9" s="25">
        <v>1.6</v>
      </c>
      <c r="BY9" s="25">
        <v>9.4</v>
      </c>
      <c r="BZ9" s="42">
        <v>151049</v>
      </c>
      <c r="CA9" s="48">
        <v>8.3000000000000004E-2</v>
      </c>
      <c r="CB9" s="49">
        <v>0.05</v>
      </c>
      <c r="CC9" s="50">
        <v>2.4</v>
      </c>
      <c r="CD9" s="51">
        <v>24</v>
      </c>
      <c r="CE9" s="49">
        <v>58.97</v>
      </c>
      <c r="CF9" s="49">
        <v>1.72</v>
      </c>
      <c r="CG9" s="49">
        <v>8</v>
      </c>
      <c r="CH9" s="42">
        <v>552026</v>
      </c>
      <c r="CI9" s="48">
        <v>6.5000000000000002E-2</v>
      </c>
      <c r="CJ9" s="49">
        <v>0.04</v>
      </c>
      <c r="CK9" s="49">
        <v>2.2000000000000002</v>
      </c>
      <c r="CL9" s="49">
        <v>22</v>
      </c>
      <c r="CM9" s="49">
        <v>59.63</v>
      </c>
      <c r="CN9" s="49">
        <v>0.99</v>
      </c>
      <c r="CO9" s="49">
        <v>7.6</v>
      </c>
      <c r="CP9" s="42">
        <v>812608</v>
      </c>
      <c r="CQ9" s="48">
        <v>6.6000000000000003E-2</v>
      </c>
      <c r="CR9" s="49">
        <v>0.04</v>
      </c>
      <c r="CS9" s="34">
        <v>2.2000000000000002</v>
      </c>
      <c r="CT9" s="35">
        <v>22</v>
      </c>
      <c r="CU9" s="49">
        <v>52.26</v>
      </c>
      <c r="CV9" s="49">
        <v>0.91</v>
      </c>
      <c r="CW9" s="24">
        <v>1080505</v>
      </c>
      <c r="CX9" s="33">
        <v>0.05</v>
      </c>
      <c r="CY9" s="25">
        <v>0.04</v>
      </c>
      <c r="CZ9" s="34">
        <v>2.1</v>
      </c>
      <c r="DA9" s="35">
        <v>21</v>
      </c>
      <c r="DB9" s="25">
        <v>52.13</v>
      </c>
      <c r="DC9" s="25">
        <v>0.77</v>
      </c>
      <c r="DD9" s="42"/>
      <c r="DE9" s="49"/>
      <c r="DF9" s="49"/>
      <c r="DG9" s="49"/>
      <c r="DH9" s="49"/>
      <c r="DI9" s="49"/>
      <c r="DJ9" s="49"/>
      <c r="DK9" s="49"/>
      <c r="DL9" s="56"/>
      <c r="DM9" s="24">
        <v>32951</v>
      </c>
      <c r="DN9" s="33">
        <v>0.11600000000000001</v>
      </c>
      <c r="DO9" s="25">
        <v>0.06</v>
      </c>
      <c r="DP9" s="25">
        <v>2.4</v>
      </c>
      <c r="DQ9" s="25">
        <v>24</v>
      </c>
      <c r="DR9" s="25">
        <v>58.9</v>
      </c>
      <c r="DS9" s="25"/>
      <c r="DT9" s="25">
        <v>7.6</v>
      </c>
      <c r="DU9" s="57"/>
      <c r="DV9" s="49"/>
      <c r="DW9" s="49"/>
      <c r="DX9" s="49"/>
      <c r="DY9" s="49"/>
      <c r="DZ9" s="49"/>
      <c r="EA9" s="49"/>
      <c r="EB9" s="49"/>
      <c r="EC9" s="49"/>
      <c r="ED9" s="56"/>
      <c r="EE9" s="42"/>
      <c r="EF9" s="49"/>
      <c r="EG9" s="49"/>
      <c r="EH9" s="49"/>
      <c r="EI9" s="49"/>
      <c r="EJ9" s="49"/>
      <c r="EK9" s="49"/>
      <c r="EL9" s="49"/>
      <c r="EM9" s="58"/>
      <c r="EN9" s="39"/>
      <c r="EO9" s="40">
        <f t="shared" si="4"/>
        <v>46116</v>
      </c>
      <c r="EP9" s="40">
        <v>45978</v>
      </c>
      <c r="EQ9" s="40">
        <v>46074</v>
      </c>
      <c r="ER9" s="40" t="s">
        <v>70</v>
      </c>
      <c r="ES9" s="40"/>
      <c r="ET9" s="40">
        <v>45930</v>
      </c>
      <c r="EU9" s="40">
        <v>46055</v>
      </c>
      <c r="EV9" s="40" t="s">
        <v>71</v>
      </c>
      <c r="EW9" s="40"/>
      <c r="EX9" s="40">
        <v>45992</v>
      </c>
      <c r="EY9" s="40">
        <v>46114</v>
      </c>
      <c r="EZ9" s="40" t="s">
        <v>71</v>
      </c>
      <c r="FA9" s="40"/>
      <c r="FB9" s="40">
        <v>45688</v>
      </c>
      <c r="FC9" s="40">
        <v>46114</v>
      </c>
      <c r="FD9" s="40"/>
      <c r="FE9" s="40">
        <v>46038</v>
      </c>
      <c r="FF9" s="40">
        <v>46055</v>
      </c>
      <c r="FG9" s="40"/>
      <c r="FH9" s="40">
        <v>46055</v>
      </c>
      <c r="FI9" s="40">
        <v>46114</v>
      </c>
      <c r="FJ9" s="40"/>
      <c r="FK9" s="40">
        <v>46037</v>
      </c>
      <c r="FL9" s="40">
        <v>46048</v>
      </c>
      <c r="FM9" s="40"/>
      <c r="FN9" s="40"/>
      <c r="FO9" s="40"/>
      <c r="FP9" s="40" t="s">
        <v>78</v>
      </c>
      <c r="FQ9" s="40">
        <v>46044</v>
      </c>
      <c r="FR9" s="40">
        <v>46047</v>
      </c>
      <c r="FS9" s="40" t="s">
        <v>78</v>
      </c>
      <c r="FT9" s="40">
        <v>46047</v>
      </c>
      <c r="FU9" s="40">
        <v>46056</v>
      </c>
      <c r="FV9" s="40" t="s">
        <v>81</v>
      </c>
      <c r="FW9" s="40">
        <v>46113</v>
      </c>
      <c r="FX9" s="40">
        <v>46114</v>
      </c>
      <c r="FY9" s="40"/>
      <c r="FZ9" s="40">
        <v>46109</v>
      </c>
      <c r="GA9" s="40">
        <v>46113</v>
      </c>
      <c r="GB9" s="40"/>
      <c r="GC9" s="40">
        <v>46023</v>
      </c>
      <c r="GD9" s="40">
        <v>46115</v>
      </c>
      <c r="GE9" s="40"/>
      <c r="GF9" s="40">
        <v>46022</v>
      </c>
      <c r="GG9" s="40">
        <v>46113</v>
      </c>
      <c r="GH9" s="40"/>
      <c r="GI9" s="40"/>
      <c r="GJ9" s="40"/>
      <c r="GK9" s="40" t="s">
        <v>80</v>
      </c>
      <c r="GL9" s="40">
        <v>46054</v>
      </c>
      <c r="GM9" s="40">
        <v>46054</v>
      </c>
      <c r="GN9" s="40"/>
      <c r="GO9" s="40"/>
      <c r="GP9" s="40"/>
      <c r="GQ9" s="40" t="s">
        <v>80</v>
      </c>
      <c r="GR9" s="40"/>
      <c r="GS9" s="40"/>
      <c r="GT9" s="3" t="s">
        <v>80</v>
      </c>
    </row>
    <row r="10" spans="2:202" x14ac:dyDescent="0.35">
      <c r="B10" s="41">
        <f t="shared" si="3"/>
        <v>46117</v>
      </c>
      <c r="C10" s="24">
        <v>2506149</v>
      </c>
      <c r="D10" s="49">
        <v>5.27</v>
      </c>
      <c r="E10" s="49">
        <v>0.27</v>
      </c>
      <c r="F10" s="49">
        <v>1.87</v>
      </c>
      <c r="G10" s="25">
        <v>51.72</v>
      </c>
      <c r="H10" s="25">
        <v>2.85</v>
      </c>
      <c r="I10" s="25">
        <v>2.6</v>
      </c>
      <c r="J10" s="25">
        <f t="shared" si="2"/>
        <v>8.3000000000000007</v>
      </c>
      <c r="K10" s="24">
        <v>2577692</v>
      </c>
      <c r="L10" s="25">
        <v>5.55</v>
      </c>
      <c r="M10" s="25">
        <v>0.27</v>
      </c>
      <c r="N10" s="25">
        <v>1.85</v>
      </c>
      <c r="O10" s="25">
        <v>52.35</v>
      </c>
      <c r="P10" s="25">
        <v>2.74</v>
      </c>
      <c r="Q10" s="25">
        <v>2.5</v>
      </c>
      <c r="R10" s="25">
        <f t="shared" si="0"/>
        <v>7.98</v>
      </c>
      <c r="S10" s="26">
        <v>2043098</v>
      </c>
      <c r="T10" s="25">
        <v>5.42</v>
      </c>
      <c r="U10" s="25">
        <v>0.28000000000000003</v>
      </c>
      <c r="V10" s="25">
        <v>1.9</v>
      </c>
      <c r="W10" s="27">
        <v>51.95</v>
      </c>
      <c r="X10" s="25">
        <v>2.86</v>
      </c>
      <c r="Y10" s="25">
        <v>2.38</v>
      </c>
      <c r="Z10" s="25">
        <f t="shared" si="1"/>
        <v>8.1</v>
      </c>
      <c r="AA10" s="42">
        <v>405994</v>
      </c>
      <c r="AB10" s="49">
        <v>88.63</v>
      </c>
      <c r="AC10" s="25">
        <v>0.25</v>
      </c>
      <c r="AD10" s="24">
        <v>529521</v>
      </c>
      <c r="AE10" s="33">
        <v>0.17</v>
      </c>
      <c r="AF10" s="25">
        <v>7.0000000000000007E-2</v>
      </c>
      <c r="AG10" s="34">
        <v>2.2000000000000002</v>
      </c>
      <c r="AH10" s="35">
        <v>22</v>
      </c>
      <c r="AI10" s="25">
        <v>36.6</v>
      </c>
      <c r="AJ10" s="25"/>
      <c r="AK10" s="25">
        <v>50.2</v>
      </c>
      <c r="AL10" s="42">
        <v>369223</v>
      </c>
      <c r="AM10" s="33">
        <v>6.3E-2</v>
      </c>
      <c r="AN10" s="25">
        <v>0.05</v>
      </c>
      <c r="AO10" s="34">
        <v>2.1</v>
      </c>
      <c r="AP10" s="35">
        <v>21</v>
      </c>
      <c r="AQ10" s="25">
        <v>38.26</v>
      </c>
      <c r="AR10" s="25"/>
      <c r="AS10" s="25">
        <v>53.6</v>
      </c>
      <c r="AT10" s="24">
        <v>498748</v>
      </c>
      <c r="AU10" s="33">
        <v>9.7000000000000003E-2</v>
      </c>
      <c r="AV10" s="25">
        <v>7.0000000000000007E-2</v>
      </c>
      <c r="AW10" s="34">
        <v>2.2000000000000002</v>
      </c>
      <c r="AX10" s="35">
        <v>22</v>
      </c>
      <c r="AY10" s="25">
        <v>56.01</v>
      </c>
      <c r="AZ10" s="25">
        <v>2.06</v>
      </c>
      <c r="BA10" s="34">
        <v>10</v>
      </c>
      <c r="BB10" s="24">
        <v>992</v>
      </c>
      <c r="BC10" s="48"/>
      <c r="BD10" s="49"/>
      <c r="BE10" s="49"/>
      <c r="BF10" s="49"/>
      <c r="BG10" s="49"/>
      <c r="BH10" s="49"/>
      <c r="BI10" s="49"/>
      <c r="BJ10" s="24">
        <v>20301</v>
      </c>
      <c r="BK10" s="33">
        <v>9.9000000000000005E-2</v>
      </c>
      <c r="BL10" s="25">
        <v>7.0000000000000007E-2</v>
      </c>
      <c r="BM10" s="25">
        <v>2.2000000000000002</v>
      </c>
      <c r="BN10" s="25">
        <v>22</v>
      </c>
      <c r="BO10" s="25">
        <v>56.55</v>
      </c>
      <c r="BP10" s="25">
        <v>1.64</v>
      </c>
      <c r="BQ10" s="25">
        <v>9.8000000000000007</v>
      </c>
      <c r="BR10" s="42">
        <v>167990</v>
      </c>
      <c r="BS10" s="33">
        <v>9.2999999999999999E-2</v>
      </c>
      <c r="BT10" s="25">
        <v>7.0000000000000007E-2</v>
      </c>
      <c r="BU10" s="25">
        <v>2.2999999999999998</v>
      </c>
      <c r="BV10" s="25">
        <v>23</v>
      </c>
      <c r="BW10" s="25">
        <v>56.8</v>
      </c>
      <c r="BX10" s="25">
        <v>1.6</v>
      </c>
      <c r="BY10" s="25">
        <v>9.4</v>
      </c>
      <c r="BZ10" s="42">
        <v>151049</v>
      </c>
      <c r="CA10" s="48">
        <v>8.3000000000000004E-2</v>
      </c>
      <c r="CB10" s="49">
        <v>0.05</v>
      </c>
      <c r="CC10" s="50">
        <v>2.4</v>
      </c>
      <c r="CD10" s="51">
        <v>24</v>
      </c>
      <c r="CE10" s="49">
        <v>58.97</v>
      </c>
      <c r="CF10" s="49">
        <v>1.72</v>
      </c>
      <c r="CG10" s="49">
        <v>8</v>
      </c>
      <c r="CH10" s="42">
        <v>552026</v>
      </c>
      <c r="CI10" s="48">
        <v>6.5000000000000002E-2</v>
      </c>
      <c r="CJ10" s="49">
        <v>0.04</v>
      </c>
      <c r="CK10" s="49">
        <v>2.2000000000000002</v>
      </c>
      <c r="CL10" s="49">
        <v>22</v>
      </c>
      <c r="CM10" s="49">
        <v>59.63</v>
      </c>
      <c r="CN10" s="49">
        <v>0.99</v>
      </c>
      <c r="CO10" s="49">
        <v>7.6</v>
      </c>
      <c r="CP10" s="42">
        <v>812608</v>
      </c>
      <c r="CQ10" s="48">
        <v>6.6000000000000003E-2</v>
      </c>
      <c r="CR10" s="49">
        <v>0.04</v>
      </c>
      <c r="CS10" s="34">
        <v>2.2000000000000002</v>
      </c>
      <c r="CT10" s="35">
        <v>22</v>
      </c>
      <c r="CU10" s="49">
        <v>52.26</v>
      </c>
      <c r="CV10" s="49">
        <v>0.91</v>
      </c>
      <c r="CW10" s="24">
        <v>1080505</v>
      </c>
      <c r="CX10" s="33">
        <v>0.05</v>
      </c>
      <c r="CY10" s="25">
        <v>0.04</v>
      </c>
      <c r="CZ10" s="34">
        <v>2.1</v>
      </c>
      <c r="DA10" s="35">
        <v>21</v>
      </c>
      <c r="DB10" s="25">
        <v>52.13</v>
      </c>
      <c r="DC10" s="25">
        <v>0.77</v>
      </c>
      <c r="DD10" s="42"/>
      <c r="DE10" s="49"/>
      <c r="DF10" s="49"/>
      <c r="DG10" s="49"/>
      <c r="DH10" s="49"/>
      <c r="DI10" s="49"/>
      <c r="DJ10" s="49"/>
      <c r="DK10" s="49"/>
      <c r="DL10" s="56"/>
      <c r="DM10" s="24">
        <v>32951</v>
      </c>
      <c r="DN10" s="33">
        <v>0.11600000000000001</v>
      </c>
      <c r="DO10" s="25">
        <v>0.06</v>
      </c>
      <c r="DP10" s="25">
        <v>2.4</v>
      </c>
      <c r="DQ10" s="25">
        <v>24</v>
      </c>
      <c r="DR10" s="25">
        <v>58.9</v>
      </c>
      <c r="DS10" s="25"/>
      <c r="DT10" s="25">
        <v>7.6</v>
      </c>
      <c r="DU10" s="57"/>
      <c r="DV10" s="49"/>
      <c r="DW10" s="49"/>
      <c r="DX10" s="49"/>
      <c r="DY10" s="49"/>
      <c r="DZ10" s="49"/>
      <c r="EA10" s="49"/>
      <c r="EB10" s="49"/>
      <c r="EC10" s="49"/>
      <c r="ED10" s="56"/>
      <c r="EE10" s="42"/>
      <c r="EF10" s="49"/>
      <c r="EG10" s="49"/>
      <c r="EH10" s="49"/>
      <c r="EI10" s="49"/>
      <c r="EJ10" s="49"/>
      <c r="EK10" s="49"/>
      <c r="EL10" s="49"/>
      <c r="EM10" s="58"/>
      <c r="EN10" s="39"/>
      <c r="EO10" s="40">
        <f t="shared" si="4"/>
        <v>46117</v>
      </c>
      <c r="EP10" s="40">
        <v>45978</v>
      </c>
      <c r="EQ10" s="40">
        <v>46074</v>
      </c>
      <c r="ER10" s="40" t="s">
        <v>70</v>
      </c>
      <c r="ES10" s="40"/>
      <c r="ET10" s="40">
        <v>45930</v>
      </c>
      <c r="EU10" s="40">
        <v>46055</v>
      </c>
      <c r="EV10" s="40" t="s">
        <v>71</v>
      </c>
      <c r="EW10" s="40"/>
      <c r="EX10" s="40">
        <v>45992</v>
      </c>
      <c r="EY10" s="40">
        <v>46116</v>
      </c>
      <c r="EZ10" s="40" t="s">
        <v>71</v>
      </c>
      <c r="FA10" s="40"/>
      <c r="FB10" s="40">
        <v>45688</v>
      </c>
      <c r="FC10" s="40">
        <v>46114</v>
      </c>
      <c r="FD10" s="40"/>
      <c r="FE10" s="40">
        <v>46038</v>
      </c>
      <c r="FF10" s="40">
        <v>46055</v>
      </c>
      <c r="FG10" s="40"/>
      <c r="FH10" s="40">
        <v>46055</v>
      </c>
      <c r="FI10" s="40">
        <v>46114</v>
      </c>
      <c r="FJ10" s="40"/>
      <c r="FK10" s="40">
        <v>46037</v>
      </c>
      <c r="FL10" s="40">
        <v>46048</v>
      </c>
      <c r="FM10" s="40"/>
      <c r="FN10" s="40"/>
      <c r="FO10" s="40"/>
      <c r="FP10" s="40" t="s">
        <v>78</v>
      </c>
      <c r="FQ10" s="40">
        <v>46044</v>
      </c>
      <c r="FR10" s="40">
        <v>46047</v>
      </c>
      <c r="FS10" s="40" t="s">
        <v>78</v>
      </c>
      <c r="FT10" s="40">
        <v>46047</v>
      </c>
      <c r="FU10" s="40">
        <v>46056</v>
      </c>
      <c r="FV10" s="40" t="s">
        <v>82</v>
      </c>
      <c r="FW10" s="40">
        <v>46113</v>
      </c>
      <c r="FX10" s="40">
        <v>46114</v>
      </c>
      <c r="FY10" s="40"/>
      <c r="FZ10" s="40">
        <v>46109</v>
      </c>
      <c r="GA10" s="40">
        <v>46113</v>
      </c>
      <c r="GB10" s="40"/>
      <c r="GC10" s="40">
        <v>46023</v>
      </c>
      <c r="GD10" s="40">
        <v>46115</v>
      </c>
      <c r="GE10" s="40"/>
      <c r="GF10" s="40">
        <v>46022</v>
      </c>
      <c r="GG10" s="40">
        <v>46113</v>
      </c>
      <c r="GH10" s="40"/>
      <c r="GI10" s="40"/>
      <c r="GJ10" s="40"/>
      <c r="GK10" s="40" t="s">
        <v>80</v>
      </c>
      <c r="GL10" s="40">
        <v>46054</v>
      </c>
      <c r="GM10" s="40">
        <v>46054</v>
      </c>
      <c r="GN10" s="40"/>
      <c r="GO10" s="40"/>
      <c r="GP10" s="40"/>
      <c r="GQ10" s="40" t="s">
        <v>80</v>
      </c>
      <c r="GR10" s="40"/>
      <c r="GS10" s="40"/>
      <c r="GT10" s="3" t="s">
        <v>80</v>
      </c>
    </row>
    <row r="11" spans="2:202" x14ac:dyDescent="0.35">
      <c r="B11" s="41">
        <f t="shared" si="3"/>
        <v>46118</v>
      </c>
      <c r="C11" s="24">
        <v>2506149</v>
      </c>
      <c r="D11" s="49">
        <v>5.27</v>
      </c>
      <c r="E11" s="49">
        <v>0.27</v>
      </c>
      <c r="F11" s="49">
        <v>1.87</v>
      </c>
      <c r="G11" s="25">
        <v>51.72</v>
      </c>
      <c r="H11" s="25">
        <v>2.85</v>
      </c>
      <c r="I11" s="25">
        <v>2.6</v>
      </c>
      <c r="J11" s="25">
        <f t="shared" si="2"/>
        <v>8.3000000000000007</v>
      </c>
      <c r="K11" s="24">
        <v>2577692</v>
      </c>
      <c r="L11" s="25">
        <v>5.56</v>
      </c>
      <c r="M11" s="25">
        <v>0.27</v>
      </c>
      <c r="N11" s="25">
        <v>1.85</v>
      </c>
      <c r="O11" s="25">
        <v>52.35</v>
      </c>
      <c r="P11" s="25">
        <v>2.74</v>
      </c>
      <c r="Q11" s="25">
        <v>2.5</v>
      </c>
      <c r="R11" s="25">
        <f t="shared" si="0"/>
        <v>7.98</v>
      </c>
      <c r="S11" s="26">
        <v>2043098</v>
      </c>
      <c r="T11" s="25">
        <v>5.42</v>
      </c>
      <c r="U11" s="25">
        <v>0.28000000000000003</v>
      </c>
      <c r="V11" s="25">
        <v>1.9</v>
      </c>
      <c r="W11" s="27">
        <v>51.95</v>
      </c>
      <c r="X11" s="25">
        <v>2.86</v>
      </c>
      <c r="Y11" s="25">
        <v>2.38</v>
      </c>
      <c r="Z11" s="25">
        <f t="shared" si="1"/>
        <v>8.1</v>
      </c>
      <c r="AA11" s="42">
        <v>405994</v>
      </c>
      <c r="AB11" s="49">
        <v>88.63</v>
      </c>
      <c r="AC11" s="25">
        <v>0.25</v>
      </c>
      <c r="AD11" s="24">
        <v>529521</v>
      </c>
      <c r="AE11" s="33">
        <v>0.17199999999999999</v>
      </c>
      <c r="AF11" s="25">
        <v>7.0000000000000007E-2</v>
      </c>
      <c r="AG11" s="34">
        <v>2.2000000000000002</v>
      </c>
      <c r="AH11" s="35">
        <v>22</v>
      </c>
      <c r="AI11" s="25">
        <v>36.6</v>
      </c>
      <c r="AJ11" s="25"/>
      <c r="AK11" s="25">
        <v>50.2</v>
      </c>
      <c r="AL11" s="42">
        <v>369223</v>
      </c>
      <c r="AM11" s="33">
        <v>6.4000000000000001E-2</v>
      </c>
      <c r="AN11" s="25">
        <v>0.05</v>
      </c>
      <c r="AO11" s="34">
        <v>2.1</v>
      </c>
      <c r="AP11" s="35">
        <v>21</v>
      </c>
      <c r="AQ11" s="25">
        <v>38.26</v>
      </c>
      <c r="AR11" s="25"/>
      <c r="AS11" s="25">
        <v>53.6</v>
      </c>
      <c r="AT11" s="24">
        <v>498748</v>
      </c>
      <c r="AU11" s="33">
        <v>9.7000000000000003E-2</v>
      </c>
      <c r="AV11" s="25">
        <v>7.0000000000000007E-2</v>
      </c>
      <c r="AW11" s="34">
        <v>2.2000000000000002</v>
      </c>
      <c r="AX11" s="35">
        <v>22</v>
      </c>
      <c r="AY11" s="25">
        <v>56.01</v>
      </c>
      <c r="AZ11" s="25">
        <v>2.06</v>
      </c>
      <c r="BA11" s="34">
        <v>10</v>
      </c>
      <c r="BB11" s="24">
        <v>992</v>
      </c>
      <c r="BC11" s="48"/>
      <c r="BD11" s="49"/>
      <c r="BE11" s="49"/>
      <c r="BF11" s="49"/>
      <c r="BG11" s="49"/>
      <c r="BH11" s="49"/>
      <c r="BI11" s="49"/>
      <c r="BJ11" s="24">
        <v>20301</v>
      </c>
      <c r="BK11" s="33">
        <v>0.1</v>
      </c>
      <c r="BL11" s="25">
        <v>7.0000000000000007E-2</v>
      </c>
      <c r="BM11" s="25">
        <v>2.2000000000000002</v>
      </c>
      <c r="BN11" s="25">
        <v>22</v>
      </c>
      <c r="BO11" s="25">
        <v>56.55</v>
      </c>
      <c r="BP11" s="25">
        <v>1.64</v>
      </c>
      <c r="BQ11" s="25">
        <v>9.8000000000000007</v>
      </c>
      <c r="BR11" s="42">
        <v>167990</v>
      </c>
      <c r="BS11" s="33">
        <v>9.4E-2</v>
      </c>
      <c r="BT11" s="25">
        <v>7.0000000000000007E-2</v>
      </c>
      <c r="BU11" s="25">
        <v>2.2999999999999998</v>
      </c>
      <c r="BV11" s="25">
        <v>23</v>
      </c>
      <c r="BW11" s="25">
        <v>56.8</v>
      </c>
      <c r="BX11" s="25">
        <v>1.6</v>
      </c>
      <c r="BY11" s="25">
        <v>9.4</v>
      </c>
      <c r="BZ11" s="42">
        <v>151049</v>
      </c>
      <c r="CA11" s="48">
        <v>8.4000000000000005E-2</v>
      </c>
      <c r="CB11" s="49">
        <v>0.05</v>
      </c>
      <c r="CC11" s="50">
        <v>2.4</v>
      </c>
      <c r="CD11" s="51">
        <v>24</v>
      </c>
      <c r="CE11" s="49">
        <v>58.97</v>
      </c>
      <c r="CF11" s="49">
        <v>1.72</v>
      </c>
      <c r="CG11" s="49">
        <v>8</v>
      </c>
      <c r="CH11" s="42">
        <v>552026</v>
      </c>
      <c r="CI11" s="48">
        <v>6.6000000000000003E-2</v>
      </c>
      <c r="CJ11" s="49">
        <v>0.04</v>
      </c>
      <c r="CK11" s="49">
        <v>2.2000000000000002</v>
      </c>
      <c r="CL11" s="49">
        <v>22</v>
      </c>
      <c r="CM11" s="49">
        <v>59.63</v>
      </c>
      <c r="CN11" s="49">
        <v>0.99</v>
      </c>
      <c r="CO11" s="49">
        <v>7.6</v>
      </c>
      <c r="CP11" s="42">
        <v>812608</v>
      </c>
      <c r="CQ11" s="48">
        <v>6.7000000000000004E-2</v>
      </c>
      <c r="CR11" s="49">
        <v>0.04</v>
      </c>
      <c r="CS11" s="34">
        <v>2.2000000000000002</v>
      </c>
      <c r="CT11" s="35">
        <v>22</v>
      </c>
      <c r="CU11" s="49">
        <v>52.26</v>
      </c>
      <c r="CV11" s="49">
        <v>0.91</v>
      </c>
      <c r="CW11" s="24">
        <v>1080505</v>
      </c>
      <c r="CX11" s="33">
        <v>5.0999999999999997E-2</v>
      </c>
      <c r="CY11" s="25">
        <v>0.04</v>
      </c>
      <c r="CZ11" s="34">
        <v>2.1</v>
      </c>
      <c r="DA11" s="35">
        <v>21</v>
      </c>
      <c r="DB11" s="25">
        <v>52.13</v>
      </c>
      <c r="DC11" s="25">
        <v>0.77</v>
      </c>
      <c r="DD11" s="42"/>
      <c r="DE11" s="49"/>
      <c r="DF11" s="49"/>
      <c r="DG11" s="49"/>
      <c r="DH11" s="49"/>
      <c r="DI11" s="49"/>
      <c r="DJ11" s="49"/>
      <c r="DK11" s="49"/>
      <c r="DL11" s="56"/>
      <c r="DM11" s="24">
        <v>32951</v>
      </c>
      <c r="DN11" s="33">
        <v>0.11700000000000001</v>
      </c>
      <c r="DO11" s="25">
        <v>0.06</v>
      </c>
      <c r="DP11" s="25">
        <v>2.4</v>
      </c>
      <c r="DQ11" s="25">
        <v>24</v>
      </c>
      <c r="DR11" s="25">
        <v>58.9</v>
      </c>
      <c r="DS11" s="25"/>
      <c r="DT11" s="25">
        <v>7.6</v>
      </c>
      <c r="DU11" s="57"/>
      <c r="DV11" s="49"/>
      <c r="DW11" s="49"/>
      <c r="DX11" s="49"/>
      <c r="DY11" s="49"/>
      <c r="DZ11" s="49"/>
      <c r="EA11" s="49"/>
      <c r="EB11" s="49"/>
      <c r="EC11" s="49"/>
      <c r="ED11" s="56"/>
      <c r="EE11" s="42"/>
      <c r="EF11" s="49"/>
      <c r="EG11" s="49"/>
      <c r="EH11" s="49"/>
      <c r="EI11" s="49"/>
      <c r="EJ11" s="49"/>
      <c r="EK11" s="49"/>
      <c r="EL11" s="49"/>
      <c r="EM11" s="58"/>
      <c r="EN11" s="39"/>
      <c r="EO11" s="40">
        <f t="shared" si="4"/>
        <v>46118</v>
      </c>
      <c r="EP11" s="40">
        <v>45978</v>
      </c>
      <c r="EQ11" s="40">
        <v>46074</v>
      </c>
      <c r="ER11" s="40" t="s">
        <v>70</v>
      </c>
      <c r="ES11" s="40"/>
      <c r="ET11" s="40">
        <v>45930</v>
      </c>
      <c r="EU11" s="40">
        <v>46055</v>
      </c>
      <c r="EV11" s="40" t="s">
        <v>71</v>
      </c>
      <c r="EW11" s="40"/>
      <c r="EX11" s="40">
        <v>45992</v>
      </c>
      <c r="EY11" s="40">
        <v>46116</v>
      </c>
      <c r="EZ11" s="40" t="s">
        <v>71</v>
      </c>
      <c r="FA11" s="40"/>
      <c r="FB11" s="40">
        <v>45688</v>
      </c>
      <c r="FC11" s="40">
        <v>46114</v>
      </c>
      <c r="FD11" s="40"/>
      <c r="FE11" s="40">
        <v>46038</v>
      </c>
      <c r="FF11" s="40">
        <v>46055</v>
      </c>
      <c r="FG11" s="40"/>
      <c r="FH11" s="40">
        <v>46055</v>
      </c>
      <c r="FI11" s="40">
        <v>46114</v>
      </c>
      <c r="FJ11" s="40"/>
      <c r="FK11" s="40">
        <v>46037</v>
      </c>
      <c r="FL11" s="40">
        <v>46048</v>
      </c>
      <c r="FM11" s="40"/>
      <c r="FN11" s="40"/>
      <c r="FO11" s="40"/>
      <c r="FP11" s="40" t="s">
        <v>78</v>
      </c>
      <c r="FQ11" s="40">
        <v>46044</v>
      </c>
      <c r="FR11" s="40">
        <v>46047</v>
      </c>
      <c r="FS11" s="40" t="s">
        <v>78</v>
      </c>
      <c r="FT11" s="40">
        <v>46047</v>
      </c>
      <c r="FU11" s="40">
        <v>46056</v>
      </c>
      <c r="FV11" s="40"/>
      <c r="FW11" s="40">
        <v>46113</v>
      </c>
      <c r="FX11" s="40">
        <v>46114</v>
      </c>
      <c r="FY11" s="40"/>
      <c r="FZ11" s="40">
        <v>46109</v>
      </c>
      <c r="GA11" s="40">
        <v>46113</v>
      </c>
      <c r="GB11" s="40"/>
      <c r="GC11" s="40">
        <v>46023</v>
      </c>
      <c r="GD11" s="40">
        <v>46115</v>
      </c>
      <c r="GE11" s="40"/>
      <c r="GF11" s="40">
        <v>46022</v>
      </c>
      <c r="GG11" s="40">
        <v>46113</v>
      </c>
      <c r="GH11" s="40"/>
      <c r="GI11" s="40"/>
      <c r="GJ11" s="40"/>
      <c r="GK11" s="40" t="s">
        <v>80</v>
      </c>
      <c r="GL11" s="40">
        <v>46054</v>
      </c>
      <c r="GM11" s="40">
        <v>46054</v>
      </c>
      <c r="GN11" s="40"/>
      <c r="GO11" s="40"/>
      <c r="GP11" s="40"/>
      <c r="GQ11" s="40" t="s">
        <v>80</v>
      </c>
      <c r="GR11" s="40"/>
      <c r="GS11" s="40"/>
      <c r="GT11" s="3" t="s">
        <v>80</v>
      </c>
    </row>
    <row r="12" spans="2:202" x14ac:dyDescent="0.35">
      <c r="B12" s="41">
        <f t="shared" si="3"/>
        <v>46119</v>
      </c>
      <c r="C12" s="24">
        <v>2506149</v>
      </c>
      <c r="D12" s="49">
        <v>5.27</v>
      </c>
      <c r="E12" s="49">
        <v>0.27</v>
      </c>
      <c r="F12" s="49">
        <v>1.87</v>
      </c>
      <c r="G12" s="25">
        <v>51.72</v>
      </c>
      <c r="H12" s="25">
        <v>2.85</v>
      </c>
      <c r="I12" s="25">
        <v>2.6</v>
      </c>
      <c r="J12" s="25">
        <f t="shared" si="2"/>
        <v>8.3000000000000007</v>
      </c>
      <c r="K12" s="24">
        <v>2577692</v>
      </c>
      <c r="L12" s="25">
        <v>5.56</v>
      </c>
      <c r="M12" s="25">
        <v>0.27</v>
      </c>
      <c r="N12" s="25">
        <v>1.85</v>
      </c>
      <c r="O12" s="25">
        <v>52.35</v>
      </c>
      <c r="P12" s="25">
        <v>2.74</v>
      </c>
      <c r="Q12" s="25">
        <v>2.5</v>
      </c>
      <c r="R12" s="25">
        <f t="shared" si="0"/>
        <v>7.98</v>
      </c>
      <c r="S12" s="26">
        <v>2100418</v>
      </c>
      <c r="T12" s="25">
        <v>5.39</v>
      </c>
      <c r="U12" s="25">
        <v>0.28000000000000003</v>
      </c>
      <c r="V12" s="25">
        <v>1.9</v>
      </c>
      <c r="W12" s="27">
        <v>51.95</v>
      </c>
      <c r="X12" s="25">
        <v>2.86</v>
      </c>
      <c r="Y12" s="25">
        <v>2.38</v>
      </c>
      <c r="Z12" s="25">
        <f t="shared" si="1"/>
        <v>8.1</v>
      </c>
      <c r="AA12" s="42">
        <v>405994</v>
      </c>
      <c r="AB12" s="49">
        <v>88.63</v>
      </c>
      <c r="AC12" s="25">
        <v>0.25</v>
      </c>
      <c r="AD12" s="24">
        <v>529521</v>
      </c>
      <c r="AE12" s="33">
        <v>0.17199999999999999</v>
      </c>
      <c r="AF12" s="25">
        <v>7.0000000000000007E-2</v>
      </c>
      <c r="AG12" s="34">
        <v>2.2000000000000002</v>
      </c>
      <c r="AH12" s="35">
        <v>22</v>
      </c>
      <c r="AI12" s="25">
        <v>36.6</v>
      </c>
      <c r="AJ12" s="25"/>
      <c r="AK12" s="25">
        <v>50.2</v>
      </c>
      <c r="AL12" s="42">
        <v>369223</v>
      </c>
      <c r="AM12" s="33">
        <v>6.4000000000000001E-2</v>
      </c>
      <c r="AN12" s="25">
        <v>0.05</v>
      </c>
      <c r="AO12" s="34">
        <v>2.1</v>
      </c>
      <c r="AP12" s="35">
        <v>21</v>
      </c>
      <c r="AQ12" s="25">
        <v>38.26</v>
      </c>
      <c r="AR12" s="25"/>
      <c r="AS12" s="25">
        <v>53.6</v>
      </c>
      <c r="AT12" s="24">
        <v>498748</v>
      </c>
      <c r="AU12" s="33">
        <v>9.7000000000000003E-2</v>
      </c>
      <c r="AV12" s="25">
        <v>7.0000000000000007E-2</v>
      </c>
      <c r="AW12" s="34">
        <v>2.2000000000000002</v>
      </c>
      <c r="AX12" s="35">
        <v>22</v>
      </c>
      <c r="AY12" s="25">
        <v>56.01</v>
      </c>
      <c r="AZ12" s="25">
        <v>2.06</v>
      </c>
      <c r="BA12" s="34">
        <v>10</v>
      </c>
      <c r="BB12" s="24">
        <v>992</v>
      </c>
      <c r="BC12" s="48"/>
      <c r="BD12" s="49"/>
      <c r="BE12" s="49"/>
      <c r="BF12" s="49"/>
      <c r="BG12" s="49"/>
      <c r="BH12" s="49"/>
      <c r="BI12" s="49"/>
      <c r="BJ12" s="24">
        <v>20301</v>
      </c>
      <c r="BK12" s="33">
        <v>0.1</v>
      </c>
      <c r="BL12" s="25">
        <v>7.0000000000000007E-2</v>
      </c>
      <c r="BM12" s="25">
        <v>2.2000000000000002</v>
      </c>
      <c r="BN12" s="25">
        <v>22</v>
      </c>
      <c r="BO12" s="25">
        <v>56.55</v>
      </c>
      <c r="BP12" s="25">
        <v>1.64</v>
      </c>
      <c r="BQ12" s="25">
        <v>9.8000000000000007</v>
      </c>
      <c r="BR12" s="42">
        <v>63340</v>
      </c>
      <c r="BS12" s="33">
        <v>9.8000000000000004E-2</v>
      </c>
      <c r="BT12" s="25">
        <v>7.0000000000000007E-2</v>
      </c>
      <c r="BU12" s="25">
        <v>2.2999999999999998</v>
      </c>
      <c r="BV12" s="25">
        <v>23</v>
      </c>
      <c r="BW12" s="25">
        <v>56.8</v>
      </c>
      <c r="BX12" s="25">
        <v>1.6</v>
      </c>
      <c r="BY12" s="25">
        <v>9.4</v>
      </c>
      <c r="BZ12" s="42">
        <v>122409</v>
      </c>
      <c r="CA12" s="48">
        <v>8.4000000000000005E-2</v>
      </c>
      <c r="CB12" s="49">
        <v>0.05</v>
      </c>
      <c r="CC12" s="50">
        <v>2.4</v>
      </c>
      <c r="CD12" s="51">
        <v>24</v>
      </c>
      <c r="CE12" s="49">
        <v>58.97</v>
      </c>
      <c r="CF12" s="49">
        <v>1.72</v>
      </c>
      <c r="CG12" s="49">
        <v>8</v>
      </c>
      <c r="CH12" s="42">
        <v>552026</v>
      </c>
      <c r="CI12" s="48">
        <v>6.6000000000000003E-2</v>
      </c>
      <c r="CJ12" s="49">
        <v>0.04</v>
      </c>
      <c r="CK12" s="49">
        <v>2.2000000000000002</v>
      </c>
      <c r="CL12" s="49">
        <v>22</v>
      </c>
      <c r="CM12" s="49">
        <v>59.63</v>
      </c>
      <c r="CN12" s="49">
        <v>0.99</v>
      </c>
      <c r="CO12" s="49">
        <v>7.6</v>
      </c>
      <c r="CP12" s="42">
        <v>812608</v>
      </c>
      <c r="CQ12" s="48">
        <v>6.7000000000000004E-2</v>
      </c>
      <c r="CR12" s="49">
        <v>0.04</v>
      </c>
      <c r="CS12" s="34">
        <v>2.2000000000000002</v>
      </c>
      <c r="CT12" s="35">
        <v>22</v>
      </c>
      <c r="CU12" s="49">
        <v>52.26</v>
      </c>
      <c r="CV12" s="49">
        <v>0.91</v>
      </c>
      <c r="CW12" s="24">
        <v>1080505</v>
      </c>
      <c r="CX12" s="33">
        <v>5.0999999999999997E-2</v>
      </c>
      <c r="CY12" s="25">
        <v>0.04</v>
      </c>
      <c r="CZ12" s="34">
        <v>2.1</v>
      </c>
      <c r="DA12" s="35">
        <v>21</v>
      </c>
      <c r="DB12" s="25">
        <v>52.13</v>
      </c>
      <c r="DC12" s="25">
        <v>0.77</v>
      </c>
      <c r="DD12" s="42"/>
      <c r="DE12" s="49"/>
      <c r="DF12" s="49"/>
      <c r="DG12" s="49"/>
      <c r="DH12" s="49"/>
      <c r="DI12" s="49"/>
      <c r="DJ12" s="49"/>
      <c r="DK12" s="49"/>
      <c r="DL12" s="56"/>
      <c r="DM12" s="24">
        <v>32951</v>
      </c>
      <c r="DN12" s="33">
        <v>0.11700000000000001</v>
      </c>
      <c r="DO12" s="25">
        <v>0.06</v>
      </c>
      <c r="DP12" s="25">
        <v>2.4</v>
      </c>
      <c r="DQ12" s="25">
        <v>24</v>
      </c>
      <c r="DR12" s="25">
        <v>58.9</v>
      </c>
      <c r="DS12" s="25"/>
      <c r="DT12" s="25">
        <v>7.6</v>
      </c>
      <c r="DU12" s="57"/>
      <c r="DV12" s="49"/>
      <c r="DW12" s="49"/>
      <c r="DX12" s="49"/>
      <c r="DY12" s="49"/>
      <c r="DZ12" s="49"/>
      <c r="EA12" s="49"/>
      <c r="EB12" s="49"/>
      <c r="EC12" s="49"/>
      <c r="ED12" s="56"/>
      <c r="EE12" s="42"/>
      <c r="EF12" s="49"/>
      <c r="EG12" s="49"/>
      <c r="EH12" s="49"/>
      <c r="EI12" s="49"/>
      <c r="EJ12" s="49"/>
      <c r="EK12" s="49"/>
      <c r="EL12" s="49"/>
      <c r="EM12" s="58"/>
      <c r="EN12" s="39"/>
      <c r="EO12" s="40">
        <f t="shared" si="4"/>
        <v>46119</v>
      </c>
      <c r="EP12" s="40">
        <v>45978</v>
      </c>
      <c r="EQ12" s="40">
        <v>46074</v>
      </c>
      <c r="ER12" s="40" t="s">
        <v>70</v>
      </c>
      <c r="ES12" s="40"/>
      <c r="ET12" s="40">
        <v>45930</v>
      </c>
      <c r="EU12" s="40">
        <v>46055</v>
      </c>
      <c r="EV12" s="40" t="s">
        <v>71</v>
      </c>
      <c r="EW12" s="40"/>
      <c r="EX12" s="40">
        <v>45992</v>
      </c>
      <c r="EY12" s="40">
        <v>46118</v>
      </c>
      <c r="EZ12" s="40" t="s">
        <v>71</v>
      </c>
      <c r="FA12" s="40"/>
      <c r="FB12" s="40">
        <v>45688</v>
      </c>
      <c r="FC12" s="40">
        <v>46114</v>
      </c>
      <c r="FD12" s="40"/>
      <c r="FE12" s="40">
        <v>46038</v>
      </c>
      <c r="FF12" s="40">
        <v>46055</v>
      </c>
      <c r="FG12" s="40"/>
      <c r="FH12" s="40">
        <v>46055</v>
      </c>
      <c r="FI12" s="40">
        <v>46114</v>
      </c>
      <c r="FJ12" s="40"/>
      <c r="FK12" s="40">
        <v>46037</v>
      </c>
      <c r="FL12" s="40">
        <v>46048</v>
      </c>
      <c r="FM12" s="40"/>
      <c r="FN12" s="40"/>
      <c r="FO12" s="40"/>
      <c r="FP12" s="40" t="s">
        <v>78</v>
      </c>
      <c r="FQ12" s="40">
        <v>46044</v>
      </c>
      <c r="FR12" s="40">
        <v>46047</v>
      </c>
      <c r="FS12" s="40" t="s">
        <v>78</v>
      </c>
      <c r="FT12" s="40">
        <v>46047</v>
      </c>
      <c r="FU12" s="40">
        <v>46056</v>
      </c>
      <c r="FV12" s="40" t="s">
        <v>82</v>
      </c>
      <c r="FW12" s="40">
        <v>46113</v>
      </c>
      <c r="FX12" s="40">
        <v>46114</v>
      </c>
      <c r="FY12" s="40" t="s">
        <v>83</v>
      </c>
      <c r="FZ12" s="40">
        <v>46109</v>
      </c>
      <c r="GA12" s="40">
        <v>46113</v>
      </c>
      <c r="GB12" s="40"/>
      <c r="GC12" s="40">
        <v>46023</v>
      </c>
      <c r="GD12" s="40">
        <v>46115</v>
      </c>
      <c r="GE12" s="40"/>
      <c r="GF12" s="40">
        <v>46022</v>
      </c>
      <c r="GG12" s="40">
        <v>46113</v>
      </c>
      <c r="GH12" s="40"/>
      <c r="GI12" s="40"/>
      <c r="GJ12" s="40"/>
      <c r="GK12" s="40" t="s">
        <v>80</v>
      </c>
      <c r="GL12" s="40">
        <v>46054</v>
      </c>
      <c r="GM12" s="40">
        <v>46054</v>
      </c>
      <c r="GN12" s="40"/>
      <c r="GO12" s="40"/>
      <c r="GP12" s="40"/>
      <c r="GQ12" s="40" t="s">
        <v>80</v>
      </c>
      <c r="GR12" s="40"/>
      <c r="GS12" s="40"/>
      <c r="GT12" s="3" t="s">
        <v>80</v>
      </c>
    </row>
    <row r="13" spans="2:202" x14ac:dyDescent="0.35">
      <c r="B13" s="41">
        <f t="shared" si="3"/>
        <v>46120</v>
      </c>
      <c r="C13" s="24">
        <v>2506149</v>
      </c>
      <c r="D13" s="49">
        <v>5.29</v>
      </c>
      <c r="E13" s="49">
        <v>0.27</v>
      </c>
      <c r="F13" s="49">
        <v>1.87</v>
      </c>
      <c r="G13" s="25">
        <v>51.72</v>
      </c>
      <c r="H13" s="25">
        <v>2.85</v>
      </c>
      <c r="I13" s="25">
        <v>2.6</v>
      </c>
      <c r="J13" s="25">
        <f t="shared" si="2"/>
        <v>8.3000000000000007</v>
      </c>
      <c r="K13" s="24">
        <v>2577692</v>
      </c>
      <c r="L13" s="25">
        <v>5.57</v>
      </c>
      <c r="M13" s="25">
        <v>0.27</v>
      </c>
      <c r="N13" s="25">
        <v>1.85</v>
      </c>
      <c r="O13" s="25">
        <v>52.35</v>
      </c>
      <c r="P13" s="25">
        <v>2.74</v>
      </c>
      <c r="Q13" s="25">
        <v>2.5</v>
      </c>
      <c r="R13" s="25">
        <f t="shared" si="0"/>
        <v>7.98</v>
      </c>
      <c r="S13" s="26">
        <v>2200848</v>
      </c>
      <c r="T13" s="25">
        <v>5.37</v>
      </c>
      <c r="U13" s="25">
        <v>0.28000000000000003</v>
      </c>
      <c r="V13" s="25">
        <v>1.95</v>
      </c>
      <c r="W13" s="27">
        <v>51.95</v>
      </c>
      <c r="X13" s="25">
        <v>2.86</v>
      </c>
      <c r="Y13" s="25">
        <v>2.38</v>
      </c>
      <c r="Z13" s="25">
        <f t="shared" si="1"/>
        <v>8.1</v>
      </c>
      <c r="AA13" s="42">
        <v>405994</v>
      </c>
      <c r="AB13" s="49">
        <v>88.63</v>
      </c>
      <c r="AC13" s="25">
        <v>0.25</v>
      </c>
      <c r="AD13" s="24">
        <v>529521</v>
      </c>
      <c r="AE13" s="33">
        <v>0.17399999999999999</v>
      </c>
      <c r="AF13" s="25">
        <v>7.0000000000000007E-2</v>
      </c>
      <c r="AG13" s="34">
        <v>2.2000000000000002</v>
      </c>
      <c r="AH13" s="35">
        <v>22</v>
      </c>
      <c r="AI13" s="25">
        <v>36.6</v>
      </c>
      <c r="AJ13" s="25"/>
      <c r="AK13" s="25">
        <v>50.2</v>
      </c>
      <c r="AL13" s="42">
        <v>369223</v>
      </c>
      <c r="AM13" s="33">
        <v>6.5000000000000002E-2</v>
      </c>
      <c r="AN13" s="25">
        <v>0.05</v>
      </c>
      <c r="AO13" s="34">
        <v>2.1</v>
      </c>
      <c r="AP13" s="35">
        <v>21</v>
      </c>
      <c r="AQ13" s="25">
        <v>38.26</v>
      </c>
      <c r="AR13" s="25"/>
      <c r="AS13" s="25">
        <v>53.6</v>
      </c>
      <c r="AT13" s="24">
        <v>498748</v>
      </c>
      <c r="AU13" s="33">
        <v>9.8000000000000004E-2</v>
      </c>
      <c r="AV13" s="25">
        <v>7.0000000000000007E-2</v>
      </c>
      <c r="AW13" s="34">
        <v>2.2000000000000002</v>
      </c>
      <c r="AX13" s="35">
        <v>22</v>
      </c>
      <c r="AY13" s="25">
        <v>56.01</v>
      </c>
      <c r="AZ13" s="25">
        <v>2.06</v>
      </c>
      <c r="BA13" s="34">
        <v>10</v>
      </c>
      <c r="BB13" s="24">
        <v>992</v>
      </c>
      <c r="BC13" s="48"/>
      <c r="BD13" s="49"/>
      <c r="BE13" s="49"/>
      <c r="BF13" s="49"/>
      <c r="BG13" s="49"/>
      <c r="BH13" s="49"/>
      <c r="BI13" s="49"/>
      <c r="BJ13" s="24">
        <v>20301</v>
      </c>
      <c r="BK13" s="33">
        <v>0.10199999999999999</v>
      </c>
      <c r="BL13" s="25">
        <v>7.0000000000000007E-2</v>
      </c>
      <c r="BM13" s="25">
        <v>2.2000000000000002</v>
      </c>
      <c r="BN13" s="25">
        <v>22</v>
      </c>
      <c r="BO13" s="25">
        <v>56.55</v>
      </c>
      <c r="BP13" s="25">
        <v>1.64</v>
      </c>
      <c r="BQ13" s="25">
        <v>9.8000000000000007</v>
      </c>
      <c r="BR13" s="42">
        <v>63340</v>
      </c>
      <c r="BS13" s="33">
        <v>9.9000000000000005E-2</v>
      </c>
      <c r="BT13" s="25">
        <v>7.0000000000000007E-2</v>
      </c>
      <c r="BU13" s="25">
        <v>2.2999999999999998</v>
      </c>
      <c r="BV13" s="25">
        <v>23</v>
      </c>
      <c r="BW13" s="25">
        <v>56.8</v>
      </c>
      <c r="BX13" s="25">
        <v>1.6</v>
      </c>
      <c r="BY13" s="25">
        <v>9.4</v>
      </c>
      <c r="BZ13" s="42">
        <v>36269</v>
      </c>
      <c r="CA13" s="48">
        <v>8.4000000000000005E-2</v>
      </c>
      <c r="CB13" s="49">
        <v>0.05</v>
      </c>
      <c r="CC13" s="50">
        <v>2.4</v>
      </c>
      <c r="CD13" s="51">
        <v>24</v>
      </c>
      <c r="CE13" s="49">
        <v>58.97</v>
      </c>
      <c r="CF13" s="49">
        <v>1.72</v>
      </c>
      <c r="CG13" s="49">
        <v>8</v>
      </c>
      <c r="CH13" s="42">
        <v>552026</v>
      </c>
      <c r="CI13" s="48">
        <v>6.7000000000000004E-2</v>
      </c>
      <c r="CJ13" s="49">
        <v>0.04</v>
      </c>
      <c r="CK13" s="49">
        <v>2.2000000000000002</v>
      </c>
      <c r="CL13" s="49">
        <v>22</v>
      </c>
      <c r="CM13" s="49">
        <v>59.63</v>
      </c>
      <c r="CN13" s="49">
        <v>0.99</v>
      </c>
      <c r="CO13" s="49">
        <v>7.6</v>
      </c>
      <c r="CP13" s="42">
        <v>812608</v>
      </c>
      <c r="CQ13" s="48">
        <v>6.8000000000000005E-2</v>
      </c>
      <c r="CR13" s="49">
        <v>0.04</v>
      </c>
      <c r="CS13" s="34">
        <v>2.2000000000000002</v>
      </c>
      <c r="CT13" s="35">
        <v>22</v>
      </c>
      <c r="CU13" s="49">
        <v>52.26</v>
      </c>
      <c r="CV13" s="49">
        <v>0.91</v>
      </c>
      <c r="CW13" s="24">
        <v>1080505</v>
      </c>
      <c r="CX13" s="33">
        <v>5.1999999999999998E-2</v>
      </c>
      <c r="CY13" s="25">
        <v>0.04</v>
      </c>
      <c r="CZ13" s="34">
        <v>2.1</v>
      </c>
      <c r="DA13" s="35">
        <v>21</v>
      </c>
      <c r="DB13" s="25">
        <v>52.13</v>
      </c>
      <c r="DC13" s="25">
        <v>0.77</v>
      </c>
      <c r="DD13" s="42"/>
      <c r="DE13" s="49"/>
      <c r="DF13" s="49"/>
      <c r="DG13" s="49"/>
      <c r="DH13" s="49"/>
      <c r="DI13" s="49"/>
      <c r="DJ13" s="49"/>
      <c r="DK13" s="49"/>
      <c r="DL13" s="56"/>
      <c r="DM13" s="24">
        <v>32951</v>
      </c>
      <c r="DN13" s="33">
        <v>0.11700000000000001</v>
      </c>
      <c r="DO13" s="25">
        <v>0.06</v>
      </c>
      <c r="DP13" s="25">
        <v>2.4</v>
      </c>
      <c r="DQ13" s="25">
        <v>24</v>
      </c>
      <c r="DR13" s="25">
        <v>58.9</v>
      </c>
      <c r="DS13" s="25"/>
      <c r="DT13" s="25">
        <v>7.6</v>
      </c>
      <c r="DU13" s="57"/>
      <c r="DV13" s="49"/>
      <c r="DW13" s="49"/>
      <c r="DX13" s="49"/>
      <c r="DY13" s="49"/>
      <c r="DZ13" s="49"/>
      <c r="EA13" s="49"/>
      <c r="EB13" s="49"/>
      <c r="EC13" s="49"/>
      <c r="ED13" s="56"/>
      <c r="EE13" s="42"/>
      <c r="EF13" s="49"/>
      <c r="EG13" s="49"/>
      <c r="EH13" s="49"/>
      <c r="EI13" s="49"/>
      <c r="EJ13" s="49"/>
      <c r="EK13" s="49"/>
      <c r="EL13" s="49"/>
      <c r="EM13" s="58"/>
      <c r="EN13" s="39"/>
      <c r="EO13" s="40">
        <f t="shared" si="4"/>
        <v>46120</v>
      </c>
      <c r="EP13" s="40">
        <v>45978</v>
      </c>
      <c r="EQ13" s="40">
        <v>46074</v>
      </c>
      <c r="ER13" s="40" t="s">
        <v>70</v>
      </c>
      <c r="ES13" s="40"/>
      <c r="ET13" s="40">
        <v>45930</v>
      </c>
      <c r="EU13" s="40">
        <v>46055</v>
      </c>
      <c r="EV13" s="40" t="s">
        <v>71</v>
      </c>
      <c r="EW13" s="40"/>
      <c r="EX13" s="40">
        <v>45992</v>
      </c>
      <c r="EY13" s="40">
        <v>46119</v>
      </c>
      <c r="EZ13" s="40" t="s">
        <v>71</v>
      </c>
      <c r="FA13" s="40"/>
      <c r="FB13" s="40">
        <v>45688</v>
      </c>
      <c r="FC13" s="40">
        <v>46114</v>
      </c>
      <c r="FD13" s="40"/>
      <c r="FE13" s="40">
        <v>46038</v>
      </c>
      <c r="FF13" s="40">
        <v>46055</v>
      </c>
      <c r="FG13" s="40"/>
      <c r="FH13" s="40">
        <v>46055</v>
      </c>
      <c r="FI13" s="40">
        <v>46114</v>
      </c>
      <c r="FJ13" s="40"/>
      <c r="FK13" s="40">
        <v>46037</v>
      </c>
      <c r="FL13" s="40">
        <v>46048</v>
      </c>
      <c r="FM13" s="40"/>
      <c r="FN13" s="40"/>
      <c r="FO13" s="40"/>
      <c r="FP13" s="40" t="s">
        <v>78</v>
      </c>
      <c r="FQ13" s="40">
        <v>46044</v>
      </c>
      <c r="FR13" s="40">
        <v>46047</v>
      </c>
      <c r="FS13" s="40" t="s">
        <v>78</v>
      </c>
      <c r="FT13" s="40">
        <v>46047</v>
      </c>
      <c r="FU13" s="40">
        <v>46056</v>
      </c>
      <c r="FV13" s="40"/>
      <c r="FW13" s="40">
        <v>46113</v>
      </c>
      <c r="FX13" s="40">
        <v>46114</v>
      </c>
      <c r="FY13" s="40" t="s">
        <v>82</v>
      </c>
      <c r="FZ13" s="40">
        <v>46109</v>
      </c>
      <c r="GA13" s="40">
        <v>46113</v>
      </c>
      <c r="GB13" s="40"/>
      <c r="GC13" s="40">
        <v>46023</v>
      </c>
      <c r="GD13" s="40">
        <v>46115</v>
      </c>
      <c r="GE13" s="40"/>
      <c r="GF13" s="40">
        <v>46022</v>
      </c>
      <c r="GG13" s="40">
        <v>46113</v>
      </c>
      <c r="GH13" s="40"/>
      <c r="GI13" s="40"/>
      <c r="GJ13" s="40"/>
      <c r="GK13" s="40" t="s">
        <v>80</v>
      </c>
      <c r="GL13" s="40">
        <v>46054</v>
      </c>
      <c r="GM13" s="40">
        <v>46054</v>
      </c>
      <c r="GN13" s="40"/>
      <c r="GO13" s="40"/>
      <c r="GP13" s="40"/>
      <c r="GQ13" s="40" t="s">
        <v>80</v>
      </c>
      <c r="GR13" s="40"/>
      <c r="GS13" s="40"/>
      <c r="GT13" s="3" t="s">
        <v>80</v>
      </c>
    </row>
    <row r="14" spans="2:202" x14ac:dyDescent="0.35">
      <c r="B14" s="41">
        <f t="shared" si="3"/>
        <v>46121</v>
      </c>
      <c r="C14" s="24">
        <v>2545049</v>
      </c>
      <c r="D14" s="49">
        <v>5.29</v>
      </c>
      <c r="E14" s="49">
        <v>0.27</v>
      </c>
      <c r="F14" s="49">
        <v>1.87</v>
      </c>
      <c r="G14" s="25">
        <v>51.72</v>
      </c>
      <c r="H14" s="25">
        <v>2.85</v>
      </c>
      <c r="I14" s="25">
        <v>2.6</v>
      </c>
      <c r="J14" s="25">
        <f t="shared" si="2"/>
        <v>8.3000000000000007</v>
      </c>
      <c r="K14" s="42">
        <v>2651862</v>
      </c>
      <c r="L14" s="25">
        <v>5.5</v>
      </c>
      <c r="M14" s="25">
        <v>0.27</v>
      </c>
      <c r="N14" s="25">
        <v>1.85</v>
      </c>
      <c r="O14" s="25">
        <v>52.35</v>
      </c>
      <c r="P14" s="25">
        <v>2.74</v>
      </c>
      <c r="Q14" s="25">
        <v>2.5</v>
      </c>
      <c r="R14" s="25">
        <f t="shared" si="0"/>
        <v>7.98</v>
      </c>
      <c r="S14" s="26">
        <v>2632188</v>
      </c>
      <c r="T14" s="25">
        <v>5.34</v>
      </c>
      <c r="U14" s="25">
        <v>0.28000000000000003</v>
      </c>
      <c r="V14" s="25">
        <v>1.95</v>
      </c>
      <c r="W14" s="27">
        <v>51.95</v>
      </c>
      <c r="X14" s="25">
        <v>2.86</v>
      </c>
      <c r="Y14" s="25">
        <v>2.38</v>
      </c>
      <c r="Z14" s="25">
        <f t="shared" si="1"/>
        <v>8.1</v>
      </c>
      <c r="AA14" s="42">
        <v>405994</v>
      </c>
      <c r="AB14" s="49">
        <v>88.63</v>
      </c>
      <c r="AC14" s="25">
        <v>0.25</v>
      </c>
      <c r="AD14" s="24">
        <v>529521</v>
      </c>
      <c r="AE14" s="33">
        <v>0.17399999999999999</v>
      </c>
      <c r="AF14" s="25">
        <v>7.0000000000000007E-2</v>
      </c>
      <c r="AG14" s="34">
        <v>2.2000000000000002</v>
      </c>
      <c r="AH14" s="35">
        <v>22</v>
      </c>
      <c r="AI14" s="25">
        <v>36.6</v>
      </c>
      <c r="AJ14" s="25"/>
      <c r="AK14" s="25">
        <v>50.2</v>
      </c>
      <c r="AL14" s="42">
        <v>369223</v>
      </c>
      <c r="AM14" s="33">
        <v>6.6000000000000003E-2</v>
      </c>
      <c r="AN14" s="25">
        <v>0.05</v>
      </c>
      <c r="AO14" s="34">
        <v>2.1</v>
      </c>
      <c r="AP14" s="35">
        <v>21</v>
      </c>
      <c r="AQ14" s="25">
        <v>38.26</v>
      </c>
      <c r="AR14" s="25"/>
      <c r="AS14" s="25">
        <v>53.6</v>
      </c>
      <c r="AT14" s="24">
        <v>498748</v>
      </c>
      <c r="AU14" s="33">
        <v>9.8000000000000004E-2</v>
      </c>
      <c r="AV14" s="25">
        <v>7.0000000000000007E-2</v>
      </c>
      <c r="AW14" s="34">
        <v>2.2000000000000002</v>
      </c>
      <c r="AX14" s="35">
        <v>22</v>
      </c>
      <c r="AY14" s="25">
        <v>56.01</v>
      </c>
      <c r="AZ14" s="25">
        <v>2.06</v>
      </c>
      <c r="BA14" s="34">
        <v>10</v>
      </c>
      <c r="BB14" s="24">
        <v>992</v>
      </c>
      <c r="BC14" s="48"/>
      <c r="BD14" s="49"/>
      <c r="BE14" s="49"/>
      <c r="BF14" s="49"/>
      <c r="BG14" s="49"/>
      <c r="BH14" s="49"/>
      <c r="BI14" s="49"/>
      <c r="BJ14" s="24">
        <v>20301</v>
      </c>
      <c r="BK14" s="33">
        <v>0.104</v>
      </c>
      <c r="BL14" s="25">
        <v>7.0000000000000007E-2</v>
      </c>
      <c r="BM14" s="25">
        <v>2.2000000000000002</v>
      </c>
      <c r="BN14" s="25">
        <v>22</v>
      </c>
      <c r="BO14" s="25">
        <v>56.55</v>
      </c>
      <c r="BP14" s="25">
        <v>1.64</v>
      </c>
      <c r="BQ14" s="25">
        <v>9.8000000000000007</v>
      </c>
      <c r="BR14" s="42">
        <v>63340</v>
      </c>
      <c r="BS14" s="33">
        <v>0.1</v>
      </c>
      <c r="BT14" s="25">
        <v>7.0000000000000007E-2</v>
      </c>
      <c r="BU14" s="25">
        <v>2.2999999999999998</v>
      </c>
      <c r="BV14" s="25">
        <v>23</v>
      </c>
      <c r="BW14" s="25">
        <v>56.8</v>
      </c>
      <c r="BX14" s="25">
        <v>1.6</v>
      </c>
      <c r="BY14" s="25">
        <v>9.4</v>
      </c>
      <c r="BZ14" s="42">
        <v>26649</v>
      </c>
      <c r="CA14" s="48">
        <v>8.5000000000000006E-2</v>
      </c>
      <c r="CB14" s="49">
        <v>0.05</v>
      </c>
      <c r="CC14" s="50">
        <v>2.4</v>
      </c>
      <c r="CD14" s="51">
        <v>24</v>
      </c>
      <c r="CE14" s="49">
        <v>58.97</v>
      </c>
      <c r="CF14" s="49">
        <v>1.72</v>
      </c>
      <c r="CG14" s="49">
        <v>8</v>
      </c>
      <c r="CH14" s="42">
        <v>490176</v>
      </c>
      <c r="CI14" s="48">
        <v>6.7000000000000004E-2</v>
      </c>
      <c r="CJ14" s="49">
        <v>0.04</v>
      </c>
      <c r="CK14" s="49">
        <v>2.2000000000000002</v>
      </c>
      <c r="CL14" s="49">
        <v>22</v>
      </c>
      <c r="CM14" s="49">
        <v>59.63</v>
      </c>
      <c r="CN14" s="49">
        <v>0.99</v>
      </c>
      <c r="CO14" s="49">
        <v>7.6</v>
      </c>
      <c r="CP14" s="42">
        <v>812608</v>
      </c>
      <c r="CQ14" s="48">
        <v>6.8000000000000005E-2</v>
      </c>
      <c r="CR14" s="49">
        <v>0.04</v>
      </c>
      <c r="CS14" s="34">
        <v>2.2000000000000002</v>
      </c>
      <c r="CT14" s="35">
        <v>22</v>
      </c>
      <c r="CU14" s="49">
        <v>52.26</v>
      </c>
      <c r="CV14" s="49">
        <v>0.91</v>
      </c>
      <c r="CW14" s="24">
        <v>1080505</v>
      </c>
      <c r="CX14" s="33">
        <v>5.1999999999999998E-2</v>
      </c>
      <c r="CY14" s="25">
        <v>0.04</v>
      </c>
      <c r="CZ14" s="34">
        <v>2.1</v>
      </c>
      <c r="DA14" s="35">
        <v>21</v>
      </c>
      <c r="DB14" s="25">
        <v>52.13</v>
      </c>
      <c r="DC14" s="25">
        <v>0.77</v>
      </c>
      <c r="DD14" s="42"/>
      <c r="DE14" s="49"/>
      <c r="DF14" s="49"/>
      <c r="DG14" s="49"/>
      <c r="DH14" s="49"/>
      <c r="DI14" s="49"/>
      <c r="DJ14" s="49"/>
      <c r="DK14" s="49"/>
      <c r="DL14" s="56"/>
      <c r="DM14" s="24">
        <v>32951</v>
      </c>
      <c r="DN14" s="33">
        <v>0.11700000000000001</v>
      </c>
      <c r="DO14" s="25">
        <v>0.06</v>
      </c>
      <c r="DP14" s="25">
        <v>2.4</v>
      </c>
      <c r="DQ14" s="25">
        <v>24</v>
      </c>
      <c r="DR14" s="25">
        <v>58.9</v>
      </c>
      <c r="DS14" s="25"/>
      <c r="DT14" s="25">
        <v>7.6</v>
      </c>
      <c r="DU14" s="57"/>
      <c r="DV14" s="49"/>
      <c r="DW14" s="49"/>
      <c r="DX14" s="49"/>
      <c r="DY14" s="49"/>
      <c r="DZ14" s="49"/>
      <c r="EA14" s="49"/>
      <c r="EB14" s="49"/>
      <c r="EC14" s="49"/>
      <c r="ED14" s="56"/>
      <c r="EE14" s="42"/>
      <c r="EF14" s="49"/>
      <c r="EG14" s="49"/>
      <c r="EH14" s="49"/>
      <c r="EI14" s="49"/>
      <c r="EJ14" s="49"/>
      <c r="EK14" s="49"/>
      <c r="EL14" s="49"/>
      <c r="EM14" s="58"/>
      <c r="EN14" s="39"/>
      <c r="EO14" s="40">
        <f t="shared" si="4"/>
        <v>46121</v>
      </c>
      <c r="EP14" s="40">
        <v>45978</v>
      </c>
      <c r="EQ14" s="40">
        <v>46120</v>
      </c>
      <c r="ER14" s="40" t="s">
        <v>70</v>
      </c>
      <c r="ES14" s="40"/>
      <c r="ET14" s="40">
        <v>45930</v>
      </c>
      <c r="EU14" s="40">
        <v>46120</v>
      </c>
      <c r="EV14" s="40" t="s">
        <v>71</v>
      </c>
      <c r="EW14" s="40"/>
      <c r="EX14" s="40">
        <v>45992</v>
      </c>
      <c r="EY14" s="40">
        <v>46120</v>
      </c>
      <c r="EZ14" s="40" t="s">
        <v>71</v>
      </c>
      <c r="FA14" s="40"/>
      <c r="FB14" s="40">
        <v>45688</v>
      </c>
      <c r="FC14" s="40">
        <v>46114</v>
      </c>
      <c r="FD14" s="40"/>
      <c r="FE14" s="40">
        <v>46038</v>
      </c>
      <c r="FF14" s="40">
        <v>46055</v>
      </c>
      <c r="FG14" s="40"/>
      <c r="FH14" s="40">
        <v>46055</v>
      </c>
      <c r="FI14" s="40">
        <v>46114</v>
      </c>
      <c r="FJ14" s="40"/>
      <c r="FK14" s="40">
        <v>46037</v>
      </c>
      <c r="FL14" s="40">
        <v>46048</v>
      </c>
      <c r="FM14" s="40"/>
      <c r="FN14" s="40"/>
      <c r="FO14" s="40"/>
      <c r="FP14" s="40" t="s">
        <v>78</v>
      </c>
      <c r="FQ14" s="40">
        <v>46044</v>
      </c>
      <c r="FR14" s="40">
        <v>46047</v>
      </c>
      <c r="FS14" s="40" t="s">
        <v>78</v>
      </c>
      <c r="FT14" s="40">
        <v>46047</v>
      </c>
      <c r="FU14" s="40">
        <v>46056</v>
      </c>
      <c r="FV14" s="40"/>
      <c r="FW14" s="40">
        <v>46113</v>
      </c>
      <c r="FX14" s="40">
        <v>46114</v>
      </c>
      <c r="FY14" s="40" t="s">
        <v>84</v>
      </c>
      <c r="FZ14" s="40">
        <v>46109</v>
      </c>
      <c r="GA14" s="40">
        <v>46113</v>
      </c>
      <c r="GB14" s="40" t="s">
        <v>81</v>
      </c>
      <c r="GC14" s="40">
        <v>46023</v>
      </c>
      <c r="GD14" s="40">
        <v>46115</v>
      </c>
      <c r="GE14" s="40"/>
      <c r="GF14" s="40">
        <v>46022</v>
      </c>
      <c r="GG14" s="40">
        <v>46113</v>
      </c>
      <c r="GH14" s="40"/>
      <c r="GI14" s="40"/>
      <c r="GJ14" s="40"/>
      <c r="GK14" s="40" t="s">
        <v>80</v>
      </c>
      <c r="GL14" s="40">
        <v>46054</v>
      </c>
      <c r="GM14" s="40">
        <v>46054</v>
      </c>
      <c r="GN14" s="40"/>
      <c r="GO14" s="40"/>
      <c r="GP14" s="40"/>
      <c r="GQ14" s="40" t="s">
        <v>80</v>
      </c>
      <c r="GR14" s="40"/>
      <c r="GS14" s="40"/>
      <c r="GT14" s="3" t="s">
        <v>80</v>
      </c>
    </row>
    <row r="15" spans="2:202" x14ac:dyDescent="0.35">
      <c r="B15" s="41">
        <f t="shared" si="3"/>
        <v>46122</v>
      </c>
      <c r="C15" s="24">
        <v>2545049</v>
      </c>
      <c r="D15" s="49">
        <v>5.33</v>
      </c>
      <c r="E15" s="49">
        <v>0.3</v>
      </c>
      <c r="F15" s="49">
        <v>1.87</v>
      </c>
      <c r="G15" s="25">
        <v>51.72</v>
      </c>
      <c r="H15" s="25">
        <v>2.85</v>
      </c>
      <c r="I15" s="25">
        <v>2.6</v>
      </c>
      <c r="J15" s="25">
        <f t="shared" si="2"/>
        <v>8.3000000000000007</v>
      </c>
      <c r="K15" s="42">
        <v>2651862</v>
      </c>
      <c r="L15" s="25">
        <v>5.5</v>
      </c>
      <c r="M15" s="25">
        <v>0.27</v>
      </c>
      <c r="N15" s="25">
        <v>1.85</v>
      </c>
      <c r="O15" s="25">
        <v>52.35</v>
      </c>
      <c r="P15" s="25">
        <v>2.74</v>
      </c>
      <c r="Q15" s="25">
        <v>2.5</v>
      </c>
      <c r="R15" s="25">
        <f t="shared" si="0"/>
        <v>7.98</v>
      </c>
      <c r="S15" s="26">
        <v>2632188</v>
      </c>
      <c r="T15" s="25">
        <v>5.38</v>
      </c>
      <c r="U15" s="25">
        <v>0.28000000000000003</v>
      </c>
      <c r="V15" s="25">
        <v>1.82</v>
      </c>
      <c r="W15" s="27">
        <v>51.95</v>
      </c>
      <c r="X15" s="25">
        <v>2.86</v>
      </c>
      <c r="Y15" s="25">
        <v>2.38</v>
      </c>
      <c r="Z15" s="25">
        <f t="shared" si="1"/>
        <v>8.1</v>
      </c>
      <c r="AA15" s="42">
        <v>405994</v>
      </c>
      <c r="AB15" s="49">
        <v>88.63</v>
      </c>
      <c r="AC15" s="25">
        <v>0.25</v>
      </c>
      <c r="AD15" s="24">
        <v>529521</v>
      </c>
      <c r="AE15" s="33">
        <v>0.17499999999999999</v>
      </c>
      <c r="AF15" s="25">
        <v>7.0000000000000007E-2</v>
      </c>
      <c r="AG15" s="34">
        <v>2.2000000000000002</v>
      </c>
      <c r="AH15" s="35">
        <v>22</v>
      </c>
      <c r="AI15" s="25">
        <v>36.6</v>
      </c>
      <c r="AJ15" s="25"/>
      <c r="AK15" s="25">
        <v>50.2</v>
      </c>
      <c r="AL15" s="42">
        <v>369223</v>
      </c>
      <c r="AM15" s="33">
        <v>6.7000000000000004E-2</v>
      </c>
      <c r="AN15" s="25">
        <v>0.05</v>
      </c>
      <c r="AO15" s="34">
        <v>2.1</v>
      </c>
      <c r="AP15" s="35">
        <v>21</v>
      </c>
      <c r="AQ15" s="25">
        <v>38.26</v>
      </c>
      <c r="AR15" s="25"/>
      <c r="AS15" s="25">
        <v>53.6</v>
      </c>
      <c r="AT15" s="24">
        <v>498748</v>
      </c>
      <c r="AU15" s="33">
        <v>9.8000000000000004E-2</v>
      </c>
      <c r="AV15" s="25">
        <v>7.0000000000000007E-2</v>
      </c>
      <c r="AW15" s="34">
        <v>2.2000000000000002</v>
      </c>
      <c r="AX15" s="35">
        <v>22</v>
      </c>
      <c r="AY15" s="25">
        <v>56.01</v>
      </c>
      <c r="AZ15" s="25">
        <v>2.06</v>
      </c>
      <c r="BA15" s="34">
        <v>10</v>
      </c>
      <c r="BB15" s="24">
        <v>992</v>
      </c>
      <c r="BC15" s="48"/>
      <c r="BD15" s="49"/>
      <c r="BE15" s="49"/>
      <c r="BF15" s="49"/>
      <c r="BG15" s="49"/>
      <c r="BH15" s="49"/>
      <c r="BI15" s="49"/>
      <c r="BJ15" s="24">
        <v>20301</v>
      </c>
      <c r="BK15" s="33">
        <v>0.105</v>
      </c>
      <c r="BL15" s="25">
        <v>7.0000000000000007E-2</v>
      </c>
      <c r="BM15" s="25">
        <v>2.2000000000000002</v>
      </c>
      <c r="BN15" s="25">
        <v>22</v>
      </c>
      <c r="BO15" s="25">
        <v>56.55</v>
      </c>
      <c r="BP15" s="25">
        <v>1.64</v>
      </c>
      <c r="BQ15" s="25">
        <v>9.8000000000000007</v>
      </c>
      <c r="BR15" s="42">
        <v>63340</v>
      </c>
      <c r="BS15" s="33">
        <v>0.1</v>
      </c>
      <c r="BT15" s="25">
        <v>7.0000000000000007E-2</v>
      </c>
      <c r="BU15" s="25">
        <v>2.2999999999999998</v>
      </c>
      <c r="BV15" s="25">
        <v>23</v>
      </c>
      <c r="BW15" s="25">
        <v>56.8</v>
      </c>
      <c r="BX15" s="25">
        <v>1.6</v>
      </c>
      <c r="BY15" s="25">
        <v>9.4</v>
      </c>
      <c r="BZ15" s="42">
        <v>26649</v>
      </c>
      <c r="CA15" s="48">
        <v>8.6999999999999994E-2</v>
      </c>
      <c r="CB15" s="49">
        <v>0.05</v>
      </c>
      <c r="CC15" s="50">
        <v>2.4</v>
      </c>
      <c r="CD15" s="51">
        <v>24</v>
      </c>
      <c r="CE15" s="49">
        <v>58.97</v>
      </c>
      <c r="CF15" s="49">
        <v>1.72</v>
      </c>
      <c r="CG15" s="49">
        <v>8</v>
      </c>
      <c r="CH15" s="42">
        <v>349786</v>
      </c>
      <c r="CI15" s="48">
        <v>6.8000000000000005E-2</v>
      </c>
      <c r="CJ15" s="49">
        <v>0.04</v>
      </c>
      <c r="CK15" s="49">
        <v>2.2000000000000002</v>
      </c>
      <c r="CL15" s="49">
        <v>22</v>
      </c>
      <c r="CM15" s="49">
        <v>59.63</v>
      </c>
      <c r="CN15" s="49">
        <v>0.99</v>
      </c>
      <c r="CO15" s="49">
        <v>7.6</v>
      </c>
      <c r="CP15" s="42">
        <v>812608</v>
      </c>
      <c r="CQ15" s="48">
        <v>6.9000000000000006E-2</v>
      </c>
      <c r="CR15" s="49">
        <v>0.04</v>
      </c>
      <c r="CS15" s="34">
        <v>2.2000000000000002</v>
      </c>
      <c r="CT15" s="35">
        <v>22</v>
      </c>
      <c r="CU15" s="49">
        <v>52.26</v>
      </c>
      <c r="CV15" s="49">
        <v>0.91</v>
      </c>
      <c r="CW15" s="24">
        <v>1080505</v>
      </c>
      <c r="CX15" s="33">
        <v>5.1999999999999998E-2</v>
      </c>
      <c r="CY15" s="25">
        <v>0.04</v>
      </c>
      <c r="CZ15" s="34">
        <v>2.1</v>
      </c>
      <c r="DA15" s="35">
        <v>21</v>
      </c>
      <c r="DB15" s="25">
        <v>52.13</v>
      </c>
      <c r="DC15" s="25">
        <v>0.77</v>
      </c>
      <c r="DD15" s="42"/>
      <c r="DE15" s="49"/>
      <c r="DF15" s="49"/>
      <c r="DG15" s="49"/>
      <c r="DH15" s="49"/>
      <c r="DI15" s="49"/>
      <c r="DJ15" s="49"/>
      <c r="DK15" s="49"/>
      <c r="DL15" s="56"/>
      <c r="DM15" s="24">
        <v>32951</v>
      </c>
      <c r="DN15" s="33">
        <v>0.11700000000000001</v>
      </c>
      <c r="DO15" s="25">
        <v>0.06</v>
      </c>
      <c r="DP15" s="25">
        <v>2.4</v>
      </c>
      <c r="DQ15" s="25">
        <v>24</v>
      </c>
      <c r="DR15" s="25">
        <v>58.9</v>
      </c>
      <c r="DS15" s="25"/>
      <c r="DT15" s="25">
        <v>7.6</v>
      </c>
      <c r="DU15" s="57"/>
      <c r="DV15" s="49"/>
      <c r="DW15" s="49"/>
      <c r="DX15" s="49"/>
      <c r="DY15" s="49"/>
      <c r="DZ15" s="49"/>
      <c r="EA15" s="49"/>
      <c r="EB15" s="49"/>
      <c r="EC15" s="49"/>
      <c r="ED15" s="56"/>
      <c r="EE15" s="42"/>
      <c r="EF15" s="49"/>
      <c r="EG15" s="49"/>
      <c r="EH15" s="49"/>
      <c r="EI15" s="49"/>
      <c r="EJ15" s="49"/>
      <c r="EK15" s="49"/>
      <c r="EL15" s="49"/>
      <c r="EM15" s="58"/>
      <c r="EN15" s="39"/>
      <c r="EO15" s="40">
        <f t="shared" si="4"/>
        <v>46122</v>
      </c>
      <c r="EP15" s="40">
        <v>45978</v>
      </c>
      <c r="EQ15" s="40">
        <v>46120</v>
      </c>
      <c r="ER15" s="40" t="s">
        <v>70</v>
      </c>
      <c r="ES15" s="40"/>
      <c r="ET15" s="40">
        <v>45930</v>
      </c>
      <c r="EU15" s="40">
        <v>46120</v>
      </c>
      <c r="EV15" s="40" t="s">
        <v>71</v>
      </c>
      <c r="EW15" s="40"/>
      <c r="EX15" s="40">
        <v>45992</v>
      </c>
      <c r="EY15" s="40">
        <v>46120</v>
      </c>
      <c r="EZ15" s="40" t="s">
        <v>71</v>
      </c>
      <c r="FA15" s="40"/>
      <c r="FB15" s="40">
        <v>45688</v>
      </c>
      <c r="FC15" s="40">
        <v>46114</v>
      </c>
      <c r="FD15" s="40"/>
      <c r="FE15" s="40">
        <v>46038</v>
      </c>
      <c r="FF15" s="40">
        <v>46055</v>
      </c>
      <c r="FG15" s="40"/>
      <c r="FH15" s="40">
        <v>46055</v>
      </c>
      <c r="FI15" s="40">
        <v>46114</v>
      </c>
      <c r="FJ15" s="40"/>
      <c r="FK15" s="40">
        <v>46037</v>
      </c>
      <c r="FL15" s="40">
        <v>46048</v>
      </c>
      <c r="FM15" s="40"/>
      <c r="FN15" s="40"/>
      <c r="FO15" s="40"/>
      <c r="FP15" s="40" t="s">
        <v>78</v>
      </c>
      <c r="FQ15" s="40">
        <v>46044</v>
      </c>
      <c r="FR15" s="40">
        <v>46047</v>
      </c>
      <c r="FS15" s="40" t="s">
        <v>78</v>
      </c>
      <c r="FT15" s="40">
        <v>46047</v>
      </c>
      <c r="FU15" s="40">
        <v>46056</v>
      </c>
      <c r="FV15" s="40"/>
      <c r="FW15" s="40">
        <v>46113</v>
      </c>
      <c r="FX15" s="40">
        <v>46114</v>
      </c>
      <c r="FY15" s="40" t="s">
        <v>78</v>
      </c>
      <c r="FZ15" s="40">
        <v>46109</v>
      </c>
      <c r="GA15" s="40">
        <v>46113</v>
      </c>
      <c r="GB15" s="40" t="s">
        <v>85</v>
      </c>
      <c r="GC15" s="40">
        <v>46023</v>
      </c>
      <c r="GD15" s="40">
        <v>46115</v>
      </c>
      <c r="GE15" s="40"/>
      <c r="GF15" s="40">
        <v>46022</v>
      </c>
      <c r="GG15" s="40">
        <v>46113</v>
      </c>
      <c r="GH15" s="40"/>
      <c r="GI15" s="40"/>
      <c r="GJ15" s="40"/>
      <c r="GK15" s="40" t="s">
        <v>80</v>
      </c>
      <c r="GL15" s="40">
        <v>46054</v>
      </c>
      <c r="GM15" s="40">
        <v>46054</v>
      </c>
      <c r="GN15" s="40"/>
      <c r="GO15" s="40"/>
      <c r="GP15" s="40"/>
      <c r="GQ15" s="40" t="s">
        <v>80</v>
      </c>
      <c r="GR15" s="40"/>
      <c r="GS15" s="40"/>
      <c r="GT15" s="3" t="s">
        <v>80</v>
      </c>
    </row>
    <row r="16" spans="2:202" x14ac:dyDescent="0.35">
      <c r="B16" s="41">
        <f t="shared" si="3"/>
        <v>46123</v>
      </c>
      <c r="C16" s="24">
        <v>2545049</v>
      </c>
      <c r="D16" s="49">
        <v>5.33</v>
      </c>
      <c r="E16" s="49">
        <v>0.3</v>
      </c>
      <c r="F16" s="49">
        <v>1.87</v>
      </c>
      <c r="G16" s="25">
        <v>51.72</v>
      </c>
      <c r="H16" s="25">
        <v>2.85</v>
      </c>
      <c r="I16" s="25">
        <v>2.6</v>
      </c>
      <c r="J16" s="25">
        <f t="shared" si="2"/>
        <v>8.3000000000000007</v>
      </c>
      <c r="K16" s="42">
        <v>2651862</v>
      </c>
      <c r="L16" s="25">
        <v>5.5</v>
      </c>
      <c r="M16" s="25">
        <v>0.27</v>
      </c>
      <c r="N16" s="25">
        <v>1.85</v>
      </c>
      <c r="O16" s="25">
        <v>52.35</v>
      </c>
      <c r="P16" s="25">
        <v>2.74</v>
      </c>
      <c r="Q16" s="25">
        <v>2.5</v>
      </c>
      <c r="R16" s="25">
        <f t="shared" si="0"/>
        <v>7.98</v>
      </c>
      <c r="S16" s="26">
        <v>2632188</v>
      </c>
      <c r="T16" s="25">
        <v>5.38</v>
      </c>
      <c r="U16" s="25">
        <v>0.28000000000000003</v>
      </c>
      <c r="V16" s="25">
        <v>1.82</v>
      </c>
      <c r="W16" s="27">
        <v>51.95</v>
      </c>
      <c r="X16" s="25">
        <v>2.86</v>
      </c>
      <c r="Y16" s="25">
        <v>2.38</v>
      </c>
      <c r="Z16" s="25">
        <f t="shared" si="1"/>
        <v>8.1</v>
      </c>
      <c r="AA16" s="42">
        <v>405994</v>
      </c>
      <c r="AB16" s="49">
        <v>88.63</v>
      </c>
      <c r="AC16" s="25">
        <v>0.25</v>
      </c>
      <c r="AD16" s="24">
        <v>529521</v>
      </c>
      <c r="AE16" s="33">
        <v>0.17599999999999999</v>
      </c>
      <c r="AF16" s="25">
        <v>7.0000000000000007E-2</v>
      </c>
      <c r="AG16" s="34">
        <v>2.2000000000000002</v>
      </c>
      <c r="AH16" s="35">
        <v>22</v>
      </c>
      <c r="AI16" s="25">
        <v>36.6</v>
      </c>
      <c r="AJ16" s="25"/>
      <c r="AK16" s="25">
        <v>50.2</v>
      </c>
      <c r="AL16" s="42">
        <v>369223</v>
      </c>
      <c r="AM16" s="33">
        <v>6.7000000000000004E-2</v>
      </c>
      <c r="AN16" s="25">
        <v>0.05</v>
      </c>
      <c r="AO16" s="34">
        <v>2.1</v>
      </c>
      <c r="AP16" s="35">
        <v>21</v>
      </c>
      <c r="AQ16" s="25">
        <v>38.26</v>
      </c>
      <c r="AR16" s="25"/>
      <c r="AS16" s="25">
        <v>53.6</v>
      </c>
      <c r="AT16" s="24">
        <v>498748</v>
      </c>
      <c r="AU16" s="33">
        <v>9.8000000000000004E-2</v>
      </c>
      <c r="AV16" s="25">
        <v>7.0000000000000007E-2</v>
      </c>
      <c r="AW16" s="34">
        <v>2.2000000000000002</v>
      </c>
      <c r="AX16" s="35">
        <v>22</v>
      </c>
      <c r="AY16" s="25">
        <v>56.01</v>
      </c>
      <c r="AZ16" s="25">
        <v>2.06</v>
      </c>
      <c r="BA16" s="34">
        <v>10</v>
      </c>
      <c r="BB16" s="24">
        <v>992</v>
      </c>
      <c r="BC16" s="48"/>
      <c r="BD16" s="49"/>
      <c r="BE16" s="49"/>
      <c r="BF16" s="49"/>
      <c r="BG16" s="49"/>
      <c r="BH16" s="49"/>
      <c r="BI16" s="49"/>
      <c r="BJ16" s="24">
        <v>20301</v>
      </c>
      <c r="BK16" s="33">
        <v>0.107</v>
      </c>
      <c r="BL16" s="25">
        <v>7.0000000000000007E-2</v>
      </c>
      <c r="BM16" s="25">
        <v>2.2000000000000002</v>
      </c>
      <c r="BN16" s="25">
        <v>22</v>
      </c>
      <c r="BO16" s="25">
        <v>56.55</v>
      </c>
      <c r="BP16" s="25">
        <v>1.64</v>
      </c>
      <c r="BQ16" s="25">
        <v>9.8000000000000007</v>
      </c>
      <c r="BR16" s="42">
        <v>63340</v>
      </c>
      <c r="BS16" s="33">
        <v>0.1</v>
      </c>
      <c r="BT16" s="25">
        <v>7.0000000000000007E-2</v>
      </c>
      <c r="BU16" s="25">
        <v>2.2999999999999998</v>
      </c>
      <c r="BV16" s="25">
        <v>23</v>
      </c>
      <c r="BW16" s="25">
        <v>56.8</v>
      </c>
      <c r="BX16" s="25">
        <v>1.6</v>
      </c>
      <c r="BY16" s="25">
        <v>9.4</v>
      </c>
      <c r="BZ16" s="42">
        <v>7059</v>
      </c>
      <c r="CA16" s="48">
        <v>8.8999999999999996E-2</v>
      </c>
      <c r="CB16" s="49">
        <v>0.05</v>
      </c>
      <c r="CC16" s="50">
        <v>2.4</v>
      </c>
      <c r="CD16" s="51">
        <v>24</v>
      </c>
      <c r="CE16" s="49">
        <v>58.97</v>
      </c>
      <c r="CF16" s="49">
        <v>1.72</v>
      </c>
      <c r="CG16" s="49">
        <v>8</v>
      </c>
      <c r="CH16" s="42">
        <v>325666</v>
      </c>
      <c r="CI16" s="48">
        <v>6.8000000000000005E-2</v>
      </c>
      <c r="CJ16" s="49">
        <v>0.04</v>
      </c>
      <c r="CK16" s="49">
        <v>2.2000000000000002</v>
      </c>
      <c r="CL16" s="49">
        <v>22</v>
      </c>
      <c r="CM16" s="49">
        <v>59.63</v>
      </c>
      <c r="CN16" s="49">
        <v>0.99</v>
      </c>
      <c r="CO16" s="49">
        <v>7.6</v>
      </c>
      <c r="CP16" s="42">
        <v>812608</v>
      </c>
      <c r="CQ16" s="48">
        <v>6.9000000000000006E-2</v>
      </c>
      <c r="CR16" s="49">
        <v>0.04</v>
      </c>
      <c r="CS16" s="34">
        <v>2.2000000000000002</v>
      </c>
      <c r="CT16" s="35">
        <v>22</v>
      </c>
      <c r="CU16" s="49">
        <v>52.26</v>
      </c>
      <c r="CV16" s="49">
        <v>0.91</v>
      </c>
      <c r="CW16" s="24">
        <v>1080505</v>
      </c>
      <c r="CX16" s="33">
        <v>5.2999999999999999E-2</v>
      </c>
      <c r="CY16" s="25">
        <v>0.04</v>
      </c>
      <c r="CZ16" s="34">
        <v>2.1</v>
      </c>
      <c r="DA16" s="35">
        <v>21</v>
      </c>
      <c r="DB16" s="25">
        <v>52.13</v>
      </c>
      <c r="DC16" s="25">
        <v>0.77</v>
      </c>
      <c r="DD16" s="42"/>
      <c r="DE16" s="49"/>
      <c r="DF16" s="49"/>
      <c r="DG16" s="49"/>
      <c r="DH16" s="49"/>
      <c r="DI16" s="49"/>
      <c r="DJ16" s="49"/>
      <c r="DK16" s="49"/>
      <c r="DL16" s="56"/>
      <c r="DM16" s="24">
        <v>32951</v>
      </c>
      <c r="DN16" s="33">
        <v>0.11700000000000001</v>
      </c>
      <c r="DO16" s="25">
        <v>0.06</v>
      </c>
      <c r="DP16" s="25">
        <v>2.4</v>
      </c>
      <c r="DQ16" s="25">
        <v>24</v>
      </c>
      <c r="DR16" s="25">
        <v>58.9</v>
      </c>
      <c r="DS16" s="25"/>
      <c r="DT16" s="25">
        <v>7.6</v>
      </c>
      <c r="DU16" s="57"/>
      <c r="DV16" s="49"/>
      <c r="DW16" s="49"/>
      <c r="DX16" s="49"/>
      <c r="DY16" s="49"/>
      <c r="DZ16" s="49"/>
      <c r="EA16" s="49"/>
      <c r="EB16" s="49"/>
      <c r="EC16" s="49"/>
      <c r="ED16" s="56"/>
      <c r="EE16" s="42"/>
      <c r="EF16" s="49"/>
      <c r="EG16" s="49"/>
      <c r="EH16" s="49"/>
      <c r="EI16" s="49"/>
      <c r="EJ16" s="49"/>
      <c r="EK16" s="49"/>
      <c r="EL16" s="49"/>
      <c r="EM16" s="58"/>
      <c r="EN16" s="39"/>
      <c r="EO16" s="40">
        <f t="shared" si="4"/>
        <v>46123</v>
      </c>
      <c r="EP16" s="40">
        <v>45978</v>
      </c>
      <c r="EQ16" s="40">
        <v>46120</v>
      </c>
      <c r="ER16" s="40" t="s">
        <v>70</v>
      </c>
      <c r="ES16" s="40"/>
      <c r="ET16" s="40">
        <v>45930</v>
      </c>
      <c r="EU16" s="40">
        <v>46120</v>
      </c>
      <c r="EV16" s="40" t="s">
        <v>71</v>
      </c>
      <c r="EW16" s="40"/>
      <c r="EX16" s="40">
        <v>45992</v>
      </c>
      <c r="EY16" s="40">
        <v>46120</v>
      </c>
      <c r="EZ16" s="40" t="s">
        <v>71</v>
      </c>
      <c r="FA16" s="40"/>
      <c r="FB16" s="40">
        <v>45688</v>
      </c>
      <c r="FC16" s="40">
        <v>46114</v>
      </c>
      <c r="FD16" s="40"/>
      <c r="FE16" s="40">
        <v>46038</v>
      </c>
      <c r="FF16" s="40">
        <v>46055</v>
      </c>
      <c r="FG16" s="40"/>
      <c r="FH16" s="40">
        <v>46055</v>
      </c>
      <c r="FI16" s="40">
        <v>46114</v>
      </c>
      <c r="FJ16" s="40"/>
      <c r="FK16" s="40">
        <v>46037</v>
      </c>
      <c r="FL16" s="40">
        <v>46048</v>
      </c>
      <c r="FM16" s="40"/>
      <c r="FN16" s="40"/>
      <c r="FO16" s="40"/>
      <c r="FP16" s="40" t="s">
        <v>78</v>
      </c>
      <c r="FQ16" s="40">
        <v>46044</v>
      </c>
      <c r="FR16" s="40">
        <v>46047</v>
      </c>
      <c r="FS16" s="40" t="s">
        <v>78</v>
      </c>
      <c r="FT16" s="40">
        <v>46047</v>
      </c>
      <c r="FU16" s="40">
        <v>46056</v>
      </c>
      <c r="FV16" s="40"/>
      <c r="FW16" s="40">
        <v>46113</v>
      </c>
      <c r="FX16" s="40">
        <v>46114</v>
      </c>
      <c r="FY16" s="40" t="s">
        <v>86</v>
      </c>
      <c r="FZ16" s="40">
        <v>46109</v>
      </c>
      <c r="GA16" s="40">
        <v>46113</v>
      </c>
      <c r="GB16" s="40" t="s">
        <v>84</v>
      </c>
      <c r="GC16" s="40">
        <v>46023</v>
      </c>
      <c r="GD16" s="40">
        <v>46115</v>
      </c>
      <c r="GE16" s="40"/>
      <c r="GF16" s="40">
        <v>46022</v>
      </c>
      <c r="GG16" s="40">
        <v>46113</v>
      </c>
      <c r="GH16" s="40"/>
      <c r="GI16" s="40"/>
      <c r="GJ16" s="40"/>
      <c r="GK16" s="40" t="s">
        <v>80</v>
      </c>
      <c r="GL16" s="40">
        <v>46054</v>
      </c>
      <c r="GM16" s="40">
        <v>46054</v>
      </c>
      <c r="GN16" s="40"/>
      <c r="GO16" s="40"/>
      <c r="GP16" s="40"/>
      <c r="GQ16" s="40" t="s">
        <v>80</v>
      </c>
      <c r="GR16" s="40"/>
      <c r="GS16" s="40"/>
      <c r="GT16" s="3" t="s">
        <v>80</v>
      </c>
    </row>
    <row r="17" spans="2:202" x14ac:dyDescent="0.35">
      <c r="B17" s="41">
        <f t="shared" si="3"/>
        <v>46124</v>
      </c>
      <c r="C17" s="24">
        <v>2545049</v>
      </c>
      <c r="D17" s="49">
        <v>5.33</v>
      </c>
      <c r="E17" s="49">
        <v>0.3</v>
      </c>
      <c r="F17" s="49">
        <v>1.87</v>
      </c>
      <c r="G17" s="25">
        <v>51.72</v>
      </c>
      <c r="H17" s="25">
        <v>2.85</v>
      </c>
      <c r="I17" s="25">
        <v>2.6</v>
      </c>
      <c r="J17" s="25">
        <f t="shared" si="2"/>
        <v>8.3000000000000007</v>
      </c>
      <c r="K17" s="42">
        <v>2651862</v>
      </c>
      <c r="L17" s="25">
        <v>5.5</v>
      </c>
      <c r="M17" s="25">
        <v>0.27</v>
      </c>
      <c r="N17" s="25">
        <v>1.85</v>
      </c>
      <c r="O17" s="25">
        <v>52.35</v>
      </c>
      <c r="P17" s="25">
        <v>2.74</v>
      </c>
      <c r="Q17" s="25">
        <v>2.5</v>
      </c>
      <c r="R17" s="25">
        <f t="shared" si="0"/>
        <v>7.98</v>
      </c>
      <c r="S17" s="26">
        <v>2632188</v>
      </c>
      <c r="T17" s="25">
        <v>5.38</v>
      </c>
      <c r="U17" s="25">
        <v>0.28000000000000003</v>
      </c>
      <c r="V17" s="25">
        <v>1.82</v>
      </c>
      <c r="W17" s="27">
        <v>51.95</v>
      </c>
      <c r="X17" s="25">
        <v>2.86</v>
      </c>
      <c r="Y17" s="25">
        <v>2.38</v>
      </c>
      <c r="Z17" s="25">
        <f t="shared" si="1"/>
        <v>8.1</v>
      </c>
      <c r="AA17" s="42">
        <v>405994</v>
      </c>
      <c r="AB17" s="49">
        <v>88.63</v>
      </c>
      <c r="AC17" s="25">
        <v>0.25</v>
      </c>
      <c r="AD17" s="24">
        <v>529521</v>
      </c>
      <c r="AE17" s="33">
        <v>0.17599999999999999</v>
      </c>
      <c r="AF17" s="25">
        <v>7.0000000000000007E-2</v>
      </c>
      <c r="AG17" s="34">
        <v>2.2000000000000002</v>
      </c>
      <c r="AH17" s="35">
        <v>22</v>
      </c>
      <c r="AI17" s="25">
        <v>36.6</v>
      </c>
      <c r="AJ17" s="25"/>
      <c r="AK17" s="25">
        <v>50.2</v>
      </c>
      <c r="AL17" s="42">
        <v>369223</v>
      </c>
      <c r="AM17" s="33">
        <v>6.7000000000000004E-2</v>
      </c>
      <c r="AN17" s="25">
        <v>0.05</v>
      </c>
      <c r="AO17" s="34">
        <v>2.1</v>
      </c>
      <c r="AP17" s="35">
        <v>21</v>
      </c>
      <c r="AQ17" s="25">
        <v>38.26</v>
      </c>
      <c r="AR17" s="25"/>
      <c r="AS17" s="25">
        <v>53.6</v>
      </c>
      <c r="AT17" s="24">
        <v>498748</v>
      </c>
      <c r="AU17" s="33">
        <v>0.1</v>
      </c>
      <c r="AV17" s="25">
        <v>7.0000000000000007E-2</v>
      </c>
      <c r="AW17" s="34">
        <v>2.2000000000000002</v>
      </c>
      <c r="AX17" s="35">
        <v>22</v>
      </c>
      <c r="AY17" s="25">
        <v>56.01</v>
      </c>
      <c r="AZ17" s="25">
        <v>2.06</v>
      </c>
      <c r="BA17" s="34">
        <v>10</v>
      </c>
      <c r="BB17" s="24">
        <v>992</v>
      </c>
      <c r="BC17" s="48"/>
      <c r="BD17" s="49"/>
      <c r="BE17" s="49"/>
      <c r="BF17" s="49"/>
      <c r="BG17" s="49"/>
      <c r="BH17" s="49"/>
      <c r="BI17" s="49"/>
      <c r="BJ17" s="24">
        <v>20301</v>
      </c>
      <c r="BK17" s="33">
        <v>0.107</v>
      </c>
      <c r="BL17" s="25">
        <v>7.0000000000000007E-2</v>
      </c>
      <c r="BM17" s="25">
        <v>2.2000000000000002</v>
      </c>
      <c r="BN17" s="25">
        <v>22</v>
      </c>
      <c r="BO17" s="25">
        <v>56.55</v>
      </c>
      <c r="BP17" s="25">
        <v>1.64</v>
      </c>
      <c r="BQ17" s="25">
        <v>9.8000000000000007</v>
      </c>
      <c r="BR17" s="42">
        <v>63340</v>
      </c>
      <c r="BS17" s="33">
        <v>0.1</v>
      </c>
      <c r="BT17" s="25">
        <v>7.0000000000000007E-2</v>
      </c>
      <c r="BU17" s="25">
        <v>2.2999999999999998</v>
      </c>
      <c r="BV17" s="25">
        <v>23</v>
      </c>
      <c r="BW17" s="25">
        <v>56.8</v>
      </c>
      <c r="BX17" s="25">
        <v>1.6</v>
      </c>
      <c r="BY17" s="25">
        <v>9.4</v>
      </c>
      <c r="BZ17" s="42">
        <v>7059</v>
      </c>
      <c r="CA17" s="48">
        <v>8.8999999999999996E-2</v>
      </c>
      <c r="CB17" s="49">
        <v>0.05</v>
      </c>
      <c r="CC17" s="50">
        <v>2.4</v>
      </c>
      <c r="CD17" s="51">
        <v>24</v>
      </c>
      <c r="CE17" s="49">
        <v>58.97</v>
      </c>
      <c r="CF17" s="49">
        <v>1.72</v>
      </c>
      <c r="CG17" s="49">
        <v>8</v>
      </c>
      <c r="CH17" s="42">
        <v>216056</v>
      </c>
      <c r="CI17" s="48">
        <v>6.8000000000000005E-2</v>
      </c>
      <c r="CJ17" s="49">
        <v>0.04</v>
      </c>
      <c r="CK17" s="49">
        <v>2.2000000000000002</v>
      </c>
      <c r="CL17" s="49">
        <v>22</v>
      </c>
      <c r="CM17" s="49">
        <v>59.63</v>
      </c>
      <c r="CN17" s="49">
        <v>0.99</v>
      </c>
      <c r="CO17" s="49">
        <v>7.6</v>
      </c>
      <c r="CP17" s="42">
        <v>812608</v>
      </c>
      <c r="CQ17" s="48">
        <v>6.9000000000000006E-2</v>
      </c>
      <c r="CR17" s="49">
        <v>0.04</v>
      </c>
      <c r="CS17" s="34">
        <v>2.2000000000000002</v>
      </c>
      <c r="CT17" s="35">
        <v>22</v>
      </c>
      <c r="CU17" s="49">
        <v>52.26</v>
      </c>
      <c r="CV17" s="49">
        <v>0.91</v>
      </c>
      <c r="CW17" s="24">
        <v>1080505</v>
      </c>
      <c r="CX17" s="33">
        <v>5.2999999999999999E-2</v>
      </c>
      <c r="CY17" s="25">
        <v>0.04</v>
      </c>
      <c r="CZ17" s="34">
        <v>2.1</v>
      </c>
      <c r="DA17" s="35">
        <v>21</v>
      </c>
      <c r="DB17" s="25">
        <v>52.13</v>
      </c>
      <c r="DC17" s="25">
        <v>0.77</v>
      </c>
      <c r="DD17" s="42"/>
      <c r="DE17" s="49"/>
      <c r="DF17" s="49"/>
      <c r="DG17" s="49"/>
      <c r="DH17" s="49"/>
      <c r="DI17" s="49"/>
      <c r="DJ17" s="49"/>
      <c r="DK17" s="49"/>
      <c r="DL17" s="56"/>
      <c r="DM17" s="24">
        <v>32951</v>
      </c>
      <c r="DN17" s="33">
        <v>0.11700000000000001</v>
      </c>
      <c r="DO17" s="25">
        <v>0.06</v>
      </c>
      <c r="DP17" s="25">
        <v>2.4</v>
      </c>
      <c r="DQ17" s="25">
        <v>24</v>
      </c>
      <c r="DR17" s="25">
        <v>58.9</v>
      </c>
      <c r="DS17" s="25"/>
      <c r="DT17" s="25">
        <v>7.6</v>
      </c>
      <c r="DU17" s="57"/>
      <c r="DV17" s="49"/>
      <c r="DW17" s="49"/>
      <c r="DX17" s="49"/>
      <c r="DY17" s="49"/>
      <c r="DZ17" s="49"/>
      <c r="EA17" s="49"/>
      <c r="EB17" s="49"/>
      <c r="EC17" s="49"/>
      <c r="ED17" s="56"/>
      <c r="EE17" s="42"/>
      <c r="EF17" s="49"/>
      <c r="EG17" s="49"/>
      <c r="EH17" s="49"/>
      <c r="EI17" s="49"/>
      <c r="EJ17" s="49"/>
      <c r="EK17" s="49"/>
      <c r="EL17" s="49"/>
      <c r="EM17" s="58"/>
      <c r="EN17" s="39"/>
      <c r="EO17" s="40">
        <f t="shared" si="4"/>
        <v>46124</v>
      </c>
      <c r="EP17" s="40">
        <v>45978</v>
      </c>
      <c r="EQ17" s="40">
        <v>46120</v>
      </c>
      <c r="ER17" s="40" t="s">
        <v>70</v>
      </c>
      <c r="ES17" s="40"/>
      <c r="ET17" s="40">
        <v>45930</v>
      </c>
      <c r="EU17" s="40">
        <v>46120</v>
      </c>
      <c r="EV17" s="40" t="s">
        <v>71</v>
      </c>
      <c r="EW17" s="40"/>
      <c r="EX17" s="40">
        <v>45992</v>
      </c>
      <c r="EY17" s="40">
        <v>46120</v>
      </c>
      <c r="EZ17" s="40" t="s">
        <v>71</v>
      </c>
      <c r="FA17" s="40"/>
      <c r="FB17" s="40">
        <v>45688</v>
      </c>
      <c r="FC17" s="40">
        <v>46114</v>
      </c>
      <c r="FD17" s="40"/>
      <c r="FE17" s="40">
        <v>46038</v>
      </c>
      <c r="FF17" s="40">
        <v>46055</v>
      </c>
      <c r="FG17" s="40"/>
      <c r="FH17" s="40">
        <v>46055</v>
      </c>
      <c r="FI17" s="40">
        <v>46114</v>
      </c>
      <c r="FJ17" s="40"/>
      <c r="FK17" s="40">
        <v>46037</v>
      </c>
      <c r="FL17" s="40">
        <v>46048</v>
      </c>
      <c r="FM17" s="40"/>
      <c r="FN17" s="40"/>
      <c r="FO17" s="40"/>
      <c r="FP17" s="40" t="s">
        <v>78</v>
      </c>
      <c r="FQ17" s="40">
        <v>46044</v>
      </c>
      <c r="FR17" s="40">
        <v>46047</v>
      </c>
      <c r="FS17" s="40" t="s">
        <v>78</v>
      </c>
      <c r="FT17" s="40">
        <v>46047</v>
      </c>
      <c r="FU17" s="40">
        <v>46056</v>
      </c>
      <c r="FV17" s="40"/>
      <c r="FW17" s="40">
        <v>46113</v>
      </c>
      <c r="FX17" s="40">
        <v>46114</v>
      </c>
      <c r="FY17" s="40" t="s">
        <v>78</v>
      </c>
      <c r="FZ17" s="40">
        <v>46109</v>
      </c>
      <c r="GA17" s="40">
        <v>46113</v>
      </c>
      <c r="GB17" s="40" t="s">
        <v>87</v>
      </c>
      <c r="GC17" s="40">
        <v>46023</v>
      </c>
      <c r="GD17" s="40">
        <v>46115</v>
      </c>
      <c r="GE17" s="40"/>
      <c r="GF17" s="40">
        <v>46022</v>
      </c>
      <c r="GG17" s="40">
        <v>46113</v>
      </c>
      <c r="GH17" s="40"/>
      <c r="GI17" s="40"/>
      <c r="GJ17" s="40"/>
      <c r="GK17" s="40" t="s">
        <v>80</v>
      </c>
      <c r="GL17" s="40">
        <v>46054</v>
      </c>
      <c r="GM17" s="40">
        <v>46054</v>
      </c>
      <c r="GN17" s="40"/>
      <c r="GO17" s="40"/>
      <c r="GP17" s="40"/>
      <c r="GQ17" s="40" t="s">
        <v>80</v>
      </c>
      <c r="GR17" s="40"/>
      <c r="GS17" s="40"/>
      <c r="GT17" s="3" t="s">
        <v>80</v>
      </c>
    </row>
    <row r="18" spans="2:202" x14ac:dyDescent="0.35">
      <c r="B18" s="41">
        <f t="shared" si="3"/>
        <v>46125</v>
      </c>
      <c r="C18" s="24">
        <v>2545049</v>
      </c>
      <c r="D18" s="49">
        <v>5.35</v>
      </c>
      <c r="E18" s="49">
        <v>0.3</v>
      </c>
      <c r="F18" s="49">
        <v>1.87</v>
      </c>
      <c r="G18" s="25">
        <v>51.72</v>
      </c>
      <c r="H18" s="25">
        <v>2.85</v>
      </c>
      <c r="I18" s="25">
        <v>2.6</v>
      </c>
      <c r="J18" s="25">
        <f t="shared" si="2"/>
        <v>8.3000000000000007</v>
      </c>
      <c r="K18" s="42">
        <v>2651862</v>
      </c>
      <c r="L18" s="25">
        <v>5.53</v>
      </c>
      <c r="M18" s="25">
        <v>0.27</v>
      </c>
      <c r="N18" s="25">
        <v>1.85</v>
      </c>
      <c r="O18" s="25">
        <v>52.35</v>
      </c>
      <c r="P18" s="25">
        <v>2.74</v>
      </c>
      <c r="Q18" s="25">
        <v>2.5</v>
      </c>
      <c r="R18" s="25">
        <f t="shared" si="0"/>
        <v>7.98</v>
      </c>
      <c r="S18" s="26">
        <v>2632188</v>
      </c>
      <c r="T18" s="25">
        <v>5.4</v>
      </c>
      <c r="U18" s="25">
        <v>0.28000000000000003</v>
      </c>
      <c r="V18" s="25">
        <v>1.82</v>
      </c>
      <c r="W18" s="27">
        <v>51.95</v>
      </c>
      <c r="X18" s="25">
        <v>2.86</v>
      </c>
      <c r="Y18" s="25">
        <v>2.38</v>
      </c>
      <c r="Z18" s="25">
        <f t="shared" si="1"/>
        <v>8.1</v>
      </c>
      <c r="AA18" s="42">
        <v>405994</v>
      </c>
      <c r="AB18" s="49">
        <v>88.63</v>
      </c>
      <c r="AC18" s="25">
        <v>0.25</v>
      </c>
      <c r="AD18" s="24">
        <v>529521</v>
      </c>
      <c r="AE18" s="33">
        <v>0.17799999999999999</v>
      </c>
      <c r="AF18" s="25">
        <v>7.0000000000000007E-2</v>
      </c>
      <c r="AG18" s="34">
        <v>2.2000000000000002</v>
      </c>
      <c r="AH18" s="35">
        <v>22</v>
      </c>
      <c r="AI18" s="25">
        <v>36.6</v>
      </c>
      <c r="AJ18" s="25"/>
      <c r="AK18" s="25">
        <v>50.2</v>
      </c>
      <c r="AL18" s="42">
        <v>369223</v>
      </c>
      <c r="AM18" s="33">
        <v>6.8000000000000005E-2</v>
      </c>
      <c r="AN18" s="25">
        <v>0.05</v>
      </c>
      <c r="AO18" s="34">
        <v>2.1</v>
      </c>
      <c r="AP18" s="35">
        <v>21</v>
      </c>
      <c r="AQ18" s="25">
        <v>38.26</v>
      </c>
      <c r="AR18" s="25"/>
      <c r="AS18" s="25">
        <v>53.6</v>
      </c>
      <c r="AT18" s="24">
        <v>498748</v>
      </c>
      <c r="AU18" s="33">
        <v>0.1</v>
      </c>
      <c r="AV18" s="25">
        <v>7.0000000000000007E-2</v>
      </c>
      <c r="AW18" s="34">
        <v>2.2000000000000002</v>
      </c>
      <c r="AX18" s="35">
        <v>22</v>
      </c>
      <c r="AY18" s="25">
        <v>56.01</v>
      </c>
      <c r="AZ18" s="25">
        <v>2.06</v>
      </c>
      <c r="BA18" s="34">
        <v>10</v>
      </c>
      <c r="BB18" s="24">
        <v>992</v>
      </c>
      <c r="BC18" s="48"/>
      <c r="BD18" s="49"/>
      <c r="BE18" s="49"/>
      <c r="BF18" s="49"/>
      <c r="BG18" s="49"/>
      <c r="BH18" s="49"/>
      <c r="BI18" s="49"/>
      <c r="BJ18" s="24">
        <v>20301</v>
      </c>
      <c r="BK18" s="33">
        <v>0.109</v>
      </c>
      <c r="BL18" s="25">
        <v>7.0000000000000007E-2</v>
      </c>
      <c r="BM18" s="25">
        <v>2.2000000000000002</v>
      </c>
      <c r="BN18" s="25">
        <v>22</v>
      </c>
      <c r="BO18" s="25">
        <v>56.55</v>
      </c>
      <c r="BP18" s="25">
        <v>1.64</v>
      </c>
      <c r="BQ18" s="25">
        <v>9.8000000000000007</v>
      </c>
      <c r="BR18" s="42">
        <v>63340</v>
      </c>
      <c r="BS18" s="33">
        <v>0.1</v>
      </c>
      <c r="BT18" s="25">
        <v>7.0000000000000007E-2</v>
      </c>
      <c r="BU18" s="25">
        <v>2.2999999999999998</v>
      </c>
      <c r="BV18" s="25">
        <v>23</v>
      </c>
      <c r="BW18" s="25">
        <v>56.8</v>
      </c>
      <c r="BX18" s="25">
        <v>1.6</v>
      </c>
      <c r="BY18" s="25">
        <v>9.4</v>
      </c>
      <c r="BZ18" s="42">
        <v>7059</v>
      </c>
      <c r="CA18" s="48">
        <v>9.0999999999999998E-2</v>
      </c>
      <c r="CB18" s="49">
        <v>0.05</v>
      </c>
      <c r="CC18" s="50">
        <v>2.4</v>
      </c>
      <c r="CD18" s="51">
        <v>24</v>
      </c>
      <c r="CE18" s="49">
        <v>58.97</v>
      </c>
      <c r="CF18" s="49">
        <v>1.72</v>
      </c>
      <c r="CG18" s="49">
        <v>8</v>
      </c>
      <c r="CH18" s="42">
        <v>216056</v>
      </c>
      <c r="CI18" s="48">
        <v>6.9000000000000006E-2</v>
      </c>
      <c r="CJ18" s="49">
        <v>0.04</v>
      </c>
      <c r="CK18" s="49">
        <v>2.2000000000000002</v>
      </c>
      <c r="CL18" s="49">
        <v>22</v>
      </c>
      <c r="CM18" s="49">
        <v>59.63</v>
      </c>
      <c r="CN18" s="49">
        <v>0.99</v>
      </c>
      <c r="CO18" s="49">
        <v>7.6</v>
      </c>
      <c r="CP18" s="42">
        <v>812608</v>
      </c>
      <c r="CQ18" s="48">
        <v>7.0000000000000007E-2</v>
      </c>
      <c r="CR18" s="49">
        <v>0.04</v>
      </c>
      <c r="CS18" s="34">
        <v>2.2000000000000002</v>
      </c>
      <c r="CT18" s="35">
        <v>22</v>
      </c>
      <c r="CU18" s="49">
        <v>52.26</v>
      </c>
      <c r="CV18" s="49">
        <v>0.91</v>
      </c>
      <c r="CW18" s="24">
        <v>1080505</v>
      </c>
      <c r="CX18" s="33">
        <v>5.2999999999999999E-2</v>
      </c>
      <c r="CY18" s="25">
        <v>0.04</v>
      </c>
      <c r="CZ18" s="34">
        <v>2.1</v>
      </c>
      <c r="DA18" s="35">
        <v>21</v>
      </c>
      <c r="DB18" s="25">
        <v>52.13</v>
      </c>
      <c r="DC18" s="25">
        <v>0.77</v>
      </c>
      <c r="DD18" s="42"/>
      <c r="DE18" s="49"/>
      <c r="DF18" s="49"/>
      <c r="DG18" s="49"/>
      <c r="DH18" s="49"/>
      <c r="DI18" s="49"/>
      <c r="DJ18" s="49"/>
      <c r="DK18" s="49"/>
      <c r="DL18" s="56"/>
      <c r="DM18" s="24">
        <v>32951</v>
      </c>
      <c r="DN18" s="33">
        <v>0.11700000000000001</v>
      </c>
      <c r="DO18" s="25">
        <v>0.06</v>
      </c>
      <c r="DP18" s="25">
        <v>2.4</v>
      </c>
      <c r="DQ18" s="25">
        <v>24</v>
      </c>
      <c r="DR18" s="25">
        <v>58.9</v>
      </c>
      <c r="DS18" s="25"/>
      <c r="DT18" s="25">
        <v>7.6</v>
      </c>
      <c r="DU18" s="57"/>
      <c r="DV18" s="49"/>
      <c r="DW18" s="49"/>
      <c r="DX18" s="49"/>
      <c r="DY18" s="49"/>
      <c r="DZ18" s="49"/>
      <c r="EA18" s="49"/>
      <c r="EB18" s="49"/>
      <c r="EC18" s="49"/>
      <c r="ED18" s="56"/>
      <c r="EE18" s="42"/>
      <c r="EF18" s="49"/>
      <c r="EG18" s="49"/>
      <c r="EH18" s="49"/>
      <c r="EI18" s="49"/>
      <c r="EJ18" s="49"/>
      <c r="EK18" s="49"/>
      <c r="EL18" s="49"/>
      <c r="EM18" s="58"/>
      <c r="EN18" s="39"/>
      <c r="EO18" s="40">
        <f t="shared" si="4"/>
        <v>46125</v>
      </c>
      <c r="EP18" s="40">
        <v>45978</v>
      </c>
      <c r="EQ18" s="40">
        <v>46120</v>
      </c>
      <c r="ER18" s="40" t="s">
        <v>70</v>
      </c>
      <c r="ES18" s="40"/>
      <c r="ET18" s="40">
        <v>45930</v>
      </c>
      <c r="EU18" s="40">
        <v>46120</v>
      </c>
      <c r="EV18" s="40" t="s">
        <v>71</v>
      </c>
      <c r="EW18" s="40"/>
      <c r="EX18" s="40">
        <v>45992</v>
      </c>
      <c r="EY18" s="40">
        <v>46120</v>
      </c>
      <c r="EZ18" s="40" t="s">
        <v>71</v>
      </c>
      <c r="FA18" s="40"/>
      <c r="FB18" s="40">
        <v>45688</v>
      </c>
      <c r="FC18" s="40">
        <v>46114</v>
      </c>
      <c r="FD18" s="40"/>
      <c r="FE18" s="40">
        <v>46038</v>
      </c>
      <c r="FF18" s="40">
        <v>46055</v>
      </c>
      <c r="FG18" s="40"/>
      <c r="FH18" s="40">
        <v>46055</v>
      </c>
      <c r="FI18" s="40">
        <v>46114</v>
      </c>
      <c r="FJ18" s="40"/>
      <c r="FK18" s="40">
        <v>46037</v>
      </c>
      <c r="FL18" s="40">
        <v>46048</v>
      </c>
      <c r="FM18" s="40"/>
      <c r="FN18" s="40"/>
      <c r="FO18" s="40"/>
      <c r="FP18" s="40" t="s">
        <v>78</v>
      </c>
      <c r="FQ18" s="40">
        <v>46044</v>
      </c>
      <c r="FR18" s="40">
        <v>46047</v>
      </c>
      <c r="FS18" s="40" t="s">
        <v>78</v>
      </c>
      <c r="FT18" s="40">
        <v>46047</v>
      </c>
      <c r="FU18" s="40">
        <v>46056</v>
      </c>
      <c r="FV18" s="40"/>
      <c r="FW18" s="40">
        <v>46113</v>
      </c>
      <c r="FX18" s="40">
        <v>46114</v>
      </c>
      <c r="FY18" s="40" t="s">
        <v>78</v>
      </c>
      <c r="FZ18" s="40">
        <v>46109</v>
      </c>
      <c r="GA18" s="40">
        <v>46113</v>
      </c>
      <c r="GB18" s="40"/>
      <c r="GC18" s="40">
        <v>46023</v>
      </c>
      <c r="GD18" s="40">
        <v>46115</v>
      </c>
      <c r="GE18" s="40"/>
      <c r="GF18" s="40">
        <v>46022</v>
      </c>
      <c r="GG18" s="40">
        <v>46113</v>
      </c>
      <c r="GH18" s="40"/>
      <c r="GI18" s="40"/>
      <c r="GJ18" s="40"/>
      <c r="GK18" s="40" t="s">
        <v>80</v>
      </c>
      <c r="GL18" s="40">
        <v>46054</v>
      </c>
      <c r="GM18" s="40">
        <v>46054</v>
      </c>
      <c r="GN18" s="40"/>
      <c r="GO18" s="40"/>
      <c r="GP18" s="40"/>
      <c r="GQ18" s="40" t="s">
        <v>80</v>
      </c>
      <c r="GR18" s="40"/>
      <c r="GS18" s="40"/>
      <c r="GT18" s="3" t="s">
        <v>80</v>
      </c>
    </row>
    <row r="19" spans="2:202" x14ac:dyDescent="0.35">
      <c r="B19" s="41">
        <f t="shared" si="3"/>
        <v>46126</v>
      </c>
      <c r="C19" s="24">
        <v>2545049</v>
      </c>
      <c r="D19" s="49">
        <v>5.37</v>
      </c>
      <c r="E19" s="49">
        <v>0.3</v>
      </c>
      <c r="F19" s="49">
        <v>1.87</v>
      </c>
      <c r="G19" s="25">
        <v>51.72</v>
      </c>
      <c r="H19" s="25">
        <v>2.85</v>
      </c>
      <c r="I19" s="25">
        <v>2.6</v>
      </c>
      <c r="J19" s="25">
        <f t="shared" si="2"/>
        <v>8.3000000000000007</v>
      </c>
      <c r="K19" s="42">
        <v>2651862</v>
      </c>
      <c r="L19" s="25">
        <v>5.53</v>
      </c>
      <c r="M19" s="25">
        <v>0.27</v>
      </c>
      <c r="N19" s="25">
        <v>1.85</v>
      </c>
      <c r="O19" s="25">
        <v>52.35</v>
      </c>
      <c r="P19" s="25">
        <v>2.74</v>
      </c>
      <c r="Q19" s="25">
        <v>2.5</v>
      </c>
      <c r="R19" s="25">
        <f t="shared" si="0"/>
        <v>7.98</v>
      </c>
      <c r="S19" s="26">
        <v>2632188</v>
      </c>
      <c r="T19" s="25">
        <v>5.41</v>
      </c>
      <c r="U19" s="25">
        <v>0.28000000000000003</v>
      </c>
      <c r="V19" s="25">
        <v>1.82</v>
      </c>
      <c r="W19" s="27">
        <v>51.95</v>
      </c>
      <c r="X19" s="25">
        <v>2.86</v>
      </c>
      <c r="Y19" s="25">
        <v>2.38</v>
      </c>
      <c r="Z19" s="25">
        <f t="shared" si="1"/>
        <v>8.1</v>
      </c>
      <c r="AA19" s="42">
        <v>405994</v>
      </c>
      <c r="AB19" s="49">
        <v>88.63</v>
      </c>
      <c r="AC19" s="25">
        <v>0.25</v>
      </c>
      <c r="AD19" s="24">
        <v>529521</v>
      </c>
      <c r="AE19" s="33">
        <v>0.17899999999999999</v>
      </c>
      <c r="AF19" s="25">
        <v>7.0000000000000007E-2</v>
      </c>
      <c r="AG19" s="34">
        <v>2.2000000000000002</v>
      </c>
      <c r="AH19" s="35">
        <v>22</v>
      </c>
      <c r="AI19" s="25">
        <v>36.6</v>
      </c>
      <c r="AJ19" s="25"/>
      <c r="AK19" s="25">
        <v>50.2</v>
      </c>
      <c r="AL19" s="42">
        <v>375342</v>
      </c>
      <c r="AM19" s="33">
        <v>6.8000000000000005E-2</v>
      </c>
      <c r="AN19" s="25">
        <v>0.05</v>
      </c>
      <c r="AO19" s="34">
        <v>2.1</v>
      </c>
      <c r="AP19" s="35">
        <v>21</v>
      </c>
      <c r="AQ19" s="25">
        <v>38.229999999999997</v>
      </c>
      <c r="AR19" s="25"/>
      <c r="AS19" s="25">
        <v>53.6</v>
      </c>
      <c r="AT19" s="24">
        <v>498748</v>
      </c>
      <c r="AU19" s="33">
        <v>0.1</v>
      </c>
      <c r="AV19" s="25">
        <v>7.0000000000000007E-2</v>
      </c>
      <c r="AW19" s="34">
        <v>2.2000000000000002</v>
      </c>
      <c r="AX19" s="35">
        <v>22</v>
      </c>
      <c r="AY19" s="25">
        <v>55.87</v>
      </c>
      <c r="AZ19" s="25">
        <v>2.06</v>
      </c>
      <c r="BA19" s="34">
        <v>10.199999999999999</v>
      </c>
      <c r="BB19" s="24">
        <v>992</v>
      </c>
      <c r="BC19" s="48"/>
      <c r="BD19" s="49"/>
      <c r="BE19" s="49"/>
      <c r="BF19" s="49"/>
      <c r="BG19" s="49"/>
      <c r="BH19" s="49"/>
      <c r="BI19" s="49"/>
      <c r="BJ19" s="24">
        <v>20301</v>
      </c>
      <c r="BK19" s="33">
        <v>0.11</v>
      </c>
      <c r="BL19" s="25">
        <v>7.0000000000000007E-2</v>
      </c>
      <c r="BM19" s="25">
        <v>2.2000000000000002</v>
      </c>
      <c r="BN19" s="25">
        <v>22</v>
      </c>
      <c r="BO19" s="25">
        <v>55.76</v>
      </c>
      <c r="BP19" s="25">
        <v>1.64</v>
      </c>
      <c r="BQ19" s="25">
        <v>10.4</v>
      </c>
      <c r="BR19" s="42">
        <v>63340</v>
      </c>
      <c r="BS19" s="33">
        <v>0.10199999999999999</v>
      </c>
      <c r="BT19" s="25">
        <v>7.0000000000000007E-2</v>
      </c>
      <c r="BU19" s="25">
        <v>2.2999999999999998</v>
      </c>
      <c r="BV19" s="25">
        <v>23</v>
      </c>
      <c r="BW19" s="25">
        <v>56.8</v>
      </c>
      <c r="BX19" s="25">
        <v>1.6</v>
      </c>
      <c r="BY19" s="25">
        <v>9.4</v>
      </c>
      <c r="BZ19" s="42">
        <v>95072</v>
      </c>
      <c r="CA19" s="48">
        <v>6.3E-2</v>
      </c>
      <c r="CB19" s="49">
        <v>7.0000000000000007E-2</v>
      </c>
      <c r="CC19" s="50">
        <v>2.2000000000000002</v>
      </c>
      <c r="CD19" s="51">
        <v>22</v>
      </c>
      <c r="CE19" s="49">
        <v>58.48</v>
      </c>
      <c r="CF19" s="49">
        <v>1.5</v>
      </c>
      <c r="CG19" s="49">
        <v>8.3000000000000007</v>
      </c>
      <c r="CH19" s="42">
        <v>91626</v>
      </c>
      <c r="CI19" s="48">
        <v>7.0000000000000007E-2</v>
      </c>
      <c r="CJ19" s="49">
        <v>0.04</v>
      </c>
      <c r="CK19" s="49">
        <v>2.2000000000000002</v>
      </c>
      <c r="CL19" s="49">
        <v>22</v>
      </c>
      <c r="CM19" s="49">
        <v>59.63</v>
      </c>
      <c r="CN19" s="49">
        <v>1.05</v>
      </c>
      <c r="CO19" s="49">
        <v>7.6</v>
      </c>
      <c r="CP19" s="42">
        <v>813889</v>
      </c>
      <c r="CQ19" s="48">
        <v>7.4999999999999997E-2</v>
      </c>
      <c r="CR19" s="49">
        <v>0.04</v>
      </c>
      <c r="CS19" s="34">
        <v>2.2000000000000002</v>
      </c>
      <c r="CT19" s="35">
        <v>22</v>
      </c>
      <c r="CU19" s="49">
        <v>52.26</v>
      </c>
      <c r="CV19" s="49">
        <v>0.91</v>
      </c>
      <c r="CW19" s="24">
        <v>832424</v>
      </c>
      <c r="CX19" s="33">
        <v>5.7000000000000002E-2</v>
      </c>
      <c r="CY19" s="25">
        <v>0.04</v>
      </c>
      <c r="CZ19" s="34">
        <v>2.1</v>
      </c>
      <c r="DA19" s="35">
        <v>21</v>
      </c>
      <c r="DB19" s="25">
        <v>52.13</v>
      </c>
      <c r="DC19" s="25">
        <v>0.77</v>
      </c>
      <c r="DD19" s="42"/>
      <c r="DE19" s="49"/>
      <c r="DF19" s="49"/>
      <c r="DG19" s="49"/>
      <c r="DH19" s="49"/>
      <c r="DI19" s="49"/>
      <c r="DJ19" s="49"/>
      <c r="DK19" s="49"/>
      <c r="DL19" s="56"/>
      <c r="DM19" s="24">
        <v>32951</v>
      </c>
      <c r="DN19" s="33">
        <v>0.12</v>
      </c>
      <c r="DO19" s="25">
        <v>0.06</v>
      </c>
      <c r="DP19" s="25">
        <v>2.4</v>
      </c>
      <c r="DQ19" s="25">
        <v>24</v>
      </c>
      <c r="DR19" s="25">
        <v>58.9</v>
      </c>
      <c r="DS19" s="25"/>
      <c r="DT19" s="25">
        <v>7.6</v>
      </c>
      <c r="DU19" s="57"/>
      <c r="DV19" s="49"/>
      <c r="DW19" s="49"/>
      <c r="DX19" s="49"/>
      <c r="DY19" s="49"/>
      <c r="DZ19" s="49"/>
      <c r="EA19" s="49"/>
      <c r="EB19" s="49"/>
      <c r="EC19" s="49"/>
      <c r="ED19" s="56"/>
      <c r="EE19" s="42"/>
      <c r="EF19" s="49"/>
      <c r="EG19" s="49"/>
      <c r="EH19" s="49"/>
      <c r="EI19" s="49"/>
      <c r="EJ19" s="49"/>
      <c r="EK19" s="49"/>
      <c r="EL19" s="49"/>
      <c r="EM19" s="58"/>
      <c r="EN19" s="39"/>
      <c r="EO19" s="40">
        <f t="shared" si="4"/>
        <v>46126</v>
      </c>
      <c r="EP19" s="40">
        <v>45978</v>
      </c>
      <c r="EQ19" s="40">
        <v>46120</v>
      </c>
      <c r="ER19" s="40" t="s">
        <v>70</v>
      </c>
      <c r="ES19" s="40"/>
      <c r="ET19" s="40">
        <v>45930</v>
      </c>
      <c r="EU19" s="40">
        <v>46120</v>
      </c>
      <c r="EV19" s="40" t="s">
        <v>71</v>
      </c>
      <c r="EW19" s="40"/>
      <c r="EX19" s="40">
        <v>45992</v>
      </c>
      <c r="EY19" s="40">
        <v>46120</v>
      </c>
      <c r="EZ19" s="40" t="s">
        <v>71</v>
      </c>
      <c r="FA19" s="40"/>
      <c r="FB19" s="40">
        <v>45688</v>
      </c>
      <c r="FC19" s="40">
        <v>46114</v>
      </c>
      <c r="FD19" s="40"/>
      <c r="FE19" s="40">
        <v>46038</v>
      </c>
      <c r="FF19" s="40">
        <v>46055</v>
      </c>
      <c r="FG19" s="40"/>
      <c r="FH19" s="40">
        <v>46055</v>
      </c>
      <c r="FI19" s="40">
        <v>46125</v>
      </c>
      <c r="FJ19" s="40"/>
      <c r="FK19" s="40">
        <v>46037</v>
      </c>
      <c r="FL19" s="40">
        <v>46048</v>
      </c>
      <c r="FM19" s="40"/>
      <c r="FN19" s="40"/>
      <c r="FO19" s="40"/>
      <c r="FP19" s="40" t="s">
        <v>78</v>
      </c>
      <c r="FQ19" s="40">
        <v>46044</v>
      </c>
      <c r="FR19" s="40">
        <v>46047</v>
      </c>
      <c r="FS19" s="40" t="s">
        <v>78</v>
      </c>
      <c r="FT19" s="40">
        <v>46047</v>
      </c>
      <c r="FU19" s="40">
        <v>46056</v>
      </c>
      <c r="FV19" s="40"/>
      <c r="FW19" s="40">
        <v>46125</v>
      </c>
      <c r="FX19" s="40">
        <v>46125</v>
      </c>
      <c r="FY19" s="40"/>
      <c r="FZ19" s="40">
        <v>46109</v>
      </c>
      <c r="GA19" s="40">
        <v>46113</v>
      </c>
      <c r="GB19" s="40" t="s">
        <v>88</v>
      </c>
      <c r="GC19" s="40">
        <v>46023</v>
      </c>
      <c r="GD19" s="40">
        <v>46125</v>
      </c>
      <c r="GE19" s="40"/>
      <c r="GF19" s="40">
        <v>46022</v>
      </c>
      <c r="GG19" s="40">
        <v>46113</v>
      </c>
      <c r="GH19" s="40" t="s">
        <v>72</v>
      </c>
      <c r="GI19" s="40"/>
      <c r="GJ19" s="40"/>
      <c r="GK19" s="40" t="s">
        <v>80</v>
      </c>
      <c r="GL19" s="40">
        <v>46054</v>
      </c>
      <c r="GM19" s="40">
        <v>46054</v>
      </c>
      <c r="GN19" s="40"/>
      <c r="GO19" s="40"/>
      <c r="GP19" s="40"/>
      <c r="GQ19" s="40" t="s">
        <v>80</v>
      </c>
      <c r="GR19" s="40"/>
      <c r="GS19" s="40"/>
      <c r="GT19" s="3" t="s">
        <v>80</v>
      </c>
    </row>
    <row r="20" spans="2:202" x14ac:dyDescent="0.35">
      <c r="B20" s="41">
        <f t="shared" si="3"/>
        <v>46127</v>
      </c>
      <c r="C20" s="24">
        <v>2545049</v>
      </c>
      <c r="D20" s="49">
        <v>5.37</v>
      </c>
      <c r="E20" s="49">
        <v>0.3</v>
      </c>
      <c r="F20" s="49">
        <v>1.87</v>
      </c>
      <c r="G20" s="25">
        <v>51.72</v>
      </c>
      <c r="H20" s="25">
        <v>2.85</v>
      </c>
      <c r="I20" s="25">
        <v>2.6</v>
      </c>
      <c r="J20" s="25">
        <f t="shared" si="2"/>
        <v>8.3000000000000007</v>
      </c>
      <c r="K20" s="42">
        <v>2619062</v>
      </c>
      <c r="L20" s="25">
        <v>5.53</v>
      </c>
      <c r="M20" s="25">
        <v>0.27</v>
      </c>
      <c r="N20" s="25">
        <v>1.85</v>
      </c>
      <c r="O20" s="25">
        <v>52.35</v>
      </c>
      <c r="P20" s="25">
        <v>2.74</v>
      </c>
      <c r="Q20" s="25">
        <v>2.5</v>
      </c>
      <c r="R20" s="25">
        <f t="shared" si="0"/>
        <v>7.98</v>
      </c>
      <c r="S20" s="26">
        <v>2632188</v>
      </c>
      <c r="T20" s="25">
        <v>5.41</v>
      </c>
      <c r="U20" s="25">
        <v>0.28000000000000003</v>
      </c>
      <c r="V20" s="25">
        <v>1.82</v>
      </c>
      <c r="W20" s="27">
        <v>51.95</v>
      </c>
      <c r="X20" s="25">
        <v>2.86</v>
      </c>
      <c r="Y20" s="25">
        <v>2.38</v>
      </c>
      <c r="Z20" s="25">
        <f t="shared" si="1"/>
        <v>8.1</v>
      </c>
      <c r="AA20" s="42">
        <v>405994</v>
      </c>
      <c r="AB20" s="49">
        <v>88.63</v>
      </c>
      <c r="AC20" s="25">
        <v>0.25</v>
      </c>
      <c r="AD20" s="24">
        <v>529521</v>
      </c>
      <c r="AE20" s="33">
        <v>0.18099999999999999</v>
      </c>
      <c r="AF20" s="25">
        <v>7.0000000000000007E-2</v>
      </c>
      <c r="AG20" s="34">
        <v>2.2000000000000002</v>
      </c>
      <c r="AH20" s="35">
        <v>22</v>
      </c>
      <c r="AI20" s="25">
        <v>36.6</v>
      </c>
      <c r="AJ20" s="25"/>
      <c r="AK20" s="25">
        <v>50.2</v>
      </c>
      <c r="AL20" s="42">
        <v>438582</v>
      </c>
      <c r="AM20" s="33">
        <v>8.2000000000000003E-2</v>
      </c>
      <c r="AN20" s="25">
        <v>0.05</v>
      </c>
      <c r="AO20" s="34">
        <v>2.1</v>
      </c>
      <c r="AP20" s="35">
        <v>21</v>
      </c>
      <c r="AQ20" s="25">
        <v>38.049999999999997</v>
      </c>
      <c r="AR20" s="25"/>
      <c r="AS20" s="25">
        <v>54.7</v>
      </c>
      <c r="AT20" s="24">
        <v>498748</v>
      </c>
      <c r="AU20" s="33">
        <v>0.1</v>
      </c>
      <c r="AV20" s="25">
        <v>7.0000000000000007E-2</v>
      </c>
      <c r="AW20" s="34">
        <v>2.2000000000000002</v>
      </c>
      <c r="AX20" s="35">
        <v>22</v>
      </c>
      <c r="AY20" s="25">
        <v>55.87</v>
      </c>
      <c r="AZ20" s="25">
        <v>2.06</v>
      </c>
      <c r="BA20" s="34">
        <v>10.199999999999999</v>
      </c>
      <c r="BB20" s="24">
        <v>992</v>
      </c>
      <c r="BC20" s="48"/>
      <c r="BD20" s="49"/>
      <c r="BE20" s="49"/>
      <c r="BF20" s="49"/>
      <c r="BG20" s="49"/>
      <c r="BH20" s="49"/>
      <c r="BI20" s="49"/>
      <c r="BJ20" s="24">
        <v>20301</v>
      </c>
      <c r="BK20" s="33">
        <v>0.112</v>
      </c>
      <c r="BL20" s="25">
        <v>7.0000000000000007E-2</v>
      </c>
      <c r="BM20" s="25">
        <v>2.2000000000000002</v>
      </c>
      <c r="BN20" s="25">
        <v>22</v>
      </c>
      <c r="BO20" s="25">
        <v>49.76</v>
      </c>
      <c r="BP20" s="25">
        <v>1.64</v>
      </c>
      <c r="BQ20" s="25">
        <v>20.6</v>
      </c>
      <c r="BR20" s="42">
        <v>63340</v>
      </c>
      <c r="BS20" s="33">
        <v>0.10199999999999999</v>
      </c>
      <c r="BT20" s="25">
        <v>7.0000000000000007E-2</v>
      </c>
      <c r="BU20" s="25">
        <v>2.2999999999999998</v>
      </c>
      <c r="BV20" s="25">
        <v>23</v>
      </c>
      <c r="BW20" s="25">
        <v>56.8</v>
      </c>
      <c r="BX20" s="25">
        <v>1.6</v>
      </c>
      <c r="BY20" s="25">
        <v>9.4</v>
      </c>
      <c r="BZ20" s="42">
        <v>241346</v>
      </c>
      <c r="CA20" s="48">
        <v>5.5E-2</v>
      </c>
      <c r="CB20" s="49">
        <v>0.04</v>
      </c>
      <c r="CC20" s="50">
        <v>2.2000000000000002</v>
      </c>
      <c r="CD20" s="51">
        <v>22</v>
      </c>
      <c r="CE20" s="49">
        <v>58.64</v>
      </c>
      <c r="CF20" s="49">
        <v>1</v>
      </c>
      <c r="CG20" s="49">
        <v>8.6</v>
      </c>
      <c r="CH20" s="42">
        <v>33536</v>
      </c>
      <c r="CI20" s="48">
        <v>7.1999999999999995E-2</v>
      </c>
      <c r="CJ20" s="49">
        <v>0.04</v>
      </c>
      <c r="CK20" s="49">
        <v>2.2000000000000002</v>
      </c>
      <c r="CL20" s="49">
        <v>22</v>
      </c>
      <c r="CM20" s="49">
        <v>59.63</v>
      </c>
      <c r="CN20" s="49">
        <v>1.05</v>
      </c>
      <c r="CO20" s="49">
        <v>7.6</v>
      </c>
      <c r="CP20" s="42">
        <v>815811</v>
      </c>
      <c r="CQ20" s="48">
        <v>7.6999999999999999E-2</v>
      </c>
      <c r="CR20" s="49">
        <v>0.04</v>
      </c>
      <c r="CS20" s="34">
        <v>2.2000000000000002</v>
      </c>
      <c r="CT20" s="35">
        <v>22</v>
      </c>
      <c r="CU20" s="49">
        <v>52.26</v>
      </c>
      <c r="CV20" s="49">
        <v>0.91</v>
      </c>
      <c r="CW20" s="42">
        <v>638245</v>
      </c>
      <c r="CX20" s="33">
        <v>5.8000000000000003E-2</v>
      </c>
      <c r="CY20" s="25">
        <v>0.04</v>
      </c>
      <c r="CZ20" s="34">
        <v>2.1</v>
      </c>
      <c r="DA20" s="35">
        <v>21</v>
      </c>
      <c r="DB20" s="25">
        <v>52.13</v>
      </c>
      <c r="DC20" s="25">
        <v>0.77</v>
      </c>
      <c r="DD20" s="42"/>
      <c r="DE20" s="49"/>
      <c r="DF20" s="49"/>
      <c r="DG20" s="49"/>
      <c r="DH20" s="49"/>
      <c r="DI20" s="49"/>
      <c r="DJ20" s="49"/>
      <c r="DK20" s="49"/>
      <c r="DL20" s="56"/>
      <c r="DM20" s="24">
        <v>32951</v>
      </c>
      <c r="DN20" s="33">
        <v>0.121</v>
      </c>
      <c r="DO20" s="25">
        <v>0.06</v>
      </c>
      <c r="DP20" s="25">
        <v>2.4</v>
      </c>
      <c r="DQ20" s="25">
        <v>24</v>
      </c>
      <c r="DR20" s="25">
        <v>58.9</v>
      </c>
      <c r="DS20" s="25"/>
      <c r="DT20" s="25">
        <v>7.6</v>
      </c>
      <c r="DU20" s="57"/>
      <c r="DV20" s="49"/>
      <c r="DW20" s="49"/>
      <c r="DX20" s="49"/>
      <c r="DY20" s="49"/>
      <c r="DZ20" s="49"/>
      <c r="EA20" s="49"/>
      <c r="EB20" s="49"/>
      <c r="EC20" s="49"/>
      <c r="ED20" s="56"/>
      <c r="EE20" s="42"/>
      <c r="EF20" s="49"/>
      <c r="EG20" s="49"/>
      <c r="EH20" s="49"/>
      <c r="EI20" s="49"/>
      <c r="EJ20" s="49"/>
      <c r="EK20" s="49"/>
      <c r="EL20" s="49"/>
      <c r="EM20" s="58"/>
      <c r="EN20" s="39"/>
      <c r="EO20" s="40">
        <f t="shared" si="4"/>
        <v>46127</v>
      </c>
      <c r="EP20" s="40">
        <v>45978</v>
      </c>
      <c r="EQ20" s="40">
        <v>46120</v>
      </c>
      <c r="ER20" s="40" t="s">
        <v>70</v>
      </c>
      <c r="ES20" s="40"/>
      <c r="ET20" s="40">
        <v>45930</v>
      </c>
      <c r="EU20" s="40">
        <v>46120</v>
      </c>
      <c r="EV20" s="40" t="s">
        <v>71</v>
      </c>
      <c r="EW20" s="40" t="s">
        <v>77</v>
      </c>
      <c r="EX20" s="40">
        <v>45992</v>
      </c>
      <c r="EY20" s="40">
        <v>46120</v>
      </c>
      <c r="EZ20" s="40" t="s">
        <v>71</v>
      </c>
      <c r="FA20" s="40"/>
      <c r="FB20" s="40">
        <v>45688</v>
      </c>
      <c r="FC20" s="40">
        <v>46114</v>
      </c>
      <c r="FD20" s="40"/>
      <c r="FE20" s="40">
        <v>46038</v>
      </c>
      <c r="FF20" s="40">
        <v>46055</v>
      </c>
      <c r="FG20" s="40"/>
      <c r="FH20" s="40">
        <v>46055</v>
      </c>
      <c r="FI20" s="40">
        <v>46126</v>
      </c>
      <c r="FJ20" s="40"/>
      <c r="FK20" s="40">
        <v>46037</v>
      </c>
      <c r="FL20" s="40">
        <v>46048</v>
      </c>
      <c r="FM20" s="40"/>
      <c r="FN20" s="40"/>
      <c r="FO20" s="40"/>
      <c r="FP20" s="40" t="s">
        <v>78</v>
      </c>
      <c r="FQ20" s="40">
        <v>46044</v>
      </c>
      <c r="FR20" s="40">
        <v>46047</v>
      </c>
      <c r="FS20" s="40" t="s">
        <v>78</v>
      </c>
      <c r="FT20" s="40">
        <v>46047</v>
      </c>
      <c r="FU20" s="40">
        <v>46056</v>
      </c>
      <c r="FV20" s="40"/>
      <c r="FW20" s="40">
        <v>46125</v>
      </c>
      <c r="FX20" s="40">
        <v>46126</v>
      </c>
      <c r="FY20" s="40"/>
      <c r="FZ20" s="40">
        <v>46109</v>
      </c>
      <c r="GA20" s="40">
        <v>46113</v>
      </c>
      <c r="GB20" s="40" t="s">
        <v>89</v>
      </c>
      <c r="GC20" s="40">
        <v>46023</v>
      </c>
      <c r="GD20" s="40">
        <v>46126</v>
      </c>
      <c r="GE20" s="40"/>
      <c r="GF20" s="40">
        <v>46022</v>
      </c>
      <c r="GG20" s="40">
        <v>46113</v>
      </c>
      <c r="GH20" s="40" t="s">
        <v>72</v>
      </c>
      <c r="GI20" s="40"/>
      <c r="GJ20" s="40"/>
      <c r="GK20" s="40" t="s">
        <v>80</v>
      </c>
      <c r="GL20" s="40">
        <v>46054</v>
      </c>
      <c r="GM20" s="40">
        <v>46054</v>
      </c>
      <c r="GN20" s="40"/>
      <c r="GO20" s="40"/>
      <c r="GP20" s="40"/>
      <c r="GQ20" s="40" t="s">
        <v>80</v>
      </c>
      <c r="GR20" s="40"/>
      <c r="GS20" s="40"/>
      <c r="GT20" s="3" t="s">
        <v>80</v>
      </c>
    </row>
    <row r="21" spans="2:202" x14ac:dyDescent="0.35">
      <c r="B21" s="41">
        <f t="shared" si="3"/>
        <v>46128</v>
      </c>
      <c r="C21" s="24">
        <v>2545049</v>
      </c>
      <c r="D21" s="49">
        <v>5.38</v>
      </c>
      <c r="E21" s="49">
        <v>0.3</v>
      </c>
      <c r="F21" s="49">
        <v>1.87</v>
      </c>
      <c r="G21" s="25">
        <v>51.72</v>
      </c>
      <c r="H21" s="25">
        <v>2.85</v>
      </c>
      <c r="I21" s="25">
        <v>2.6</v>
      </c>
      <c r="J21" s="25">
        <f t="shared" si="2"/>
        <v>8.3000000000000007</v>
      </c>
      <c r="K21" s="42">
        <v>2619062</v>
      </c>
      <c r="L21" s="25">
        <v>5.53</v>
      </c>
      <c r="M21" s="25">
        <v>0.27</v>
      </c>
      <c r="N21" s="25">
        <v>1.85</v>
      </c>
      <c r="O21" s="25">
        <v>52.35</v>
      </c>
      <c r="P21" s="25">
        <v>2.74</v>
      </c>
      <c r="Q21" s="25">
        <v>2.5</v>
      </c>
      <c r="R21" s="25">
        <f t="shared" si="0"/>
        <v>7.98</v>
      </c>
      <c r="S21" s="26">
        <v>2632188</v>
      </c>
      <c r="T21" s="25">
        <v>5.42</v>
      </c>
      <c r="U21" s="25">
        <v>0.28000000000000003</v>
      </c>
      <c r="V21" s="25">
        <v>1.82</v>
      </c>
      <c r="W21" s="27">
        <v>51.95</v>
      </c>
      <c r="X21" s="25">
        <v>2.86</v>
      </c>
      <c r="Y21" s="25">
        <v>2.38</v>
      </c>
      <c r="Z21" s="25">
        <f t="shared" si="1"/>
        <v>8.1</v>
      </c>
      <c r="AA21" s="42">
        <v>405994</v>
      </c>
      <c r="AB21" s="49">
        <v>88.63</v>
      </c>
      <c r="AC21" s="25">
        <v>0.25</v>
      </c>
      <c r="AD21" s="24">
        <v>529521</v>
      </c>
      <c r="AE21" s="33">
        <v>0.182</v>
      </c>
      <c r="AF21" s="25">
        <v>7.0000000000000007E-2</v>
      </c>
      <c r="AG21" s="34">
        <v>2.2000000000000002</v>
      </c>
      <c r="AH21" s="35">
        <v>22</v>
      </c>
      <c r="AI21" s="25">
        <v>36.6</v>
      </c>
      <c r="AJ21" s="25"/>
      <c r="AK21" s="25">
        <v>50.2</v>
      </c>
      <c r="AL21" s="42">
        <v>500596</v>
      </c>
      <c r="AM21" s="33">
        <v>7.8E-2</v>
      </c>
      <c r="AN21" s="25">
        <v>0.05</v>
      </c>
      <c r="AO21" s="34">
        <v>2.1</v>
      </c>
      <c r="AP21" s="35">
        <v>21</v>
      </c>
      <c r="AQ21" s="25">
        <v>38.090000000000003</v>
      </c>
      <c r="AR21" s="25"/>
      <c r="AS21" s="25">
        <v>54.5</v>
      </c>
      <c r="AT21" s="24">
        <v>498748</v>
      </c>
      <c r="AU21" s="33">
        <v>0.1</v>
      </c>
      <c r="AV21" s="25">
        <v>7.0000000000000007E-2</v>
      </c>
      <c r="AW21" s="34">
        <v>2.2000000000000002</v>
      </c>
      <c r="AX21" s="35">
        <v>22</v>
      </c>
      <c r="AY21" s="25">
        <v>55.87</v>
      </c>
      <c r="AZ21" s="25">
        <v>2.06</v>
      </c>
      <c r="BA21" s="34">
        <v>10.199999999999999</v>
      </c>
      <c r="BB21" s="24">
        <v>992</v>
      </c>
      <c r="BC21" s="48"/>
      <c r="BD21" s="49"/>
      <c r="BE21" s="49"/>
      <c r="BF21" s="49"/>
      <c r="BG21" s="49"/>
      <c r="BH21" s="49"/>
      <c r="BI21" s="49"/>
      <c r="BJ21" s="24">
        <v>20301</v>
      </c>
      <c r="BK21" s="33">
        <v>0.114</v>
      </c>
      <c r="BL21" s="25">
        <v>7.0000000000000007E-2</v>
      </c>
      <c r="BM21" s="25">
        <v>2.2000000000000002</v>
      </c>
      <c r="BN21" s="25">
        <v>22</v>
      </c>
      <c r="BO21" s="25">
        <v>49.76</v>
      </c>
      <c r="BP21" s="25">
        <v>1.64</v>
      </c>
      <c r="BQ21" s="25">
        <v>20.6</v>
      </c>
      <c r="BR21" s="42">
        <v>34380</v>
      </c>
      <c r="BS21" s="33">
        <v>0.10299999999999999</v>
      </c>
      <c r="BT21" s="25">
        <v>7.0000000000000007E-2</v>
      </c>
      <c r="BU21" s="25">
        <v>2.2999999999999998</v>
      </c>
      <c r="BV21" s="25">
        <v>23</v>
      </c>
      <c r="BW21" s="25">
        <v>56.8</v>
      </c>
      <c r="BX21" s="25">
        <v>1.6</v>
      </c>
      <c r="BY21" s="25">
        <v>9.4</v>
      </c>
      <c r="BZ21" s="42">
        <v>392991</v>
      </c>
      <c r="CA21" s="48">
        <v>6.5000000000000002E-2</v>
      </c>
      <c r="CB21" s="49">
        <v>0.05</v>
      </c>
      <c r="CC21" s="50">
        <v>2.2000000000000002</v>
      </c>
      <c r="CD21" s="51">
        <v>22</v>
      </c>
      <c r="CE21" s="49">
        <v>58.67</v>
      </c>
      <c r="CF21" s="49">
        <v>0.7</v>
      </c>
      <c r="CG21" s="49">
        <v>8.4</v>
      </c>
      <c r="CH21" s="42">
        <v>4696</v>
      </c>
      <c r="CI21" s="48">
        <v>7.4999999999999997E-2</v>
      </c>
      <c r="CJ21" s="49">
        <v>0.04</v>
      </c>
      <c r="CK21" s="49">
        <v>2.2000000000000002</v>
      </c>
      <c r="CL21" s="49">
        <v>22</v>
      </c>
      <c r="CM21" s="49">
        <v>59.63</v>
      </c>
      <c r="CN21" s="49">
        <v>1.05</v>
      </c>
      <c r="CO21" s="49">
        <v>7.6</v>
      </c>
      <c r="CP21" s="42">
        <v>821575</v>
      </c>
      <c r="CQ21" s="48">
        <v>7.8E-2</v>
      </c>
      <c r="CR21" s="49">
        <v>0.04</v>
      </c>
      <c r="CS21" s="34">
        <v>2.2000000000000002</v>
      </c>
      <c r="CT21" s="35">
        <v>22</v>
      </c>
      <c r="CU21" s="49">
        <v>52.26</v>
      </c>
      <c r="CV21" s="49">
        <v>0.91</v>
      </c>
      <c r="CW21" s="42">
        <v>394243</v>
      </c>
      <c r="CX21" s="33">
        <v>0.06</v>
      </c>
      <c r="CY21" s="25">
        <v>0.04</v>
      </c>
      <c r="CZ21" s="34">
        <v>2.1</v>
      </c>
      <c r="DA21" s="35">
        <v>21</v>
      </c>
      <c r="DB21" s="25">
        <v>52.13</v>
      </c>
      <c r="DC21" s="25">
        <v>0.77</v>
      </c>
      <c r="DD21" s="42"/>
      <c r="DE21" s="49"/>
      <c r="DF21" s="49"/>
      <c r="DG21" s="49"/>
      <c r="DH21" s="49"/>
      <c r="DI21" s="49"/>
      <c r="DJ21" s="49"/>
      <c r="DK21" s="49"/>
      <c r="DL21" s="56"/>
      <c r="DM21" s="24">
        <v>32951</v>
      </c>
      <c r="DN21" s="33">
        <v>0.122</v>
      </c>
      <c r="DO21" s="25">
        <v>0.06</v>
      </c>
      <c r="DP21" s="25">
        <v>2.4</v>
      </c>
      <c r="DQ21" s="25">
        <v>24</v>
      </c>
      <c r="DR21" s="25">
        <v>58.9</v>
      </c>
      <c r="DS21" s="25"/>
      <c r="DT21" s="25">
        <v>7.6</v>
      </c>
      <c r="DU21" s="57"/>
      <c r="DV21" s="49"/>
      <c r="DW21" s="49"/>
      <c r="DX21" s="49"/>
      <c r="DY21" s="49"/>
      <c r="DZ21" s="49"/>
      <c r="EA21" s="49"/>
      <c r="EB21" s="49"/>
      <c r="EC21" s="49"/>
      <c r="ED21" s="56"/>
      <c r="EE21" s="42"/>
      <c r="EF21" s="49"/>
      <c r="EG21" s="49"/>
      <c r="EH21" s="49"/>
      <c r="EI21" s="49"/>
      <c r="EJ21" s="49"/>
      <c r="EK21" s="49"/>
      <c r="EL21" s="49"/>
      <c r="EM21" s="58"/>
      <c r="EN21" s="39"/>
      <c r="EO21" s="40">
        <f t="shared" si="4"/>
        <v>46128</v>
      </c>
      <c r="EP21" s="40">
        <v>45978</v>
      </c>
      <c r="EQ21" s="40">
        <v>46120</v>
      </c>
      <c r="ER21" s="40" t="s">
        <v>70</v>
      </c>
      <c r="ES21" s="40"/>
      <c r="ET21" s="40">
        <v>45930</v>
      </c>
      <c r="EU21" s="40">
        <v>46120</v>
      </c>
      <c r="EV21" s="40" t="s">
        <v>71</v>
      </c>
      <c r="EW21" s="40"/>
      <c r="EX21" s="40">
        <v>45992</v>
      </c>
      <c r="EY21" s="40">
        <v>46120</v>
      </c>
      <c r="EZ21" s="40" t="s">
        <v>71</v>
      </c>
      <c r="FA21" s="40"/>
      <c r="FB21" s="40">
        <v>45688</v>
      </c>
      <c r="FC21" s="40">
        <v>46114</v>
      </c>
      <c r="FD21" s="40"/>
      <c r="FE21" s="40">
        <v>46038</v>
      </c>
      <c r="FF21" s="40">
        <v>46055</v>
      </c>
      <c r="FG21" s="40"/>
      <c r="FH21" s="40">
        <v>46055</v>
      </c>
      <c r="FI21" s="40">
        <v>46127</v>
      </c>
      <c r="FJ21" s="40"/>
      <c r="FK21" s="40">
        <v>46037</v>
      </c>
      <c r="FL21" s="40">
        <v>46048</v>
      </c>
      <c r="FM21" s="40"/>
      <c r="FN21" s="40"/>
      <c r="FO21" s="40"/>
      <c r="FP21" s="40" t="s">
        <v>78</v>
      </c>
      <c r="FQ21" s="40">
        <v>46044</v>
      </c>
      <c r="FR21" s="40">
        <v>46047</v>
      </c>
      <c r="FS21" s="40" t="s">
        <v>78</v>
      </c>
      <c r="FT21" s="40">
        <v>46047</v>
      </c>
      <c r="FU21" s="40">
        <v>46056</v>
      </c>
      <c r="FV21" s="40" t="s">
        <v>90</v>
      </c>
      <c r="FW21" s="40">
        <v>46125</v>
      </c>
      <c r="FX21" s="40">
        <v>46127</v>
      </c>
      <c r="FY21" s="40" t="s">
        <v>91</v>
      </c>
      <c r="FZ21" s="40">
        <v>46109</v>
      </c>
      <c r="GA21" s="40">
        <v>46113</v>
      </c>
      <c r="GB21" s="40" t="s">
        <v>92</v>
      </c>
      <c r="GC21" s="40">
        <v>46023</v>
      </c>
      <c r="GD21" s="40">
        <v>46127</v>
      </c>
      <c r="GE21" s="40"/>
      <c r="GF21" s="40">
        <v>46022</v>
      </c>
      <c r="GG21" s="40">
        <v>46113</v>
      </c>
      <c r="GH21" s="40" t="s">
        <v>72</v>
      </c>
      <c r="GI21" s="40"/>
      <c r="GJ21" s="40"/>
      <c r="GK21" s="40" t="s">
        <v>80</v>
      </c>
      <c r="GL21" s="40">
        <v>46054</v>
      </c>
      <c r="GM21" s="40">
        <v>46054</v>
      </c>
      <c r="GN21" s="40"/>
      <c r="GO21" s="40"/>
      <c r="GP21" s="40"/>
      <c r="GQ21" s="40" t="s">
        <v>80</v>
      </c>
      <c r="GR21" s="40"/>
      <c r="GS21" s="40"/>
      <c r="GT21" s="3" t="s">
        <v>80</v>
      </c>
    </row>
    <row r="22" spans="2:202" x14ac:dyDescent="0.35">
      <c r="B22" s="41">
        <f t="shared" si="3"/>
        <v>46129</v>
      </c>
      <c r="C22" s="24">
        <v>2545049</v>
      </c>
      <c r="D22" s="49">
        <v>5.38</v>
      </c>
      <c r="E22" s="49">
        <v>0.3</v>
      </c>
      <c r="F22" s="49">
        <v>1.87</v>
      </c>
      <c r="G22" s="25">
        <v>51.72</v>
      </c>
      <c r="H22" s="25">
        <v>2.85</v>
      </c>
      <c r="I22" s="25">
        <v>2.6</v>
      </c>
      <c r="J22" s="25">
        <f t="shared" si="2"/>
        <v>8.3000000000000007</v>
      </c>
      <c r="K22" s="42">
        <v>2590062</v>
      </c>
      <c r="L22" s="25">
        <v>5.53</v>
      </c>
      <c r="M22" s="25">
        <v>0.3</v>
      </c>
      <c r="N22" s="25">
        <v>1.78</v>
      </c>
      <c r="O22" s="25">
        <v>52.35</v>
      </c>
      <c r="P22" s="25">
        <v>2.74</v>
      </c>
      <c r="Q22" s="25">
        <v>2.5</v>
      </c>
      <c r="R22" s="25">
        <f t="shared" si="0"/>
        <v>7.98</v>
      </c>
      <c r="S22" s="26">
        <v>2632188</v>
      </c>
      <c r="T22" s="25">
        <v>5.44</v>
      </c>
      <c r="U22" s="25">
        <v>0.28000000000000003</v>
      </c>
      <c r="V22" s="25">
        <v>1.82</v>
      </c>
      <c r="W22" s="27">
        <v>51.95</v>
      </c>
      <c r="X22" s="25">
        <v>2.86</v>
      </c>
      <c r="Y22" s="25">
        <v>2.38</v>
      </c>
      <c r="Z22" s="25">
        <f t="shared" si="1"/>
        <v>8.1</v>
      </c>
      <c r="AA22" s="42">
        <v>405994</v>
      </c>
      <c r="AB22" s="49">
        <v>88.63</v>
      </c>
      <c r="AC22" s="25">
        <v>0.25</v>
      </c>
      <c r="AD22" s="24">
        <v>545649</v>
      </c>
      <c r="AE22" s="33">
        <v>0.184</v>
      </c>
      <c r="AF22" s="25">
        <v>7.0000000000000007E-2</v>
      </c>
      <c r="AG22" s="34">
        <v>2.2000000000000002</v>
      </c>
      <c r="AH22" s="35">
        <v>22</v>
      </c>
      <c r="AI22" s="25">
        <v>36.6</v>
      </c>
      <c r="AJ22" s="25"/>
      <c r="AK22" s="25">
        <v>50.2</v>
      </c>
      <c r="AL22" s="42">
        <v>554452</v>
      </c>
      <c r="AM22" s="48">
        <v>7.4999999999999997E-2</v>
      </c>
      <c r="AN22" s="25">
        <v>0.05</v>
      </c>
      <c r="AO22" s="34">
        <v>2.1</v>
      </c>
      <c r="AP22" s="35">
        <v>21</v>
      </c>
      <c r="AQ22" s="25">
        <v>38.090000000000003</v>
      </c>
      <c r="AR22" s="25"/>
      <c r="AS22" s="25">
        <v>54.5</v>
      </c>
      <c r="AT22" s="24">
        <v>498748</v>
      </c>
      <c r="AU22" s="33">
        <v>0.1</v>
      </c>
      <c r="AV22" s="25">
        <v>7.0000000000000007E-2</v>
      </c>
      <c r="AW22" s="34">
        <v>2.2000000000000002</v>
      </c>
      <c r="AX22" s="35">
        <v>22</v>
      </c>
      <c r="AY22" s="25">
        <v>55.87</v>
      </c>
      <c r="AZ22" s="25">
        <v>2.06</v>
      </c>
      <c r="BA22" s="34">
        <v>10.199999999999999</v>
      </c>
      <c r="BB22" s="24">
        <v>992</v>
      </c>
      <c r="BC22" s="48"/>
      <c r="BD22" s="49"/>
      <c r="BE22" s="49"/>
      <c r="BF22" s="49"/>
      <c r="BG22" s="49"/>
      <c r="BH22" s="49"/>
      <c r="BI22" s="49"/>
      <c r="BJ22" s="24">
        <v>20301</v>
      </c>
      <c r="BK22" s="33">
        <v>0.11600000000000001</v>
      </c>
      <c r="BL22" s="25">
        <v>7.0000000000000007E-2</v>
      </c>
      <c r="BM22" s="25">
        <v>2.2000000000000002</v>
      </c>
      <c r="BN22" s="25">
        <v>22</v>
      </c>
      <c r="BO22" s="25">
        <v>49.76</v>
      </c>
      <c r="BP22" s="25">
        <v>1.64</v>
      </c>
      <c r="BQ22" s="25">
        <v>20.6</v>
      </c>
      <c r="BR22" s="42">
        <v>34380</v>
      </c>
      <c r="BS22" s="33">
        <v>0.105</v>
      </c>
      <c r="BT22" s="25">
        <v>7.0000000000000007E-2</v>
      </c>
      <c r="BU22" s="25">
        <v>2.2999999999999998</v>
      </c>
      <c r="BV22" s="25">
        <v>23</v>
      </c>
      <c r="BW22" s="25">
        <v>56.8</v>
      </c>
      <c r="BX22" s="25">
        <v>1.6</v>
      </c>
      <c r="BY22" s="25">
        <v>9.4</v>
      </c>
      <c r="BZ22" s="42">
        <v>517364</v>
      </c>
      <c r="CA22" s="48">
        <v>6.3E-2</v>
      </c>
      <c r="CB22" s="49">
        <v>0.05</v>
      </c>
      <c r="CC22" s="50">
        <v>2.2000000000000002</v>
      </c>
      <c r="CD22" s="51">
        <v>22</v>
      </c>
      <c r="CE22" s="49">
        <v>58.42</v>
      </c>
      <c r="CF22" s="49">
        <v>0.6</v>
      </c>
      <c r="CG22" s="49">
        <v>8.4</v>
      </c>
      <c r="CH22" s="42">
        <v>4696</v>
      </c>
      <c r="CI22" s="48">
        <v>0.08</v>
      </c>
      <c r="CJ22" s="49">
        <v>0.04</v>
      </c>
      <c r="CK22" s="49">
        <v>2.2000000000000002</v>
      </c>
      <c r="CL22" s="49">
        <v>22</v>
      </c>
      <c r="CM22" s="49">
        <v>57.22</v>
      </c>
      <c r="CN22" s="49">
        <v>1.05</v>
      </c>
      <c r="CO22" s="49">
        <v>9.1999999999999993</v>
      </c>
      <c r="CP22" s="42">
        <v>850398</v>
      </c>
      <c r="CQ22" s="48">
        <v>0.09</v>
      </c>
      <c r="CR22" s="49">
        <v>0.04</v>
      </c>
      <c r="CS22" s="50">
        <v>2.2000000000000002</v>
      </c>
      <c r="CT22" s="51">
        <v>22</v>
      </c>
      <c r="CU22" s="49">
        <v>52.25</v>
      </c>
      <c r="CV22" s="49">
        <v>0.9</v>
      </c>
      <c r="CW22" s="42">
        <v>150880</v>
      </c>
      <c r="CX22" s="33">
        <v>0.06</v>
      </c>
      <c r="CY22" s="25">
        <v>0.04</v>
      </c>
      <c r="CZ22" s="34">
        <v>2.1</v>
      </c>
      <c r="DA22" s="35">
        <v>21</v>
      </c>
      <c r="DB22" s="25">
        <v>52.13</v>
      </c>
      <c r="DC22" s="25">
        <v>0.77</v>
      </c>
      <c r="DD22" s="42"/>
      <c r="DE22" s="49"/>
      <c r="DF22" s="49"/>
      <c r="DG22" s="49"/>
      <c r="DH22" s="49"/>
      <c r="DI22" s="49"/>
      <c r="DJ22" s="49"/>
      <c r="DK22" s="49"/>
      <c r="DL22" s="56"/>
      <c r="DM22" s="24">
        <v>32951</v>
      </c>
      <c r="DN22" s="33">
        <v>0.123</v>
      </c>
      <c r="DO22" s="25">
        <v>0.06</v>
      </c>
      <c r="DP22" s="25">
        <v>2.4</v>
      </c>
      <c r="DQ22" s="25">
        <v>24</v>
      </c>
      <c r="DR22" s="25">
        <v>58.9</v>
      </c>
      <c r="DS22" s="25"/>
      <c r="DT22" s="25">
        <v>7.6</v>
      </c>
      <c r="DU22" s="57"/>
      <c r="DV22" s="49"/>
      <c r="DW22" s="49"/>
      <c r="DX22" s="49"/>
      <c r="DY22" s="49"/>
      <c r="DZ22" s="49"/>
      <c r="EA22" s="49"/>
      <c r="EB22" s="49"/>
      <c r="EC22" s="49"/>
      <c r="ED22" s="56"/>
      <c r="EE22" s="42"/>
      <c r="EF22" s="49"/>
      <c r="EG22" s="49"/>
      <c r="EH22" s="49"/>
      <c r="EI22" s="49"/>
      <c r="EJ22" s="49"/>
      <c r="EK22" s="49"/>
      <c r="EL22" s="49"/>
      <c r="EM22" s="58"/>
      <c r="EN22" s="39"/>
      <c r="EO22" s="40">
        <f t="shared" si="4"/>
        <v>46129</v>
      </c>
      <c r="EP22" s="40">
        <v>45978</v>
      </c>
      <c r="EQ22" s="40">
        <v>46120</v>
      </c>
      <c r="ER22" s="40" t="s">
        <v>70</v>
      </c>
      <c r="ES22" s="40"/>
      <c r="ET22" s="40">
        <v>45930</v>
      </c>
      <c r="EU22" s="40">
        <v>46120</v>
      </c>
      <c r="EV22" s="40" t="s">
        <v>71</v>
      </c>
      <c r="EW22" s="40" t="s">
        <v>77</v>
      </c>
      <c r="EX22" s="40">
        <v>45992</v>
      </c>
      <c r="EY22" s="40">
        <v>46120</v>
      </c>
      <c r="EZ22" s="40" t="s">
        <v>71</v>
      </c>
      <c r="FA22" s="40"/>
      <c r="FB22" s="40">
        <v>45688</v>
      </c>
      <c r="FC22" s="40">
        <v>46114</v>
      </c>
      <c r="FD22" s="40"/>
      <c r="FE22" s="40">
        <v>46038</v>
      </c>
      <c r="FF22" s="40">
        <v>46055</v>
      </c>
      <c r="FG22" s="40"/>
      <c r="FH22" s="40">
        <v>46055</v>
      </c>
      <c r="FI22" s="40">
        <v>46128</v>
      </c>
      <c r="FJ22" s="40"/>
      <c r="FK22" s="40">
        <v>46037</v>
      </c>
      <c r="FL22" s="40">
        <v>46048</v>
      </c>
      <c r="FM22" s="40"/>
      <c r="FN22" s="40"/>
      <c r="FO22" s="40"/>
      <c r="FP22" s="40" t="s">
        <v>78</v>
      </c>
      <c r="FQ22" s="40">
        <v>46044</v>
      </c>
      <c r="FR22" s="40">
        <v>46047</v>
      </c>
      <c r="FS22" s="40" t="s">
        <v>78</v>
      </c>
      <c r="FT22" s="40">
        <v>46047</v>
      </c>
      <c r="FU22" s="40">
        <v>46056</v>
      </c>
      <c r="FV22" s="40"/>
      <c r="FW22" s="40">
        <v>46125</v>
      </c>
      <c r="FX22" s="40">
        <v>46128</v>
      </c>
      <c r="FY22" s="40" t="s">
        <v>89</v>
      </c>
      <c r="FZ22" s="40">
        <v>46109</v>
      </c>
      <c r="GA22" s="40">
        <v>46113</v>
      </c>
      <c r="GB22" s="40" t="s">
        <v>78</v>
      </c>
      <c r="GC22" s="40">
        <v>46023</v>
      </c>
      <c r="GD22" s="40">
        <v>46128</v>
      </c>
      <c r="GE22" s="40"/>
      <c r="GF22" s="40">
        <v>46022</v>
      </c>
      <c r="GG22" s="40">
        <v>46113</v>
      </c>
      <c r="GH22" s="40" t="s">
        <v>72</v>
      </c>
      <c r="GI22" s="40"/>
      <c r="GJ22" s="40"/>
      <c r="GK22" s="40" t="s">
        <v>80</v>
      </c>
      <c r="GL22" s="40">
        <v>46054</v>
      </c>
      <c r="GM22" s="40">
        <v>46054</v>
      </c>
      <c r="GN22" s="40"/>
      <c r="GO22" s="40"/>
      <c r="GP22" s="40"/>
      <c r="GQ22" s="40" t="s">
        <v>80</v>
      </c>
      <c r="GR22" s="40"/>
      <c r="GS22" s="40"/>
      <c r="GT22" s="3" t="s">
        <v>80</v>
      </c>
    </row>
    <row r="23" spans="2:202" x14ac:dyDescent="0.35">
      <c r="B23" s="41">
        <f t="shared" si="3"/>
        <v>46130</v>
      </c>
      <c r="C23" s="24">
        <v>2545049</v>
      </c>
      <c r="D23" s="49">
        <v>5.4</v>
      </c>
      <c r="E23" s="49">
        <v>0.3</v>
      </c>
      <c r="F23" s="49">
        <v>1.87</v>
      </c>
      <c r="G23" s="25">
        <v>51.72</v>
      </c>
      <c r="H23" s="25">
        <v>2.85</v>
      </c>
      <c r="I23" s="25">
        <v>2.6</v>
      </c>
      <c r="J23" s="25">
        <f t="shared" si="2"/>
        <v>8.3000000000000007</v>
      </c>
      <c r="K23" s="42">
        <v>2581562</v>
      </c>
      <c r="L23" s="25">
        <v>5.53</v>
      </c>
      <c r="M23" s="25">
        <v>0.3</v>
      </c>
      <c r="N23" s="25">
        <v>1.78</v>
      </c>
      <c r="O23" s="25">
        <v>52.35</v>
      </c>
      <c r="P23" s="25">
        <v>2.74</v>
      </c>
      <c r="Q23" s="25">
        <v>2.5</v>
      </c>
      <c r="R23" s="25">
        <f t="shared" si="0"/>
        <v>7.98</v>
      </c>
      <c r="S23" s="26">
        <v>2632188</v>
      </c>
      <c r="T23" s="25">
        <v>5.44</v>
      </c>
      <c r="U23" s="25">
        <v>0.28000000000000003</v>
      </c>
      <c r="V23" s="25">
        <v>1.82</v>
      </c>
      <c r="W23" s="27">
        <v>51.95</v>
      </c>
      <c r="X23" s="25">
        <v>2.86</v>
      </c>
      <c r="Y23" s="25">
        <v>2.38</v>
      </c>
      <c r="Z23" s="25">
        <f t="shared" si="1"/>
        <v>8.1</v>
      </c>
      <c r="AA23" s="42">
        <v>405994</v>
      </c>
      <c r="AB23" s="49">
        <v>88.63</v>
      </c>
      <c r="AC23" s="25">
        <v>0.25</v>
      </c>
      <c r="AD23" s="24">
        <v>545649</v>
      </c>
      <c r="AE23" s="33">
        <v>0.185</v>
      </c>
      <c r="AF23" s="25">
        <v>7.0000000000000007E-2</v>
      </c>
      <c r="AG23" s="34">
        <v>2.2000000000000002</v>
      </c>
      <c r="AH23" s="35">
        <v>22</v>
      </c>
      <c r="AI23" s="25">
        <v>36.6</v>
      </c>
      <c r="AJ23" s="25"/>
      <c r="AK23" s="25">
        <v>50.2</v>
      </c>
      <c r="AL23" s="42">
        <v>554452</v>
      </c>
      <c r="AM23" s="48">
        <v>5.1999999999999998E-2</v>
      </c>
      <c r="AN23" s="49">
        <v>0.04</v>
      </c>
      <c r="AO23" s="50">
        <v>2</v>
      </c>
      <c r="AP23" s="51">
        <v>20</v>
      </c>
      <c r="AQ23" s="49">
        <v>38.520000000000003</v>
      </c>
      <c r="AR23" s="49"/>
      <c r="AS23" s="49">
        <v>53.4</v>
      </c>
      <c r="AT23" s="24">
        <v>498748</v>
      </c>
      <c r="AU23" s="33">
        <v>0.1</v>
      </c>
      <c r="AV23" s="25">
        <v>7.0000000000000007E-2</v>
      </c>
      <c r="AW23" s="34">
        <v>2.2000000000000002</v>
      </c>
      <c r="AX23" s="35">
        <v>22</v>
      </c>
      <c r="AY23" s="25">
        <v>55.87</v>
      </c>
      <c r="AZ23" s="25">
        <v>2.06</v>
      </c>
      <c r="BA23" s="34">
        <v>10.199999999999999</v>
      </c>
      <c r="BB23" s="24">
        <v>992</v>
      </c>
      <c r="BC23" s="48"/>
      <c r="BD23" s="49"/>
      <c r="BE23" s="49"/>
      <c r="BF23" s="49"/>
      <c r="BG23" s="49"/>
      <c r="BH23" s="49"/>
      <c r="BI23" s="49"/>
      <c r="BJ23" s="24">
        <v>20301</v>
      </c>
      <c r="BK23" s="33">
        <v>0.11799999999999999</v>
      </c>
      <c r="BL23" s="25">
        <v>7.0000000000000007E-2</v>
      </c>
      <c r="BM23" s="25">
        <v>2.2000000000000002</v>
      </c>
      <c r="BN23" s="25">
        <v>22</v>
      </c>
      <c r="BO23" s="25">
        <v>49.76</v>
      </c>
      <c r="BP23" s="25">
        <v>1.64</v>
      </c>
      <c r="BQ23" s="25">
        <v>20.6</v>
      </c>
      <c r="BR23" s="42">
        <v>34380</v>
      </c>
      <c r="BS23" s="33">
        <v>0.106</v>
      </c>
      <c r="BT23" s="25">
        <v>7.0000000000000007E-2</v>
      </c>
      <c r="BU23" s="25">
        <v>2.2999999999999998</v>
      </c>
      <c r="BV23" s="25">
        <v>23</v>
      </c>
      <c r="BW23" s="25">
        <v>56.8</v>
      </c>
      <c r="BX23" s="25">
        <v>1.6</v>
      </c>
      <c r="BY23" s="25">
        <v>9.4</v>
      </c>
      <c r="BZ23" s="42">
        <v>529347</v>
      </c>
      <c r="CA23" s="48">
        <v>5.0999999999999997E-2</v>
      </c>
      <c r="CB23" s="49">
        <v>0.03</v>
      </c>
      <c r="CC23" s="50">
        <v>2.2000000000000002</v>
      </c>
      <c r="CD23" s="51">
        <v>22</v>
      </c>
      <c r="CE23" s="49">
        <v>58.37</v>
      </c>
      <c r="CF23" s="49">
        <v>0.45</v>
      </c>
      <c r="CG23" s="49">
        <v>8.8000000000000007</v>
      </c>
      <c r="CH23" s="42">
        <v>4696</v>
      </c>
      <c r="CI23" s="48">
        <v>9.5000000000000001E-2</v>
      </c>
      <c r="CJ23" s="49">
        <v>0.04</v>
      </c>
      <c r="CK23" s="49">
        <v>2.2000000000000002</v>
      </c>
      <c r="CL23" s="49">
        <v>22</v>
      </c>
      <c r="CM23" s="49">
        <v>57.22</v>
      </c>
      <c r="CN23" s="49">
        <v>1.05</v>
      </c>
      <c r="CO23" s="49">
        <v>9.1999999999999993</v>
      </c>
      <c r="CP23" s="42">
        <v>946169</v>
      </c>
      <c r="CQ23" s="48">
        <v>9.5000000000000001E-2</v>
      </c>
      <c r="CR23" s="49">
        <v>0.06</v>
      </c>
      <c r="CS23" s="50">
        <v>2.2000000000000002</v>
      </c>
      <c r="CT23" s="51">
        <v>22</v>
      </c>
      <c r="CU23" s="49">
        <v>52.25</v>
      </c>
      <c r="CV23" s="49">
        <v>1</v>
      </c>
      <c r="CW23" s="42">
        <v>29115</v>
      </c>
      <c r="CX23" s="132" t="s">
        <v>93</v>
      </c>
      <c r="CY23" s="133"/>
      <c r="CZ23" s="133"/>
      <c r="DA23" s="133"/>
      <c r="DB23" s="133"/>
      <c r="DC23" s="134"/>
      <c r="DD23" s="42"/>
      <c r="DE23" s="49"/>
      <c r="DF23" s="49"/>
      <c r="DG23" s="49"/>
      <c r="DH23" s="49"/>
      <c r="DI23" s="49"/>
      <c r="DJ23" s="49"/>
      <c r="DK23" s="49"/>
      <c r="DL23" s="56"/>
      <c r="DM23" s="24">
        <v>32951</v>
      </c>
      <c r="DN23" s="33">
        <v>0.123</v>
      </c>
      <c r="DO23" s="25">
        <v>0.06</v>
      </c>
      <c r="DP23" s="25">
        <v>2.4</v>
      </c>
      <c r="DQ23" s="25">
        <v>24</v>
      </c>
      <c r="DR23" s="25">
        <v>58.9</v>
      </c>
      <c r="DS23" s="25"/>
      <c r="DT23" s="25">
        <v>7.6</v>
      </c>
      <c r="DU23" s="57"/>
      <c r="DV23" s="49"/>
      <c r="DW23" s="49"/>
      <c r="DX23" s="49"/>
      <c r="DY23" s="49"/>
      <c r="DZ23" s="49"/>
      <c r="EA23" s="49"/>
      <c r="EB23" s="49"/>
      <c r="EC23" s="49"/>
      <c r="ED23" s="56"/>
      <c r="EE23" s="42"/>
      <c r="EF23" s="49"/>
      <c r="EG23" s="49"/>
      <c r="EH23" s="49"/>
      <c r="EI23" s="49"/>
      <c r="EJ23" s="49"/>
      <c r="EK23" s="49"/>
      <c r="EL23" s="49"/>
      <c r="EM23" s="58"/>
      <c r="EN23" s="39"/>
      <c r="EO23" s="40">
        <f t="shared" si="4"/>
        <v>46130</v>
      </c>
      <c r="EP23" s="40">
        <v>45978</v>
      </c>
      <c r="EQ23" s="40">
        <v>46120</v>
      </c>
      <c r="ER23" s="40" t="s">
        <v>70</v>
      </c>
      <c r="ES23" s="40"/>
      <c r="ET23" s="40">
        <v>45930</v>
      </c>
      <c r="EU23" s="40">
        <v>46120</v>
      </c>
      <c r="EV23" s="40" t="s">
        <v>71</v>
      </c>
      <c r="EW23" s="40" t="s">
        <v>77</v>
      </c>
      <c r="EX23" s="40">
        <v>45992</v>
      </c>
      <c r="EY23" s="40">
        <v>46120</v>
      </c>
      <c r="EZ23" s="40" t="s">
        <v>71</v>
      </c>
      <c r="FA23" s="40"/>
      <c r="FB23" s="40">
        <v>45688</v>
      </c>
      <c r="FC23" s="40">
        <v>46114</v>
      </c>
      <c r="FD23" s="40"/>
      <c r="FE23" s="40">
        <v>46038</v>
      </c>
      <c r="FF23" s="40">
        <v>46055</v>
      </c>
      <c r="FG23" s="40"/>
      <c r="FH23" s="40">
        <v>46055</v>
      </c>
      <c r="FI23" s="40">
        <v>46129</v>
      </c>
      <c r="FJ23" s="40"/>
      <c r="FK23" s="40">
        <v>46037</v>
      </c>
      <c r="FL23" s="40">
        <v>46048</v>
      </c>
      <c r="FM23" s="40"/>
      <c r="FN23" s="40"/>
      <c r="FO23" s="40"/>
      <c r="FP23" s="40" t="s">
        <v>78</v>
      </c>
      <c r="FQ23" s="40">
        <v>46044</v>
      </c>
      <c r="FR23" s="40">
        <v>46047</v>
      </c>
      <c r="FS23" s="40" t="s">
        <v>78</v>
      </c>
      <c r="FT23" s="40">
        <v>46047</v>
      </c>
      <c r="FU23" s="40">
        <v>46056</v>
      </c>
      <c r="FV23" s="40"/>
      <c r="FW23" s="40">
        <v>46125</v>
      </c>
      <c r="FX23" s="40">
        <v>46129</v>
      </c>
      <c r="FY23" s="40" t="s">
        <v>94</v>
      </c>
      <c r="FZ23" s="40">
        <v>46109</v>
      </c>
      <c r="GA23" s="40">
        <v>46113</v>
      </c>
      <c r="GB23" s="40" t="s">
        <v>78</v>
      </c>
      <c r="GC23" s="40">
        <v>46023</v>
      </c>
      <c r="GD23" s="40">
        <v>46129</v>
      </c>
      <c r="GE23" s="40"/>
      <c r="GF23" s="40">
        <v>46022</v>
      </c>
      <c r="GG23" s="40">
        <v>46113</v>
      </c>
      <c r="GH23" s="40" t="s">
        <v>78</v>
      </c>
      <c r="GI23" s="40"/>
      <c r="GJ23" s="40"/>
      <c r="GK23" s="40" t="s">
        <v>80</v>
      </c>
      <c r="GL23" s="40">
        <v>46054</v>
      </c>
      <c r="GM23" s="40">
        <v>46054</v>
      </c>
      <c r="GN23" s="40"/>
      <c r="GO23" s="40"/>
      <c r="GP23" s="40"/>
      <c r="GQ23" s="40" t="s">
        <v>80</v>
      </c>
      <c r="GR23" s="40"/>
      <c r="GS23" s="40"/>
      <c r="GT23" s="3" t="s">
        <v>80</v>
      </c>
    </row>
    <row r="24" spans="2:202" x14ac:dyDescent="0.35">
      <c r="B24" s="41">
        <f t="shared" si="3"/>
        <v>46131</v>
      </c>
      <c r="C24" s="24">
        <v>2545049</v>
      </c>
      <c r="D24" s="49">
        <v>5.4</v>
      </c>
      <c r="E24" s="49">
        <v>0.3</v>
      </c>
      <c r="F24" s="49">
        <v>1.87</v>
      </c>
      <c r="G24" s="25">
        <v>51.72</v>
      </c>
      <c r="H24" s="25">
        <v>2.85</v>
      </c>
      <c r="I24" s="25">
        <v>2.6</v>
      </c>
      <c r="J24" s="25">
        <f t="shared" si="2"/>
        <v>8.3000000000000007</v>
      </c>
      <c r="K24" s="42">
        <v>2581562</v>
      </c>
      <c r="L24" s="25">
        <v>5.53</v>
      </c>
      <c r="M24" s="25">
        <v>0.3</v>
      </c>
      <c r="N24" s="25">
        <v>1.78</v>
      </c>
      <c r="O24" s="25">
        <v>52.35</v>
      </c>
      <c r="P24" s="25">
        <v>2.74</v>
      </c>
      <c r="Q24" s="25">
        <v>2.5</v>
      </c>
      <c r="R24" s="25">
        <f t="shared" si="0"/>
        <v>7.98</v>
      </c>
      <c r="S24" s="26">
        <v>2632188</v>
      </c>
      <c r="T24" s="25">
        <v>5.44</v>
      </c>
      <c r="U24" s="25">
        <v>0.28000000000000003</v>
      </c>
      <c r="V24" s="25">
        <v>1.82</v>
      </c>
      <c r="W24" s="27">
        <v>51.95</v>
      </c>
      <c r="X24" s="25">
        <v>2.86</v>
      </c>
      <c r="Y24" s="25">
        <v>2.38</v>
      </c>
      <c r="Z24" s="25">
        <f t="shared" si="1"/>
        <v>8.1</v>
      </c>
      <c r="AA24" s="42">
        <v>405994</v>
      </c>
      <c r="AB24" s="49">
        <v>88.63</v>
      </c>
      <c r="AC24" s="25">
        <v>0.25</v>
      </c>
      <c r="AD24" s="24">
        <v>545649</v>
      </c>
      <c r="AE24" s="33">
        <v>0.185</v>
      </c>
      <c r="AF24" s="25">
        <v>7.0000000000000007E-2</v>
      </c>
      <c r="AG24" s="34">
        <v>2.2000000000000002</v>
      </c>
      <c r="AH24" s="35">
        <v>22</v>
      </c>
      <c r="AI24" s="25">
        <v>36.6</v>
      </c>
      <c r="AJ24" s="25"/>
      <c r="AK24" s="25">
        <v>50.2</v>
      </c>
      <c r="AL24" s="42">
        <v>554452</v>
      </c>
      <c r="AM24" s="48">
        <v>5.1999999999999998E-2</v>
      </c>
      <c r="AN24" s="49">
        <v>0.04</v>
      </c>
      <c r="AO24" s="50">
        <v>2</v>
      </c>
      <c r="AP24" s="51">
        <v>20</v>
      </c>
      <c r="AQ24" s="49">
        <v>38.520000000000003</v>
      </c>
      <c r="AR24" s="49"/>
      <c r="AS24" s="49">
        <v>53.4</v>
      </c>
      <c r="AT24" s="24">
        <v>498748</v>
      </c>
      <c r="AU24" s="33">
        <v>0.1</v>
      </c>
      <c r="AV24" s="25">
        <v>7.0000000000000007E-2</v>
      </c>
      <c r="AW24" s="34">
        <v>2.2000000000000002</v>
      </c>
      <c r="AX24" s="35">
        <v>22</v>
      </c>
      <c r="AY24" s="25">
        <v>55.87</v>
      </c>
      <c r="AZ24" s="25">
        <v>2.06</v>
      </c>
      <c r="BA24" s="34">
        <v>10.199999999999999</v>
      </c>
      <c r="BB24" s="24">
        <v>992</v>
      </c>
      <c r="BC24" s="48"/>
      <c r="BD24" s="49"/>
      <c r="BE24" s="49"/>
      <c r="BF24" s="49"/>
      <c r="BG24" s="49"/>
      <c r="BH24" s="49"/>
      <c r="BI24" s="49"/>
      <c r="BJ24" s="24">
        <v>20301</v>
      </c>
      <c r="BK24" s="33">
        <v>0.11799999999999999</v>
      </c>
      <c r="BL24" s="25">
        <v>7.0000000000000007E-2</v>
      </c>
      <c r="BM24" s="25">
        <v>2.2000000000000002</v>
      </c>
      <c r="BN24" s="25">
        <v>22</v>
      </c>
      <c r="BO24" s="25">
        <v>49.76</v>
      </c>
      <c r="BP24" s="25">
        <v>1.64</v>
      </c>
      <c r="BQ24" s="25">
        <v>20.6</v>
      </c>
      <c r="BR24" s="42">
        <v>34380</v>
      </c>
      <c r="BS24" s="33">
        <v>0.106</v>
      </c>
      <c r="BT24" s="25">
        <v>7.0000000000000007E-2</v>
      </c>
      <c r="BU24" s="25">
        <v>2.2999999999999998</v>
      </c>
      <c r="BV24" s="25">
        <v>23</v>
      </c>
      <c r="BW24" s="25">
        <v>56.8</v>
      </c>
      <c r="BX24" s="25">
        <v>1.6</v>
      </c>
      <c r="BY24" s="25">
        <v>9.4</v>
      </c>
      <c r="BZ24" s="42">
        <v>484309</v>
      </c>
      <c r="CA24" s="48">
        <v>5.3999999999999999E-2</v>
      </c>
      <c r="CB24" s="49">
        <v>0.03</v>
      </c>
      <c r="CC24" s="50">
        <v>2.2000000000000002</v>
      </c>
      <c r="CD24" s="51">
        <v>22</v>
      </c>
      <c r="CE24" s="49">
        <v>58.44</v>
      </c>
      <c r="CF24" s="49">
        <v>0.45</v>
      </c>
      <c r="CG24" s="49">
        <v>8.8000000000000007</v>
      </c>
      <c r="CH24" s="42">
        <v>4696</v>
      </c>
      <c r="CI24" s="48">
        <v>9.5000000000000001E-2</v>
      </c>
      <c r="CJ24" s="49">
        <v>0.04</v>
      </c>
      <c r="CK24" s="49">
        <v>2.2000000000000002</v>
      </c>
      <c r="CL24" s="49">
        <v>22</v>
      </c>
      <c r="CM24" s="49">
        <v>57.22</v>
      </c>
      <c r="CN24" s="49">
        <v>1.05</v>
      </c>
      <c r="CO24" s="49">
        <v>9.1999999999999993</v>
      </c>
      <c r="CP24" s="42">
        <v>948090</v>
      </c>
      <c r="CQ24" s="48">
        <v>9.6000000000000002E-2</v>
      </c>
      <c r="CR24" s="49">
        <v>0.06</v>
      </c>
      <c r="CS24" s="50">
        <v>2.2000000000000002</v>
      </c>
      <c r="CT24" s="51">
        <v>22</v>
      </c>
      <c r="CU24" s="49">
        <v>52.25</v>
      </c>
      <c r="CV24" s="49">
        <v>1</v>
      </c>
      <c r="CW24" s="42">
        <v>73421</v>
      </c>
      <c r="CX24" s="33">
        <v>7.6999999999999999E-2</v>
      </c>
      <c r="CY24" s="25">
        <v>0.03</v>
      </c>
      <c r="CZ24" s="34">
        <v>2.2000000000000002</v>
      </c>
      <c r="DA24" s="35">
        <v>22</v>
      </c>
      <c r="DB24" s="25">
        <v>42.5</v>
      </c>
      <c r="DC24" s="25">
        <v>52.1</v>
      </c>
      <c r="DD24" s="42"/>
      <c r="DE24" s="49"/>
      <c r="DF24" s="49"/>
      <c r="DG24" s="49"/>
      <c r="DH24" s="49"/>
      <c r="DI24" s="49"/>
      <c r="DJ24" s="49"/>
      <c r="DK24" s="49"/>
      <c r="DL24" s="56"/>
      <c r="DM24" s="24">
        <v>32951</v>
      </c>
      <c r="DN24" s="33">
        <v>0.123</v>
      </c>
      <c r="DO24" s="25">
        <v>0.06</v>
      </c>
      <c r="DP24" s="25">
        <v>2.4</v>
      </c>
      <c r="DQ24" s="25">
        <v>24</v>
      </c>
      <c r="DR24" s="25">
        <v>58.9</v>
      </c>
      <c r="DS24" s="25"/>
      <c r="DT24" s="25">
        <v>7.6</v>
      </c>
      <c r="DU24" s="57"/>
      <c r="DV24" s="49"/>
      <c r="DW24" s="49"/>
      <c r="DX24" s="49"/>
      <c r="DY24" s="49"/>
      <c r="DZ24" s="49"/>
      <c r="EA24" s="49"/>
      <c r="EB24" s="49"/>
      <c r="EC24" s="49"/>
      <c r="ED24" s="56"/>
      <c r="EE24" s="42"/>
      <c r="EF24" s="49"/>
      <c r="EG24" s="49"/>
      <c r="EH24" s="49"/>
      <c r="EI24" s="49"/>
      <c r="EJ24" s="49"/>
      <c r="EK24" s="49"/>
      <c r="EL24" s="49"/>
      <c r="EM24" s="58"/>
      <c r="EN24" s="39"/>
      <c r="EO24" s="40">
        <f t="shared" si="4"/>
        <v>46131</v>
      </c>
      <c r="EP24" s="40">
        <v>45978</v>
      </c>
      <c r="EQ24" s="40">
        <v>46120</v>
      </c>
      <c r="ER24" s="40" t="s">
        <v>70</v>
      </c>
      <c r="ES24" s="40"/>
      <c r="ET24" s="40">
        <v>45930</v>
      </c>
      <c r="EU24" s="40">
        <v>46120</v>
      </c>
      <c r="EV24" s="40" t="s">
        <v>71</v>
      </c>
      <c r="EW24" s="40"/>
      <c r="EX24" s="40">
        <v>45992</v>
      </c>
      <c r="EY24" s="40">
        <v>46120</v>
      </c>
      <c r="EZ24" s="40" t="s">
        <v>71</v>
      </c>
      <c r="FA24" s="40"/>
      <c r="FB24" s="40">
        <v>45688</v>
      </c>
      <c r="FC24" s="40">
        <v>46114</v>
      </c>
      <c r="FD24" s="40"/>
      <c r="FE24" s="40">
        <v>46038</v>
      </c>
      <c r="FF24" s="40">
        <v>46055</v>
      </c>
      <c r="FG24" s="40"/>
      <c r="FH24" s="40">
        <v>46055</v>
      </c>
      <c r="FI24" s="40">
        <v>46129</v>
      </c>
      <c r="FJ24" s="40"/>
      <c r="FK24" s="40">
        <v>46037</v>
      </c>
      <c r="FL24" s="40">
        <v>46048</v>
      </c>
      <c r="FM24" s="40"/>
      <c r="FN24" s="40"/>
      <c r="FO24" s="40"/>
      <c r="FP24" s="40" t="s">
        <v>78</v>
      </c>
      <c r="FQ24" s="40">
        <v>46044</v>
      </c>
      <c r="FR24" s="40">
        <v>46047</v>
      </c>
      <c r="FS24" s="40" t="s">
        <v>78</v>
      </c>
      <c r="FT24" s="40">
        <v>46047</v>
      </c>
      <c r="FU24" s="40">
        <v>46056</v>
      </c>
      <c r="FV24" s="40" t="s">
        <v>78</v>
      </c>
      <c r="FW24" s="40">
        <v>46125</v>
      </c>
      <c r="FX24" s="40">
        <v>46130</v>
      </c>
      <c r="FY24" s="40" t="s">
        <v>95</v>
      </c>
      <c r="FZ24" s="40">
        <v>46109</v>
      </c>
      <c r="GA24" s="40">
        <v>46113</v>
      </c>
      <c r="GB24" s="40" t="s">
        <v>78</v>
      </c>
      <c r="GC24" s="40">
        <v>46023</v>
      </c>
      <c r="GD24" s="40">
        <v>46130</v>
      </c>
      <c r="GE24" s="40"/>
      <c r="GF24" s="40">
        <v>46130</v>
      </c>
      <c r="GG24" s="40">
        <v>46130</v>
      </c>
      <c r="GH24" s="40"/>
      <c r="GI24" s="40"/>
      <c r="GJ24" s="40"/>
      <c r="GK24" s="40" t="s">
        <v>80</v>
      </c>
      <c r="GL24" s="40">
        <v>46054</v>
      </c>
      <c r="GM24" s="40">
        <v>46054</v>
      </c>
      <c r="GN24" s="40"/>
      <c r="GO24" s="40"/>
      <c r="GP24" s="40"/>
      <c r="GQ24" s="40" t="s">
        <v>80</v>
      </c>
      <c r="GR24" s="40"/>
      <c r="GS24" s="40"/>
      <c r="GT24" s="3" t="s">
        <v>80</v>
      </c>
    </row>
    <row r="25" spans="2:202" x14ac:dyDescent="0.35">
      <c r="B25" s="41">
        <f t="shared" si="3"/>
        <v>46132</v>
      </c>
      <c r="C25" s="24">
        <v>2545049</v>
      </c>
      <c r="D25" s="49">
        <v>5.4</v>
      </c>
      <c r="E25" s="49">
        <v>0.3</v>
      </c>
      <c r="F25" s="49">
        <v>1.87</v>
      </c>
      <c r="G25" s="25">
        <v>51.72</v>
      </c>
      <c r="H25" s="25">
        <v>2.85</v>
      </c>
      <c r="I25" s="25">
        <v>2.6</v>
      </c>
      <c r="J25" s="25">
        <f t="shared" si="2"/>
        <v>8.3000000000000007</v>
      </c>
      <c r="K25" s="42">
        <v>2581562</v>
      </c>
      <c r="L25" s="25">
        <v>5.54</v>
      </c>
      <c r="M25" s="25">
        <v>0.3</v>
      </c>
      <c r="N25" s="25">
        <v>1.78</v>
      </c>
      <c r="O25" s="25">
        <v>52.35</v>
      </c>
      <c r="P25" s="25">
        <v>2.74</v>
      </c>
      <c r="Q25" s="25">
        <v>2.5</v>
      </c>
      <c r="R25" s="25">
        <f t="shared" si="0"/>
        <v>7.98</v>
      </c>
      <c r="S25" s="26">
        <v>2632188</v>
      </c>
      <c r="T25" s="25">
        <v>5.46</v>
      </c>
      <c r="U25" s="25">
        <v>0.28000000000000003</v>
      </c>
      <c r="V25" s="25">
        <v>1.82</v>
      </c>
      <c r="W25" s="27">
        <v>51.95</v>
      </c>
      <c r="X25" s="25">
        <v>2.86</v>
      </c>
      <c r="Y25" s="25">
        <v>2.38</v>
      </c>
      <c r="Z25" s="25">
        <f t="shared" si="1"/>
        <v>8.1</v>
      </c>
      <c r="AA25" s="42">
        <v>405994</v>
      </c>
      <c r="AB25" s="49">
        <v>88.63</v>
      </c>
      <c r="AC25" s="25">
        <v>0.25</v>
      </c>
      <c r="AD25" s="24">
        <v>545649</v>
      </c>
      <c r="AE25" s="33">
        <v>0.187</v>
      </c>
      <c r="AF25" s="25">
        <v>7.0000000000000007E-2</v>
      </c>
      <c r="AG25" s="34">
        <v>2.2000000000000002</v>
      </c>
      <c r="AH25" s="35">
        <v>22</v>
      </c>
      <c r="AI25" s="25">
        <v>36.6</v>
      </c>
      <c r="AJ25" s="25"/>
      <c r="AK25" s="25">
        <v>50.2</v>
      </c>
      <c r="AL25" s="42">
        <v>554452</v>
      </c>
      <c r="AM25" s="48">
        <v>5.3999999999999999E-2</v>
      </c>
      <c r="AN25" s="49">
        <v>0.04</v>
      </c>
      <c r="AO25" s="50">
        <v>2</v>
      </c>
      <c r="AP25" s="51">
        <v>20</v>
      </c>
      <c r="AQ25" s="49">
        <v>38.520000000000003</v>
      </c>
      <c r="AR25" s="49"/>
      <c r="AS25" s="49">
        <v>53.4</v>
      </c>
      <c r="AT25" s="24">
        <v>498748</v>
      </c>
      <c r="AU25" s="33">
        <v>0.1</v>
      </c>
      <c r="AV25" s="25">
        <v>7.0000000000000007E-2</v>
      </c>
      <c r="AW25" s="34">
        <v>2.2000000000000002</v>
      </c>
      <c r="AX25" s="35">
        <v>22</v>
      </c>
      <c r="AY25" s="25">
        <v>55.87</v>
      </c>
      <c r="AZ25" s="25">
        <v>2.06</v>
      </c>
      <c r="BA25" s="34">
        <v>10.199999999999999</v>
      </c>
      <c r="BB25" s="24">
        <v>992</v>
      </c>
      <c r="BC25" s="48"/>
      <c r="BD25" s="49"/>
      <c r="BE25" s="49"/>
      <c r="BF25" s="49"/>
      <c r="BG25" s="49"/>
      <c r="BH25" s="49"/>
      <c r="BI25" s="49"/>
      <c r="BJ25" s="24">
        <v>20301</v>
      </c>
      <c r="BK25" s="33">
        <v>0.12</v>
      </c>
      <c r="BL25" s="25">
        <v>7.0000000000000007E-2</v>
      </c>
      <c r="BM25" s="25">
        <v>2.2000000000000002</v>
      </c>
      <c r="BN25" s="25">
        <v>22</v>
      </c>
      <c r="BO25" s="25">
        <v>49.76</v>
      </c>
      <c r="BP25" s="25">
        <v>1.64</v>
      </c>
      <c r="BQ25" s="25">
        <v>20.6</v>
      </c>
      <c r="BR25" s="42">
        <v>34380</v>
      </c>
      <c r="BS25" s="33">
        <v>0.108</v>
      </c>
      <c r="BT25" s="25">
        <v>7.0000000000000007E-2</v>
      </c>
      <c r="BU25" s="25">
        <v>2.2999999999999998</v>
      </c>
      <c r="BV25" s="25">
        <v>23</v>
      </c>
      <c r="BW25" s="25">
        <v>56.8</v>
      </c>
      <c r="BX25" s="25">
        <v>1.6</v>
      </c>
      <c r="BY25" s="25">
        <v>9.4</v>
      </c>
      <c r="BZ25" s="42">
        <v>484309</v>
      </c>
      <c r="CA25" s="48">
        <v>5.7000000000000002E-2</v>
      </c>
      <c r="CB25" s="49">
        <v>0.03</v>
      </c>
      <c r="CC25" s="50">
        <v>2.2000000000000002</v>
      </c>
      <c r="CD25" s="51">
        <v>22</v>
      </c>
      <c r="CE25" s="49">
        <v>58.44</v>
      </c>
      <c r="CF25" s="49">
        <v>0.45</v>
      </c>
      <c r="CG25" s="49">
        <v>8.8000000000000007</v>
      </c>
      <c r="CH25" s="42">
        <v>4696</v>
      </c>
      <c r="CI25" s="48">
        <v>9.8000000000000004E-2</v>
      </c>
      <c r="CJ25" s="49">
        <v>0.04</v>
      </c>
      <c r="CK25" s="49">
        <v>2.2000000000000002</v>
      </c>
      <c r="CL25" s="49">
        <v>22</v>
      </c>
      <c r="CM25" s="49">
        <v>57.22</v>
      </c>
      <c r="CN25" s="49">
        <v>1.05</v>
      </c>
      <c r="CO25" s="49">
        <v>9.1999999999999993</v>
      </c>
      <c r="CP25" s="42">
        <v>948090</v>
      </c>
      <c r="CQ25" s="48">
        <v>9.6000000000000002E-2</v>
      </c>
      <c r="CR25" s="49">
        <v>0.06</v>
      </c>
      <c r="CS25" s="50">
        <v>2.2000000000000002</v>
      </c>
      <c r="CT25" s="51">
        <v>22</v>
      </c>
      <c r="CU25" s="49">
        <v>52.25</v>
      </c>
      <c r="CV25" s="49">
        <v>1</v>
      </c>
      <c r="CW25" s="42">
        <v>73421</v>
      </c>
      <c r="CX25" s="33">
        <v>7.9000000000000001E-2</v>
      </c>
      <c r="CY25" s="25">
        <v>0.03</v>
      </c>
      <c r="CZ25" s="34">
        <v>2.2000000000000002</v>
      </c>
      <c r="DA25" s="35">
        <v>22</v>
      </c>
      <c r="DB25" s="25">
        <v>42.5</v>
      </c>
      <c r="DC25" s="25">
        <v>52.1</v>
      </c>
      <c r="DD25" s="42"/>
      <c r="DE25" s="49"/>
      <c r="DF25" s="49"/>
      <c r="DG25" s="49"/>
      <c r="DH25" s="49"/>
      <c r="DI25" s="49"/>
      <c r="DJ25" s="49"/>
      <c r="DK25" s="49"/>
      <c r="DL25" s="56"/>
      <c r="DM25" s="24">
        <v>32951</v>
      </c>
      <c r="DN25" s="33">
        <v>0.124</v>
      </c>
      <c r="DO25" s="25">
        <v>0.06</v>
      </c>
      <c r="DP25" s="25">
        <v>2.4</v>
      </c>
      <c r="DQ25" s="25">
        <v>24</v>
      </c>
      <c r="DR25" s="25">
        <v>58.9</v>
      </c>
      <c r="DS25" s="25"/>
      <c r="DT25" s="25">
        <v>7.6</v>
      </c>
      <c r="DU25" s="57"/>
      <c r="DV25" s="49"/>
      <c r="DW25" s="49"/>
      <c r="DX25" s="49"/>
      <c r="DY25" s="49"/>
      <c r="DZ25" s="49"/>
      <c r="EA25" s="49"/>
      <c r="EB25" s="49"/>
      <c r="EC25" s="49"/>
      <c r="ED25" s="56"/>
      <c r="EE25" s="42"/>
      <c r="EF25" s="49"/>
      <c r="EG25" s="49"/>
      <c r="EH25" s="49"/>
      <c r="EI25" s="49"/>
      <c r="EJ25" s="49"/>
      <c r="EK25" s="49"/>
      <c r="EL25" s="49"/>
      <c r="EM25" s="58"/>
      <c r="EN25" s="39"/>
      <c r="EO25" s="40">
        <f t="shared" si="4"/>
        <v>46132</v>
      </c>
      <c r="EP25" s="40">
        <v>45978</v>
      </c>
      <c r="EQ25" s="40">
        <v>46120</v>
      </c>
      <c r="ER25" s="40" t="s">
        <v>70</v>
      </c>
      <c r="ES25" s="40"/>
      <c r="ET25" s="40">
        <v>45930</v>
      </c>
      <c r="EU25" s="40">
        <v>46120</v>
      </c>
      <c r="EV25" s="40" t="s">
        <v>71</v>
      </c>
      <c r="EW25" s="40"/>
      <c r="EX25" s="40">
        <v>45992</v>
      </c>
      <c r="EY25" s="40">
        <v>46120</v>
      </c>
      <c r="EZ25" s="40" t="s">
        <v>71</v>
      </c>
      <c r="FA25" s="40"/>
      <c r="FB25" s="40">
        <v>45688</v>
      </c>
      <c r="FC25" s="40">
        <v>46114</v>
      </c>
      <c r="FD25" s="40"/>
      <c r="FE25" s="40">
        <v>46038</v>
      </c>
      <c r="FF25" s="40">
        <v>46055</v>
      </c>
      <c r="FG25" s="40"/>
      <c r="FH25" s="40">
        <v>46055</v>
      </c>
      <c r="FI25" s="40">
        <v>46129</v>
      </c>
      <c r="FJ25" s="40"/>
      <c r="FK25" s="40">
        <v>46037</v>
      </c>
      <c r="FL25" s="40">
        <v>46048</v>
      </c>
      <c r="FM25" s="40"/>
      <c r="FN25" s="40"/>
      <c r="FO25" s="40"/>
      <c r="FP25" s="40" t="s">
        <v>78</v>
      </c>
      <c r="FQ25" s="40">
        <v>46044</v>
      </c>
      <c r="FR25" s="40">
        <v>46047</v>
      </c>
      <c r="FS25" s="40" t="s">
        <v>78</v>
      </c>
      <c r="FT25" s="40">
        <v>46047</v>
      </c>
      <c r="FU25" s="40">
        <v>46056</v>
      </c>
      <c r="FV25" s="40" t="s">
        <v>78</v>
      </c>
      <c r="FW25" s="40">
        <v>46125</v>
      </c>
      <c r="FX25" s="40">
        <v>46130</v>
      </c>
      <c r="FY25" s="40"/>
      <c r="FZ25" s="40">
        <v>46109</v>
      </c>
      <c r="GA25" s="40">
        <v>46113</v>
      </c>
      <c r="GB25" s="40" t="s">
        <v>78</v>
      </c>
      <c r="GC25" s="40">
        <v>46023</v>
      </c>
      <c r="GD25" s="40">
        <v>46130</v>
      </c>
      <c r="GE25" s="40"/>
      <c r="GF25" s="40">
        <v>46130</v>
      </c>
      <c r="GG25" s="40">
        <v>46130</v>
      </c>
      <c r="GH25" s="40"/>
      <c r="GI25" s="40"/>
      <c r="GJ25" s="40"/>
      <c r="GK25" s="40" t="s">
        <v>80</v>
      </c>
      <c r="GL25" s="40">
        <v>46054</v>
      </c>
      <c r="GM25" s="40">
        <v>46054</v>
      </c>
      <c r="GN25" s="40"/>
      <c r="GO25" s="40"/>
      <c r="GP25" s="40"/>
      <c r="GQ25" s="40" t="s">
        <v>80</v>
      </c>
      <c r="GR25" s="40"/>
      <c r="GS25" s="40"/>
      <c r="GT25" s="3" t="s">
        <v>80</v>
      </c>
    </row>
    <row r="26" spans="2:202" x14ac:dyDescent="0.35">
      <c r="B26" s="41">
        <f t="shared" si="3"/>
        <v>46133</v>
      </c>
      <c r="C26" s="24">
        <v>2545049</v>
      </c>
      <c r="D26" s="49">
        <v>5.4</v>
      </c>
      <c r="E26" s="49">
        <v>0.3</v>
      </c>
      <c r="F26" s="49">
        <v>1.87</v>
      </c>
      <c r="G26" s="25">
        <v>51.72</v>
      </c>
      <c r="H26" s="25">
        <v>2.85</v>
      </c>
      <c r="I26" s="25">
        <v>2.6</v>
      </c>
      <c r="J26" s="25">
        <f t="shared" si="2"/>
        <v>8.3000000000000007</v>
      </c>
      <c r="K26" s="42">
        <v>2581562</v>
      </c>
      <c r="L26" s="25">
        <v>5.54</v>
      </c>
      <c r="M26" s="25">
        <v>0.3</v>
      </c>
      <c r="N26" s="25">
        <v>1.78</v>
      </c>
      <c r="O26" s="25">
        <v>52.35</v>
      </c>
      <c r="P26" s="25">
        <v>2.74</v>
      </c>
      <c r="Q26" s="25">
        <v>2.5</v>
      </c>
      <c r="R26" s="25">
        <f t="shared" si="0"/>
        <v>7.98</v>
      </c>
      <c r="S26" s="26">
        <v>2632188</v>
      </c>
      <c r="T26" s="25">
        <v>5.46</v>
      </c>
      <c r="U26" s="25">
        <v>0.28000000000000003</v>
      </c>
      <c r="V26" s="25">
        <v>1.82</v>
      </c>
      <c r="W26" s="27">
        <v>51.95</v>
      </c>
      <c r="X26" s="25">
        <v>2.86</v>
      </c>
      <c r="Y26" s="25">
        <v>2.38</v>
      </c>
      <c r="Z26" s="25">
        <f t="shared" si="1"/>
        <v>8.1</v>
      </c>
      <c r="AA26" s="42">
        <v>405994</v>
      </c>
      <c r="AB26" s="49">
        <v>88.63</v>
      </c>
      <c r="AC26" s="25">
        <v>0.25</v>
      </c>
      <c r="AD26" s="24">
        <v>545649</v>
      </c>
      <c r="AE26" s="33">
        <v>0.187</v>
      </c>
      <c r="AF26" s="25">
        <v>7.0000000000000007E-2</v>
      </c>
      <c r="AG26" s="34">
        <v>2.2000000000000002</v>
      </c>
      <c r="AH26" s="35">
        <v>22</v>
      </c>
      <c r="AI26" s="25">
        <v>36.6</v>
      </c>
      <c r="AJ26" s="25"/>
      <c r="AK26" s="25">
        <v>50.2</v>
      </c>
      <c r="AL26" s="42">
        <v>554452</v>
      </c>
      <c r="AM26" s="48">
        <v>5.5E-2</v>
      </c>
      <c r="AN26" s="49">
        <v>0.04</v>
      </c>
      <c r="AO26" s="50">
        <v>2</v>
      </c>
      <c r="AP26" s="51">
        <v>20</v>
      </c>
      <c r="AQ26" s="49">
        <v>38.520000000000003</v>
      </c>
      <c r="AR26" s="49"/>
      <c r="AS26" s="49">
        <v>53.4</v>
      </c>
      <c r="AT26" s="24">
        <v>498748</v>
      </c>
      <c r="AU26" s="33">
        <v>0.1</v>
      </c>
      <c r="AV26" s="25">
        <v>7.0000000000000007E-2</v>
      </c>
      <c r="AW26" s="34">
        <v>2.2000000000000002</v>
      </c>
      <c r="AX26" s="35">
        <v>22</v>
      </c>
      <c r="AY26" s="25">
        <v>55.87</v>
      </c>
      <c r="AZ26" s="25">
        <v>2.06</v>
      </c>
      <c r="BA26" s="34">
        <v>10.199999999999999</v>
      </c>
      <c r="BB26" s="24">
        <v>992</v>
      </c>
      <c r="BC26" s="48"/>
      <c r="BD26" s="49"/>
      <c r="BE26" s="49"/>
      <c r="BF26" s="49"/>
      <c r="BG26" s="49"/>
      <c r="BH26" s="49"/>
      <c r="BI26" s="49"/>
      <c r="BJ26" s="24">
        <v>20301</v>
      </c>
      <c r="BK26" s="33">
        <v>0.12</v>
      </c>
      <c r="BL26" s="25">
        <v>7.0000000000000007E-2</v>
      </c>
      <c r="BM26" s="25">
        <v>2.2000000000000002</v>
      </c>
      <c r="BN26" s="25">
        <v>22</v>
      </c>
      <c r="BO26" s="25">
        <v>49.76</v>
      </c>
      <c r="BP26" s="25">
        <v>1.64</v>
      </c>
      <c r="BQ26" s="25">
        <v>20.6</v>
      </c>
      <c r="BR26" s="42">
        <v>34380</v>
      </c>
      <c r="BS26" s="33">
        <v>0.108</v>
      </c>
      <c r="BT26" s="25">
        <v>7.0000000000000007E-2</v>
      </c>
      <c r="BU26" s="25">
        <v>2.2999999999999998</v>
      </c>
      <c r="BV26" s="25">
        <v>23</v>
      </c>
      <c r="BW26" s="25">
        <v>56.8</v>
      </c>
      <c r="BX26" s="25">
        <v>1.6</v>
      </c>
      <c r="BY26" s="25">
        <v>9.4</v>
      </c>
      <c r="BZ26" s="42">
        <v>375799</v>
      </c>
      <c r="CA26" s="48">
        <v>5.8000000000000003E-2</v>
      </c>
      <c r="CB26" s="49">
        <v>0.03</v>
      </c>
      <c r="CC26" s="50">
        <v>2.2000000000000002</v>
      </c>
      <c r="CD26" s="51">
        <v>22</v>
      </c>
      <c r="CE26" s="49">
        <v>58.44</v>
      </c>
      <c r="CF26" s="49">
        <v>0.45</v>
      </c>
      <c r="CG26" s="49">
        <v>8.8000000000000007</v>
      </c>
      <c r="CH26" s="42">
        <v>31003</v>
      </c>
      <c r="CI26" s="48">
        <v>7.0000000000000007E-2</v>
      </c>
      <c r="CJ26" s="49">
        <v>0.08</v>
      </c>
      <c r="CK26" s="49">
        <v>2.2000000000000002</v>
      </c>
      <c r="CL26" s="49">
        <v>22</v>
      </c>
      <c r="CM26" s="49">
        <v>58.44</v>
      </c>
      <c r="CN26" s="49">
        <v>1.05</v>
      </c>
      <c r="CO26" s="49">
        <v>8.1999999999999993</v>
      </c>
      <c r="CP26" s="42">
        <v>812945</v>
      </c>
      <c r="CQ26" s="48">
        <v>9.6000000000000002E-2</v>
      </c>
      <c r="CR26" s="49">
        <v>0.06</v>
      </c>
      <c r="CS26" s="50">
        <v>2.2000000000000002</v>
      </c>
      <c r="CT26" s="51">
        <v>22</v>
      </c>
      <c r="CU26" s="49">
        <v>52.25</v>
      </c>
      <c r="CV26" s="49">
        <v>1</v>
      </c>
      <c r="CW26" s="42">
        <v>79660</v>
      </c>
      <c r="CX26" s="33">
        <v>7.4999999999999997E-2</v>
      </c>
      <c r="CY26" s="25">
        <v>0.03</v>
      </c>
      <c r="CZ26" s="34">
        <v>2.2000000000000002</v>
      </c>
      <c r="DA26" s="35">
        <v>22</v>
      </c>
      <c r="DB26" s="25">
        <v>42.5</v>
      </c>
      <c r="DC26" s="25">
        <v>52.1</v>
      </c>
      <c r="DD26" s="42"/>
      <c r="DE26" s="49"/>
      <c r="DF26" s="49"/>
      <c r="DG26" s="49"/>
      <c r="DH26" s="49"/>
      <c r="DI26" s="49"/>
      <c r="DJ26" s="49"/>
      <c r="DK26" s="49"/>
      <c r="DL26" s="56"/>
      <c r="DM26" s="24">
        <v>32951</v>
      </c>
      <c r="DN26" s="33">
        <v>0.124</v>
      </c>
      <c r="DO26" s="25">
        <v>0.06</v>
      </c>
      <c r="DP26" s="25">
        <v>2.4</v>
      </c>
      <c r="DQ26" s="25">
        <v>24</v>
      </c>
      <c r="DR26" s="25">
        <v>58.9</v>
      </c>
      <c r="DS26" s="25"/>
      <c r="DT26" s="25">
        <v>7.6</v>
      </c>
      <c r="DU26" s="57"/>
      <c r="DV26" s="49"/>
      <c r="DW26" s="49"/>
      <c r="DX26" s="49"/>
      <c r="DY26" s="49"/>
      <c r="DZ26" s="49"/>
      <c r="EA26" s="49"/>
      <c r="EB26" s="49"/>
      <c r="EC26" s="49"/>
      <c r="ED26" s="56"/>
      <c r="EE26" s="42"/>
      <c r="EF26" s="49"/>
      <c r="EG26" s="49"/>
      <c r="EH26" s="49"/>
      <c r="EI26" s="49"/>
      <c r="EJ26" s="49"/>
      <c r="EK26" s="49"/>
      <c r="EL26" s="49"/>
      <c r="EM26" s="58"/>
      <c r="EN26" s="39"/>
      <c r="EO26" s="40">
        <f t="shared" si="4"/>
        <v>46133</v>
      </c>
      <c r="EP26" s="40">
        <v>45978</v>
      </c>
      <c r="EQ26" s="40">
        <v>46120</v>
      </c>
      <c r="ER26" s="40" t="s">
        <v>70</v>
      </c>
      <c r="ES26" s="40"/>
      <c r="ET26" s="40">
        <v>45930</v>
      </c>
      <c r="EU26" s="40">
        <v>46120</v>
      </c>
      <c r="EV26" s="40" t="s">
        <v>71</v>
      </c>
      <c r="EW26" s="40"/>
      <c r="EX26" s="40">
        <v>45992</v>
      </c>
      <c r="EY26" s="40">
        <v>46120</v>
      </c>
      <c r="EZ26" s="40" t="s">
        <v>71</v>
      </c>
      <c r="FA26" s="40"/>
      <c r="FB26" s="40">
        <v>45688</v>
      </c>
      <c r="FC26" s="40">
        <v>46114</v>
      </c>
      <c r="FD26" s="40"/>
      <c r="FE26" s="40">
        <v>46038</v>
      </c>
      <c r="FF26" s="40">
        <v>46055</v>
      </c>
      <c r="FG26" s="40"/>
      <c r="FH26" s="40">
        <v>46055</v>
      </c>
      <c r="FI26" s="40">
        <v>46129</v>
      </c>
      <c r="FJ26" s="40"/>
      <c r="FK26" s="40">
        <v>46037</v>
      </c>
      <c r="FL26" s="40">
        <v>46048</v>
      </c>
      <c r="FM26" s="40"/>
      <c r="FN26" s="40"/>
      <c r="FO26" s="40"/>
      <c r="FP26" s="40" t="s">
        <v>78</v>
      </c>
      <c r="FQ26" s="40">
        <v>46044</v>
      </c>
      <c r="FR26" s="40">
        <v>46047</v>
      </c>
      <c r="FS26" s="40" t="s">
        <v>78</v>
      </c>
      <c r="FT26" s="40">
        <v>46047</v>
      </c>
      <c r="FU26" s="40">
        <v>46056</v>
      </c>
      <c r="FV26" s="40" t="s">
        <v>78</v>
      </c>
      <c r="FW26" s="40">
        <v>46125</v>
      </c>
      <c r="FX26" s="40">
        <v>46130</v>
      </c>
      <c r="FY26" s="40" t="s">
        <v>96</v>
      </c>
      <c r="FZ26" s="40">
        <v>46132</v>
      </c>
      <c r="GA26" s="40">
        <v>46132</v>
      </c>
      <c r="GB26" s="40"/>
      <c r="GC26" s="40">
        <v>46023</v>
      </c>
      <c r="GD26" s="40">
        <v>46130</v>
      </c>
      <c r="GE26" s="40" t="s">
        <v>72</v>
      </c>
      <c r="GF26" s="40">
        <v>46130</v>
      </c>
      <c r="GG26" s="40">
        <v>46132</v>
      </c>
      <c r="GH26" s="40"/>
      <c r="GI26" s="40"/>
      <c r="GJ26" s="40"/>
      <c r="GK26" s="40" t="s">
        <v>80</v>
      </c>
      <c r="GL26" s="40">
        <v>46054</v>
      </c>
      <c r="GM26" s="40">
        <v>46054</v>
      </c>
      <c r="GN26" s="40"/>
      <c r="GO26" s="40"/>
      <c r="GP26" s="40"/>
      <c r="GQ26" s="40" t="s">
        <v>80</v>
      </c>
      <c r="GR26" s="40"/>
      <c r="GS26" s="40"/>
      <c r="GT26" s="3" t="s">
        <v>80</v>
      </c>
    </row>
    <row r="27" spans="2:202" x14ac:dyDescent="0.35">
      <c r="B27" s="41">
        <f t="shared" si="3"/>
        <v>46134</v>
      </c>
      <c r="C27" s="24">
        <v>2545049</v>
      </c>
      <c r="D27" s="49">
        <v>5.4</v>
      </c>
      <c r="E27" s="49">
        <v>0.3</v>
      </c>
      <c r="F27" s="49">
        <v>1.87</v>
      </c>
      <c r="G27" s="25">
        <v>51.72</v>
      </c>
      <c r="H27" s="25">
        <v>2.85</v>
      </c>
      <c r="I27" s="25">
        <v>2.6</v>
      </c>
      <c r="J27" s="25">
        <f t="shared" si="2"/>
        <v>8.3000000000000007</v>
      </c>
      <c r="K27" s="42">
        <v>2402862</v>
      </c>
      <c r="L27" s="25">
        <v>5.54</v>
      </c>
      <c r="M27" s="25">
        <v>0.3</v>
      </c>
      <c r="N27" s="25">
        <v>1.78</v>
      </c>
      <c r="O27" s="25">
        <v>52.35</v>
      </c>
      <c r="P27" s="25">
        <v>2.74</v>
      </c>
      <c r="Q27" s="25">
        <v>2.5</v>
      </c>
      <c r="R27" s="25">
        <f t="shared" si="0"/>
        <v>7.98</v>
      </c>
      <c r="S27" s="26">
        <v>2632188</v>
      </c>
      <c r="T27" s="25">
        <v>5.47</v>
      </c>
      <c r="U27" s="25">
        <v>0.28000000000000003</v>
      </c>
      <c r="V27" s="25">
        <v>1.82</v>
      </c>
      <c r="W27" s="27">
        <v>51.95</v>
      </c>
      <c r="X27" s="25">
        <v>2.86</v>
      </c>
      <c r="Y27" s="25">
        <v>2.38</v>
      </c>
      <c r="Z27" s="25">
        <f t="shared" si="1"/>
        <v>8.1</v>
      </c>
      <c r="AA27" s="42">
        <v>410771</v>
      </c>
      <c r="AB27" s="49">
        <v>88.63</v>
      </c>
      <c r="AC27" s="25">
        <v>0.25</v>
      </c>
      <c r="AD27" s="24">
        <v>545649</v>
      </c>
      <c r="AE27" s="33">
        <v>0.188</v>
      </c>
      <c r="AF27" s="25">
        <v>7.0000000000000007E-2</v>
      </c>
      <c r="AG27" s="34">
        <v>2.2000000000000002</v>
      </c>
      <c r="AH27" s="35">
        <v>22</v>
      </c>
      <c r="AI27" s="25">
        <v>36.6</v>
      </c>
      <c r="AJ27" s="25"/>
      <c r="AK27" s="25">
        <v>50.2</v>
      </c>
      <c r="AL27" s="42">
        <v>554452</v>
      </c>
      <c r="AM27" s="48">
        <v>5.6000000000000001E-2</v>
      </c>
      <c r="AN27" s="49">
        <v>0.04</v>
      </c>
      <c r="AO27" s="50">
        <v>2</v>
      </c>
      <c r="AP27" s="51">
        <v>20</v>
      </c>
      <c r="AQ27" s="49">
        <v>38.520000000000003</v>
      </c>
      <c r="AR27" s="49"/>
      <c r="AS27" s="49">
        <v>53.4</v>
      </c>
      <c r="AT27" s="42">
        <v>454236</v>
      </c>
      <c r="AU27" s="33">
        <v>0.10299999999999999</v>
      </c>
      <c r="AV27" s="25">
        <v>7.0000000000000007E-2</v>
      </c>
      <c r="AW27" s="34">
        <v>2.2999999999999998</v>
      </c>
      <c r="AX27" s="35">
        <v>23</v>
      </c>
      <c r="AY27" s="25">
        <v>55.87</v>
      </c>
      <c r="AZ27" s="25">
        <v>2.06</v>
      </c>
      <c r="BA27" s="34">
        <v>10.199999999999999</v>
      </c>
      <c r="BB27" s="24">
        <v>993</v>
      </c>
      <c r="BC27" s="48"/>
      <c r="BD27" s="49"/>
      <c r="BE27" s="49"/>
      <c r="BF27" s="49"/>
      <c r="BG27" s="49"/>
      <c r="BH27" s="49"/>
      <c r="BI27" s="49"/>
      <c r="BJ27" s="24">
        <v>64813</v>
      </c>
      <c r="BK27" s="33">
        <v>0.122</v>
      </c>
      <c r="BL27" s="25">
        <v>7.0000000000000007E-2</v>
      </c>
      <c r="BM27" s="25">
        <v>2.2000000000000002</v>
      </c>
      <c r="BN27" s="25">
        <v>22</v>
      </c>
      <c r="BO27" s="25">
        <v>49.76</v>
      </c>
      <c r="BP27" s="25">
        <v>1.64</v>
      </c>
      <c r="BQ27" s="25">
        <v>20.6</v>
      </c>
      <c r="BR27" s="42">
        <v>34380</v>
      </c>
      <c r="BS27" s="33">
        <v>0.11</v>
      </c>
      <c r="BT27" s="25">
        <v>7.0000000000000007E-2</v>
      </c>
      <c r="BU27" s="25">
        <v>2.2999999999999998</v>
      </c>
      <c r="BV27" s="25">
        <v>23</v>
      </c>
      <c r="BW27" s="25">
        <v>56.8</v>
      </c>
      <c r="BX27" s="25">
        <v>1.6</v>
      </c>
      <c r="BY27" s="25">
        <v>9.4</v>
      </c>
      <c r="BZ27" s="42">
        <v>288749</v>
      </c>
      <c r="CA27" s="48">
        <v>6.0999999999999999E-2</v>
      </c>
      <c r="CB27" s="49">
        <v>0.03</v>
      </c>
      <c r="CC27" s="50">
        <v>2.2000000000000002</v>
      </c>
      <c r="CD27" s="51">
        <v>22</v>
      </c>
      <c r="CE27" s="49">
        <v>58.44</v>
      </c>
      <c r="CF27" s="49">
        <v>0.45</v>
      </c>
      <c r="CG27" s="49">
        <v>8.8000000000000007</v>
      </c>
      <c r="CH27" s="42">
        <v>201584</v>
      </c>
      <c r="CI27" s="48">
        <v>8.5000000000000006E-2</v>
      </c>
      <c r="CJ27" s="49">
        <v>0.05</v>
      </c>
      <c r="CK27" s="49">
        <v>2.2000000000000002</v>
      </c>
      <c r="CL27" s="49">
        <v>22</v>
      </c>
      <c r="CM27" s="49">
        <v>58.62</v>
      </c>
      <c r="CN27" s="49">
        <v>0.75</v>
      </c>
      <c r="CO27" s="49">
        <v>8.1999999999999993</v>
      </c>
      <c r="CP27" s="42">
        <v>771953</v>
      </c>
      <c r="CQ27" s="48">
        <v>9.6000000000000002E-2</v>
      </c>
      <c r="CR27" s="49">
        <v>0.06</v>
      </c>
      <c r="CS27" s="50">
        <v>2.2000000000000002</v>
      </c>
      <c r="CT27" s="51">
        <v>22</v>
      </c>
      <c r="CU27" s="49">
        <v>52.25</v>
      </c>
      <c r="CV27" s="49">
        <v>1</v>
      </c>
      <c r="CW27" s="42">
        <v>134726</v>
      </c>
      <c r="CX27" s="33">
        <v>6.8000000000000005E-2</v>
      </c>
      <c r="CY27" s="25">
        <v>0.03</v>
      </c>
      <c r="CZ27" s="34">
        <v>2.1</v>
      </c>
      <c r="DA27" s="35">
        <v>21</v>
      </c>
      <c r="DB27" s="25">
        <v>34.950000000000003</v>
      </c>
      <c r="DC27" s="25">
        <v>54</v>
      </c>
      <c r="DD27" s="42"/>
      <c r="DE27" s="49"/>
      <c r="DF27" s="49"/>
      <c r="DG27" s="49"/>
      <c r="DH27" s="49"/>
      <c r="DI27" s="49"/>
      <c r="DJ27" s="49"/>
      <c r="DK27" s="49"/>
      <c r="DL27" s="56"/>
      <c r="DM27" s="24">
        <v>32951</v>
      </c>
      <c r="DN27" s="33">
        <v>0.125</v>
      </c>
      <c r="DO27" s="25">
        <v>0.06</v>
      </c>
      <c r="DP27" s="25">
        <v>2.4</v>
      </c>
      <c r="DQ27" s="25">
        <v>24</v>
      </c>
      <c r="DR27" s="25">
        <v>58.9</v>
      </c>
      <c r="DS27" s="25"/>
      <c r="DT27" s="25">
        <v>7.6</v>
      </c>
      <c r="DU27" s="57"/>
      <c r="DV27" s="49"/>
      <c r="DW27" s="49"/>
      <c r="DX27" s="49"/>
      <c r="DY27" s="49"/>
      <c r="DZ27" s="49"/>
      <c r="EA27" s="49"/>
      <c r="EB27" s="49"/>
      <c r="EC27" s="49"/>
      <c r="ED27" s="56"/>
      <c r="EE27" s="42"/>
      <c r="EF27" s="49"/>
      <c r="EG27" s="49"/>
      <c r="EH27" s="49"/>
      <c r="EI27" s="49"/>
      <c r="EJ27" s="49"/>
      <c r="EK27" s="49"/>
      <c r="EL27" s="49"/>
      <c r="EM27" s="58"/>
      <c r="EN27" s="39"/>
      <c r="EO27" s="40">
        <f t="shared" si="4"/>
        <v>46134</v>
      </c>
      <c r="EP27" s="40">
        <v>45978</v>
      </c>
      <c r="EQ27" s="40">
        <v>46120</v>
      </c>
      <c r="ER27" s="40" t="s">
        <v>70</v>
      </c>
      <c r="ES27" s="40"/>
      <c r="ET27" s="40">
        <v>45930</v>
      </c>
      <c r="EU27" s="40">
        <v>46120</v>
      </c>
      <c r="EV27" s="40" t="s">
        <v>71</v>
      </c>
      <c r="EW27" s="40" t="s">
        <v>77</v>
      </c>
      <c r="EX27" s="40">
        <v>45992</v>
      </c>
      <c r="EY27" s="40">
        <v>46120</v>
      </c>
      <c r="EZ27" s="40" t="s">
        <v>71</v>
      </c>
      <c r="FA27" s="40"/>
      <c r="FB27" s="40">
        <v>45688</v>
      </c>
      <c r="FC27" s="40">
        <v>46133</v>
      </c>
      <c r="FD27" s="40"/>
      <c r="FE27" s="40">
        <v>46038</v>
      </c>
      <c r="FF27" s="40">
        <v>46055</v>
      </c>
      <c r="FG27" s="40"/>
      <c r="FH27" s="40">
        <v>46055</v>
      </c>
      <c r="FI27" s="40">
        <v>46129</v>
      </c>
      <c r="FJ27" s="40"/>
      <c r="FK27" s="40">
        <v>46037</v>
      </c>
      <c r="FL27" s="40">
        <v>46048</v>
      </c>
      <c r="FM27" s="40"/>
      <c r="FN27" s="40"/>
      <c r="FO27" s="40"/>
      <c r="FP27" s="40" t="s">
        <v>78</v>
      </c>
      <c r="FQ27" s="40">
        <v>46044</v>
      </c>
      <c r="FR27" s="40">
        <v>46133</v>
      </c>
      <c r="FS27" s="40"/>
      <c r="FT27" s="40">
        <v>46047</v>
      </c>
      <c r="FU27" s="40">
        <v>46056</v>
      </c>
      <c r="FV27" s="40" t="s">
        <v>78</v>
      </c>
      <c r="FW27" s="40">
        <v>46125</v>
      </c>
      <c r="FX27" s="40">
        <v>46130</v>
      </c>
      <c r="FY27" s="40" t="s">
        <v>97</v>
      </c>
      <c r="FZ27" s="40">
        <v>46132</v>
      </c>
      <c r="GA27" s="40">
        <v>46133</v>
      </c>
      <c r="GB27" s="40"/>
      <c r="GC27" s="40">
        <v>46023</v>
      </c>
      <c r="GD27" s="40">
        <v>46133</v>
      </c>
      <c r="GE27" s="40" t="s">
        <v>72</v>
      </c>
      <c r="GF27" s="40">
        <v>46130</v>
      </c>
      <c r="GG27" s="40">
        <v>46133</v>
      </c>
      <c r="GH27" s="40"/>
      <c r="GI27" s="40"/>
      <c r="GJ27" s="40"/>
      <c r="GK27" s="40" t="s">
        <v>80</v>
      </c>
      <c r="GL27" s="40">
        <v>46054</v>
      </c>
      <c r="GM27" s="40">
        <v>46054</v>
      </c>
      <c r="GN27" s="40"/>
      <c r="GO27" s="40"/>
      <c r="GP27" s="40"/>
      <c r="GQ27" s="40" t="s">
        <v>80</v>
      </c>
      <c r="GR27" s="40"/>
      <c r="GS27" s="40"/>
      <c r="GT27" s="3" t="s">
        <v>80</v>
      </c>
    </row>
    <row r="28" spans="2:202" x14ac:dyDescent="0.35">
      <c r="B28" s="41">
        <f t="shared" si="3"/>
        <v>46135</v>
      </c>
      <c r="C28" s="24">
        <v>2545049</v>
      </c>
      <c r="D28" s="49">
        <v>5.42</v>
      </c>
      <c r="E28" s="49">
        <v>0.3</v>
      </c>
      <c r="F28" s="49">
        <v>1.87</v>
      </c>
      <c r="G28" s="25">
        <v>51.72</v>
      </c>
      <c r="H28" s="25">
        <v>2.85</v>
      </c>
      <c r="I28" s="25">
        <v>2.6</v>
      </c>
      <c r="J28" s="25">
        <f t="shared" si="2"/>
        <v>8.3000000000000007</v>
      </c>
      <c r="K28" s="42">
        <v>2102662</v>
      </c>
      <c r="L28" s="25">
        <v>5.55</v>
      </c>
      <c r="M28" s="25">
        <v>0.3</v>
      </c>
      <c r="N28" s="25">
        <v>1.78</v>
      </c>
      <c r="O28" s="25">
        <v>52.35</v>
      </c>
      <c r="P28" s="25">
        <v>2.74</v>
      </c>
      <c r="Q28" s="25">
        <v>2.5</v>
      </c>
      <c r="R28" s="25">
        <f t="shared" si="0"/>
        <v>7.98</v>
      </c>
      <c r="S28" s="26">
        <v>2632188</v>
      </c>
      <c r="T28" s="25">
        <v>5.47</v>
      </c>
      <c r="U28" s="25">
        <v>0.28000000000000003</v>
      </c>
      <c r="V28" s="25">
        <v>1.82</v>
      </c>
      <c r="W28" s="27">
        <v>51.95</v>
      </c>
      <c r="X28" s="25">
        <v>2.86</v>
      </c>
      <c r="Y28" s="25">
        <v>2.38</v>
      </c>
      <c r="Z28" s="25">
        <f t="shared" si="1"/>
        <v>8.1</v>
      </c>
      <c r="AA28" s="42">
        <v>422716</v>
      </c>
      <c r="AB28" s="49">
        <v>88.49</v>
      </c>
      <c r="AC28" s="49">
        <v>0.25</v>
      </c>
      <c r="AD28" s="24">
        <v>545649</v>
      </c>
      <c r="AE28" s="33">
        <v>0.193</v>
      </c>
      <c r="AF28" s="25">
        <v>7.0000000000000007E-2</v>
      </c>
      <c r="AG28" s="34">
        <v>2.2000000000000002</v>
      </c>
      <c r="AH28" s="35">
        <v>22</v>
      </c>
      <c r="AI28" s="25">
        <v>36.6</v>
      </c>
      <c r="AJ28" s="25"/>
      <c r="AK28" s="25">
        <v>50.2</v>
      </c>
      <c r="AL28" s="42">
        <v>554452</v>
      </c>
      <c r="AM28" s="48">
        <v>5.7000000000000002E-2</v>
      </c>
      <c r="AN28" s="49">
        <v>0.04</v>
      </c>
      <c r="AO28" s="50">
        <v>2</v>
      </c>
      <c r="AP28" s="51">
        <v>20</v>
      </c>
      <c r="AQ28" s="49">
        <v>38.520000000000003</v>
      </c>
      <c r="AR28" s="49"/>
      <c r="AS28" s="49">
        <v>53.4</v>
      </c>
      <c r="AT28" s="42">
        <v>421849</v>
      </c>
      <c r="AU28" s="33">
        <v>0.105</v>
      </c>
      <c r="AV28" s="25">
        <v>7.0000000000000007E-2</v>
      </c>
      <c r="AW28" s="34">
        <v>2.2999999999999998</v>
      </c>
      <c r="AX28" s="35">
        <v>23</v>
      </c>
      <c r="AY28" s="25">
        <v>55.87</v>
      </c>
      <c r="AZ28" s="25">
        <v>2.06</v>
      </c>
      <c r="BA28" s="34">
        <v>10.199999999999999</v>
      </c>
      <c r="BB28" s="24">
        <v>993</v>
      </c>
      <c r="BC28" s="48"/>
      <c r="BD28" s="49"/>
      <c r="BE28" s="49"/>
      <c r="BF28" s="49"/>
      <c r="BG28" s="49"/>
      <c r="BH28" s="49"/>
      <c r="BI28" s="49"/>
      <c r="BJ28" s="24">
        <v>97200</v>
      </c>
      <c r="BK28" s="33">
        <v>0.11</v>
      </c>
      <c r="BL28" s="25">
        <v>7.0000000000000007E-2</v>
      </c>
      <c r="BM28" s="25">
        <v>2.2999999999999998</v>
      </c>
      <c r="BN28" s="25">
        <v>23</v>
      </c>
      <c r="BO28" s="25">
        <v>55.87</v>
      </c>
      <c r="BP28" s="25">
        <v>2.06</v>
      </c>
      <c r="BQ28" s="25">
        <v>10.199999999999999</v>
      </c>
      <c r="BR28" s="42">
        <v>34380</v>
      </c>
      <c r="BS28" s="33">
        <v>0.111</v>
      </c>
      <c r="BT28" s="25">
        <v>7.0000000000000007E-2</v>
      </c>
      <c r="BU28" s="25">
        <v>2.2999999999999998</v>
      </c>
      <c r="BV28" s="25">
        <v>23</v>
      </c>
      <c r="BW28" s="25">
        <v>56.8</v>
      </c>
      <c r="BX28" s="25">
        <v>1.6</v>
      </c>
      <c r="BY28" s="25">
        <v>9.4</v>
      </c>
      <c r="BZ28" s="42">
        <v>222509</v>
      </c>
      <c r="CA28" s="48">
        <v>6.3E-2</v>
      </c>
      <c r="CB28" s="49">
        <v>0.04</v>
      </c>
      <c r="CC28" s="50">
        <v>2.2000000000000002</v>
      </c>
      <c r="CD28" s="51">
        <v>22</v>
      </c>
      <c r="CE28" s="49">
        <v>58.44</v>
      </c>
      <c r="CF28" s="49">
        <v>0.45</v>
      </c>
      <c r="CG28" s="49">
        <v>8.8000000000000007</v>
      </c>
      <c r="CH28" s="42">
        <v>357368</v>
      </c>
      <c r="CI28" s="48">
        <v>8.8999999999999996E-2</v>
      </c>
      <c r="CJ28" s="49">
        <v>0.05</v>
      </c>
      <c r="CK28" s="49">
        <v>2.2999999999999998</v>
      </c>
      <c r="CL28" s="49">
        <v>23</v>
      </c>
      <c r="CM28" s="49">
        <v>57.1</v>
      </c>
      <c r="CN28" s="49">
        <v>0.45</v>
      </c>
      <c r="CO28" s="49">
        <v>9.1999999999999993</v>
      </c>
      <c r="CP28" s="42">
        <v>810575</v>
      </c>
      <c r="CQ28" s="48">
        <v>7.8E-2</v>
      </c>
      <c r="CR28" s="49">
        <v>0.04</v>
      </c>
      <c r="CS28" s="50">
        <v>2</v>
      </c>
      <c r="CT28" s="51">
        <v>20</v>
      </c>
      <c r="CU28" s="49">
        <v>52.2</v>
      </c>
      <c r="CV28" s="49">
        <v>0.8</v>
      </c>
      <c r="CW28" s="42">
        <v>187828</v>
      </c>
      <c r="CX28" s="48">
        <v>7.0999999999999994E-2</v>
      </c>
      <c r="CY28" s="49">
        <v>0.03</v>
      </c>
      <c r="CZ28" s="50">
        <v>2.1</v>
      </c>
      <c r="DA28" s="51">
        <v>21</v>
      </c>
      <c r="DB28" s="25">
        <v>34.6</v>
      </c>
      <c r="DC28" s="25">
        <v>54.13</v>
      </c>
      <c r="DD28" s="42"/>
      <c r="DE28" s="49"/>
      <c r="DF28" s="49"/>
      <c r="DG28" s="49"/>
      <c r="DH28" s="49"/>
      <c r="DI28" s="49"/>
      <c r="DJ28" s="49"/>
      <c r="DK28" s="49"/>
      <c r="DL28" s="56"/>
      <c r="DM28" s="24">
        <v>32951</v>
      </c>
      <c r="DN28" s="33">
        <v>0.125</v>
      </c>
      <c r="DO28" s="25">
        <v>0.06</v>
      </c>
      <c r="DP28" s="25">
        <v>2.4</v>
      </c>
      <c r="DQ28" s="25">
        <v>24</v>
      </c>
      <c r="DR28" s="25">
        <v>58.9</v>
      </c>
      <c r="DS28" s="25"/>
      <c r="DT28" s="25">
        <v>7.6</v>
      </c>
      <c r="DU28" s="57"/>
      <c r="DV28" s="49"/>
      <c r="DW28" s="49"/>
      <c r="DX28" s="49"/>
      <c r="DY28" s="49"/>
      <c r="DZ28" s="49"/>
      <c r="EA28" s="49"/>
      <c r="EB28" s="49"/>
      <c r="EC28" s="49"/>
      <c r="ED28" s="56"/>
      <c r="EE28" s="42"/>
      <c r="EF28" s="49"/>
      <c r="EG28" s="49"/>
      <c r="EH28" s="49"/>
      <c r="EI28" s="49"/>
      <c r="EJ28" s="49"/>
      <c r="EK28" s="49"/>
      <c r="EL28" s="49"/>
      <c r="EM28" s="58"/>
      <c r="EN28" s="39"/>
      <c r="EO28" s="40">
        <f t="shared" si="4"/>
        <v>46135</v>
      </c>
      <c r="EP28" s="40">
        <v>45978</v>
      </c>
      <c r="EQ28" s="40">
        <v>46120</v>
      </c>
      <c r="ER28" s="40" t="s">
        <v>70</v>
      </c>
      <c r="ES28" s="40"/>
      <c r="ET28" s="40">
        <v>45930</v>
      </c>
      <c r="EU28" s="40">
        <v>46120</v>
      </c>
      <c r="EV28" s="40" t="s">
        <v>71</v>
      </c>
      <c r="EW28" s="40" t="s">
        <v>77</v>
      </c>
      <c r="EX28" s="40">
        <v>45992</v>
      </c>
      <c r="EY28" s="40">
        <v>46120</v>
      </c>
      <c r="EZ28" s="40" t="s">
        <v>71</v>
      </c>
      <c r="FA28" s="40"/>
      <c r="FB28" s="40">
        <v>45688</v>
      </c>
      <c r="FC28" s="40">
        <v>46134</v>
      </c>
      <c r="FD28" s="40"/>
      <c r="FE28" s="40">
        <v>46038</v>
      </c>
      <c r="FF28" s="40">
        <v>46055</v>
      </c>
      <c r="FG28" s="40"/>
      <c r="FH28" s="40">
        <v>46055</v>
      </c>
      <c r="FI28" s="40">
        <v>46129</v>
      </c>
      <c r="FJ28" s="40"/>
      <c r="FK28" s="40">
        <v>46037</v>
      </c>
      <c r="FL28" s="40">
        <v>46048</v>
      </c>
      <c r="FM28" s="40"/>
      <c r="FN28" s="40"/>
      <c r="FO28" s="40"/>
      <c r="FP28" s="40" t="s">
        <v>78</v>
      </c>
      <c r="FQ28" s="40">
        <v>46044</v>
      </c>
      <c r="FR28" s="40">
        <v>46134</v>
      </c>
      <c r="FS28" s="40"/>
      <c r="FT28" s="40">
        <v>46047</v>
      </c>
      <c r="FU28" s="40">
        <v>46056</v>
      </c>
      <c r="FV28" s="40" t="s">
        <v>78</v>
      </c>
      <c r="FW28" s="40">
        <v>46125</v>
      </c>
      <c r="FX28" s="40">
        <v>46130</v>
      </c>
      <c r="FY28" s="40" t="s">
        <v>98</v>
      </c>
      <c r="FZ28" s="40">
        <v>46132</v>
      </c>
      <c r="GA28" s="40">
        <v>46134</v>
      </c>
      <c r="GB28" s="40"/>
      <c r="GC28" s="40">
        <v>46023</v>
      </c>
      <c r="GD28" s="40">
        <v>46134</v>
      </c>
      <c r="GE28" s="40" t="s">
        <v>72</v>
      </c>
      <c r="GF28" s="40">
        <v>46130</v>
      </c>
      <c r="GG28" s="40">
        <v>46134</v>
      </c>
      <c r="GH28" s="40"/>
      <c r="GI28" s="40"/>
      <c r="GJ28" s="40"/>
      <c r="GK28" s="40" t="s">
        <v>80</v>
      </c>
      <c r="GL28" s="40">
        <v>46054</v>
      </c>
      <c r="GM28" s="40">
        <v>46054</v>
      </c>
      <c r="GN28" s="40"/>
      <c r="GO28" s="40"/>
      <c r="GP28" s="40"/>
      <c r="GQ28" s="40" t="s">
        <v>80</v>
      </c>
      <c r="GR28" s="40"/>
      <c r="GS28" s="40"/>
      <c r="GT28" s="3" t="s">
        <v>80</v>
      </c>
    </row>
    <row r="29" spans="2:202" x14ac:dyDescent="0.35">
      <c r="B29" s="41">
        <f t="shared" si="3"/>
        <v>46136</v>
      </c>
      <c r="C29" s="24">
        <v>2545049</v>
      </c>
      <c r="D29" s="49">
        <v>5.42</v>
      </c>
      <c r="E29" s="49">
        <v>0.3</v>
      </c>
      <c r="F29" s="49">
        <v>1.87</v>
      </c>
      <c r="G29" s="25">
        <v>51.72</v>
      </c>
      <c r="H29" s="25">
        <v>2.85</v>
      </c>
      <c r="I29" s="25">
        <v>2.6</v>
      </c>
      <c r="J29" s="25">
        <f t="shared" si="2"/>
        <v>8.3000000000000007</v>
      </c>
      <c r="K29" s="42">
        <v>2214512</v>
      </c>
      <c r="L29" s="25">
        <v>4.7</v>
      </c>
      <c r="M29" s="25">
        <v>0.3</v>
      </c>
      <c r="N29" s="25">
        <v>1.45</v>
      </c>
      <c r="O29" s="25">
        <v>52.96</v>
      </c>
      <c r="P29" s="25">
        <v>2.74</v>
      </c>
      <c r="Q29" s="25">
        <v>2.5</v>
      </c>
      <c r="R29" s="25">
        <f t="shared" si="0"/>
        <v>7.98</v>
      </c>
      <c r="S29" s="26">
        <v>2632188</v>
      </c>
      <c r="T29" s="25">
        <v>5.48</v>
      </c>
      <c r="U29" s="25">
        <v>0.28000000000000003</v>
      </c>
      <c r="V29" s="25">
        <v>1.82</v>
      </c>
      <c r="W29" s="27">
        <v>51.95</v>
      </c>
      <c r="X29" s="25">
        <v>2.86</v>
      </c>
      <c r="Y29" s="25">
        <v>2.38</v>
      </c>
      <c r="Z29" s="25">
        <f t="shared" si="1"/>
        <v>8.1</v>
      </c>
      <c r="AA29" s="42">
        <v>442623</v>
      </c>
      <c r="AB29" s="49">
        <v>88.49</v>
      </c>
      <c r="AC29" s="49">
        <v>0.25</v>
      </c>
      <c r="AD29" s="24">
        <v>545649</v>
      </c>
      <c r="AE29" s="33">
        <v>0.19400000000000001</v>
      </c>
      <c r="AF29" s="25">
        <v>7.0000000000000007E-2</v>
      </c>
      <c r="AG29" s="34">
        <v>2.2000000000000002</v>
      </c>
      <c r="AH29" s="35">
        <v>22</v>
      </c>
      <c r="AI29" s="25">
        <v>36.6</v>
      </c>
      <c r="AJ29" s="25"/>
      <c r="AK29" s="25">
        <v>50.2</v>
      </c>
      <c r="AL29" s="42">
        <v>554452</v>
      </c>
      <c r="AM29" s="48">
        <v>5.8000000000000003E-2</v>
      </c>
      <c r="AN29" s="49">
        <v>0.04</v>
      </c>
      <c r="AO29" s="50">
        <v>2</v>
      </c>
      <c r="AP29" s="51">
        <v>20</v>
      </c>
      <c r="AQ29" s="49">
        <v>38.520000000000003</v>
      </c>
      <c r="AR29" s="49"/>
      <c r="AS29" s="49">
        <v>53.4</v>
      </c>
      <c r="AT29" s="42">
        <v>8199</v>
      </c>
      <c r="AU29" s="33">
        <v>0.108</v>
      </c>
      <c r="AV29" s="25">
        <v>7.0000000000000007E-2</v>
      </c>
      <c r="AW29" s="34">
        <v>2.2999999999999998</v>
      </c>
      <c r="AX29" s="35">
        <v>23</v>
      </c>
      <c r="AY29" s="25">
        <v>55.87</v>
      </c>
      <c r="AZ29" s="25">
        <v>2.06</v>
      </c>
      <c r="BA29" s="34">
        <v>10.199999999999999</v>
      </c>
      <c r="BB29" s="24">
        <v>993</v>
      </c>
      <c r="BC29" s="48"/>
      <c r="BD29" s="49"/>
      <c r="BE29" s="49"/>
      <c r="BF29" s="49"/>
      <c r="BG29" s="49"/>
      <c r="BH29" s="49"/>
      <c r="BI29" s="49"/>
      <c r="BJ29" s="24">
        <v>97200</v>
      </c>
      <c r="BK29" s="33">
        <v>0.108</v>
      </c>
      <c r="BL29" s="25">
        <v>7.0000000000000007E-2</v>
      </c>
      <c r="BM29" s="25">
        <v>2.2999999999999998</v>
      </c>
      <c r="BN29" s="25">
        <v>23</v>
      </c>
      <c r="BO29" s="25">
        <v>55.87</v>
      </c>
      <c r="BP29" s="25">
        <v>2.06</v>
      </c>
      <c r="BQ29" s="25">
        <v>10.199999999999999</v>
      </c>
      <c r="BR29" s="42">
        <v>34380</v>
      </c>
      <c r="BS29" s="33">
        <v>0.112</v>
      </c>
      <c r="BT29" s="25">
        <v>7.0000000000000007E-2</v>
      </c>
      <c r="BU29" s="25">
        <v>2.2999999999999998</v>
      </c>
      <c r="BV29" s="25">
        <v>23</v>
      </c>
      <c r="BW29" s="25">
        <v>56.8</v>
      </c>
      <c r="BX29" s="25">
        <v>1.6</v>
      </c>
      <c r="BY29" s="25">
        <v>9.4</v>
      </c>
      <c r="BZ29" s="42">
        <v>193637</v>
      </c>
      <c r="CA29" s="48">
        <v>6.5000000000000002E-2</v>
      </c>
      <c r="CB29" s="49">
        <v>0.04</v>
      </c>
      <c r="CC29" s="50">
        <v>2.2000000000000002</v>
      </c>
      <c r="CD29" s="51">
        <v>22</v>
      </c>
      <c r="CE29" s="49">
        <v>58.44</v>
      </c>
      <c r="CF29" s="49">
        <v>0.45</v>
      </c>
      <c r="CG29" s="49">
        <v>8.8000000000000007</v>
      </c>
      <c r="CH29" s="42">
        <v>541515</v>
      </c>
      <c r="CI29" s="48">
        <v>8.3000000000000004E-2</v>
      </c>
      <c r="CJ29" s="49">
        <v>0.04</v>
      </c>
      <c r="CK29" s="49">
        <v>2.2000000000000002</v>
      </c>
      <c r="CL29" s="49">
        <v>22</v>
      </c>
      <c r="CM29" s="49">
        <v>57.35</v>
      </c>
      <c r="CN29" s="49">
        <v>0.45</v>
      </c>
      <c r="CO29" s="49">
        <v>9</v>
      </c>
      <c r="CP29" s="42">
        <v>846473</v>
      </c>
      <c r="CQ29" s="48">
        <v>6.3E-2</v>
      </c>
      <c r="CR29" s="49">
        <v>0.03</v>
      </c>
      <c r="CS29" s="50">
        <v>2.1</v>
      </c>
      <c r="CT29" s="51">
        <v>21</v>
      </c>
      <c r="CU29" s="49">
        <v>52.45</v>
      </c>
      <c r="CV29" s="49">
        <v>0.5</v>
      </c>
      <c r="CW29" s="42">
        <v>240428</v>
      </c>
      <c r="CX29" s="48">
        <v>6.9000000000000006E-2</v>
      </c>
      <c r="CY29" s="49">
        <v>0.03</v>
      </c>
      <c r="CZ29" s="50">
        <v>2.1</v>
      </c>
      <c r="DA29" s="51">
        <v>21</v>
      </c>
      <c r="DB29" s="25">
        <v>34.5</v>
      </c>
      <c r="DC29" s="25">
        <v>54.2</v>
      </c>
      <c r="DD29" s="42"/>
      <c r="DE29" s="49"/>
      <c r="DF29" s="49"/>
      <c r="DG29" s="49"/>
      <c r="DH29" s="49"/>
      <c r="DI29" s="49"/>
      <c r="DJ29" s="49"/>
      <c r="DK29" s="49"/>
      <c r="DL29" s="56"/>
      <c r="DM29" s="24">
        <v>32951</v>
      </c>
      <c r="DN29" s="33">
        <v>0.126</v>
      </c>
      <c r="DO29" s="25">
        <v>0.06</v>
      </c>
      <c r="DP29" s="25">
        <v>2.4</v>
      </c>
      <c r="DQ29" s="25">
        <v>24</v>
      </c>
      <c r="DR29" s="25">
        <v>58.9</v>
      </c>
      <c r="DS29" s="25"/>
      <c r="DT29" s="25">
        <v>7.6</v>
      </c>
      <c r="DU29" s="57"/>
      <c r="DV29" s="49"/>
      <c r="DW29" s="49"/>
      <c r="DX29" s="49"/>
      <c r="DY29" s="49"/>
      <c r="DZ29" s="49"/>
      <c r="EA29" s="49"/>
      <c r="EB29" s="49"/>
      <c r="EC29" s="49"/>
      <c r="ED29" s="56"/>
      <c r="EE29" s="42"/>
      <c r="EF29" s="49"/>
      <c r="EG29" s="49"/>
      <c r="EH29" s="49"/>
      <c r="EI29" s="49"/>
      <c r="EJ29" s="49"/>
      <c r="EK29" s="49"/>
      <c r="EL29" s="49"/>
      <c r="EM29" s="58"/>
      <c r="EN29" s="39"/>
      <c r="EO29" s="40">
        <f t="shared" si="4"/>
        <v>46136</v>
      </c>
      <c r="EP29" s="40">
        <v>45978</v>
      </c>
      <c r="EQ29" s="40">
        <v>46120</v>
      </c>
      <c r="ER29" s="40" t="s">
        <v>70</v>
      </c>
      <c r="ES29" s="40"/>
      <c r="ET29" s="40">
        <v>45930</v>
      </c>
      <c r="EU29" s="40">
        <v>46135</v>
      </c>
      <c r="EV29" s="40" t="s">
        <v>99</v>
      </c>
      <c r="EW29" s="40" t="s">
        <v>77</v>
      </c>
      <c r="EX29" s="40">
        <v>45992</v>
      </c>
      <c r="EY29" s="40">
        <v>46120</v>
      </c>
      <c r="EZ29" s="40" t="s">
        <v>71</v>
      </c>
      <c r="FA29" s="40"/>
      <c r="FB29" s="40">
        <v>45688</v>
      </c>
      <c r="FC29" s="40">
        <v>46135</v>
      </c>
      <c r="FD29" s="40"/>
      <c r="FE29" s="40">
        <v>46038</v>
      </c>
      <c r="FF29" s="40">
        <v>46055</v>
      </c>
      <c r="FG29" s="40"/>
      <c r="FH29" s="40">
        <v>46055</v>
      </c>
      <c r="FI29" s="40">
        <v>46129</v>
      </c>
      <c r="FJ29" s="40"/>
      <c r="FK29" s="40">
        <v>46037</v>
      </c>
      <c r="FL29" s="40">
        <v>46048</v>
      </c>
      <c r="FM29" s="40" t="s">
        <v>78</v>
      </c>
      <c r="FN29" s="40"/>
      <c r="FO29" s="40"/>
      <c r="FP29" s="40" t="s">
        <v>78</v>
      </c>
      <c r="FQ29" s="40">
        <v>46044</v>
      </c>
      <c r="FR29" s="40">
        <v>46134</v>
      </c>
      <c r="FS29" s="40" t="s">
        <v>78</v>
      </c>
      <c r="FT29" s="40">
        <v>46047</v>
      </c>
      <c r="FU29" s="40">
        <v>46056</v>
      </c>
      <c r="FV29" s="40" t="s">
        <v>78</v>
      </c>
      <c r="FW29" s="40">
        <v>46125</v>
      </c>
      <c r="FX29" s="40">
        <v>46130</v>
      </c>
      <c r="FY29" s="40" t="s">
        <v>100</v>
      </c>
      <c r="FZ29" s="40">
        <v>46132</v>
      </c>
      <c r="GA29" s="40">
        <v>46135</v>
      </c>
      <c r="GB29" s="40"/>
      <c r="GC29" s="40">
        <v>46023</v>
      </c>
      <c r="GD29" s="40">
        <v>46135</v>
      </c>
      <c r="GE29" s="40" t="s">
        <v>72</v>
      </c>
      <c r="GF29" s="40">
        <v>46130</v>
      </c>
      <c r="GG29" s="40">
        <v>46135</v>
      </c>
      <c r="GH29" s="40"/>
      <c r="GI29" s="40"/>
      <c r="GJ29" s="40"/>
      <c r="GK29" s="40" t="s">
        <v>80</v>
      </c>
      <c r="GL29" s="40">
        <v>46054</v>
      </c>
      <c r="GM29" s="40">
        <v>46054</v>
      </c>
      <c r="GN29" s="40"/>
      <c r="GO29" s="40"/>
      <c r="GP29" s="40"/>
      <c r="GQ29" s="40" t="s">
        <v>80</v>
      </c>
      <c r="GR29" s="40"/>
      <c r="GS29" s="40"/>
      <c r="GT29" s="3" t="s">
        <v>80</v>
      </c>
    </row>
    <row r="30" spans="2:202" x14ac:dyDescent="0.35">
      <c r="B30" s="41">
        <f t="shared" si="3"/>
        <v>46137</v>
      </c>
      <c r="C30" s="24">
        <v>2545049</v>
      </c>
      <c r="D30" s="49">
        <v>5.42</v>
      </c>
      <c r="E30" s="49">
        <v>0.3</v>
      </c>
      <c r="F30" s="49">
        <v>1.87</v>
      </c>
      <c r="G30" s="25">
        <v>51.72</v>
      </c>
      <c r="H30" s="25">
        <v>2.85</v>
      </c>
      <c r="I30" s="25">
        <v>2.6</v>
      </c>
      <c r="J30" s="25">
        <f t="shared" si="2"/>
        <v>8.3000000000000007</v>
      </c>
      <c r="K30" s="42">
        <v>1990291</v>
      </c>
      <c r="L30" s="25">
        <v>4.5</v>
      </c>
      <c r="M30" s="25">
        <v>0.3</v>
      </c>
      <c r="N30" s="25">
        <v>1.45</v>
      </c>
      <c r="O30" s="25">
        <v>52.96</v>
      </c>
      <c r="P30" s="25">
        <v>2.74</v>
      </c>
      <c r="Q30" s="25">
        <v>2.5</v>
      </c>
      <c r="R30" s="25">
        <f t="shared" si="0"/>
        <v>7.98</v>
      </c>
      <c r="S30" s="26">
        <v>2632188</v>
      </c>
      <c r="T30" s="25">
        <v>5.48</v>
      </c>
      <c r="U30" s="25">
        <v>0.28000000000000003</v>
      </c>
      <c r="V30" s="25">
        <v>1.82</v>
      </c>
      <c r="W30" s="27">
        <v>51.95</v>
      </c>
      <c r="X30" s="25">
        <v>2.86</v>
      </c>
      <c r="Y30" s="25">
        <v>2.38</v>
      </c>
      <c r="Z30" s="25">
        <f t="shared" si="1"/>
        <v>8.1</v>
      </c>
      <c r="AA30" s="42">
        <v>466909</v>
      </c>
      <c r="AB30" s="49">
        <v>88.71</v>
      </c>
      <c r="AC30" s="49">
        <v>0.25</v>
      </c>
      <c r="AD30" s="24">
        <v>545649</v>
      </c>
      <c r="AE30" s="33">
        <v>0.19700000000000001</v>
      </c>
      <c r="AF30" s="25">
        <v>7.0000000000000007E-2</v>
      </c>
      <c r="AG30" s="34">
        <v>2.2000000000000002</v>
      </c>
      <c r="AH30" s="35">
        <v>22</v>
      </c>
      <c r="AI30" s="25">
        <v>36.6</v>
      </c>
      <c r="AJ30" s="25"/>
      <c r="AK30" s="25">
        <v>50.2</v>
      </c>
      <c r="AL30" s="42">
        <v>554452</v>
      </c>
      <c r="AM30" s="48">
        <v>0.06</v>
      </c>
      <c r="AN30" s="49">
        <v>0.04</v>
      </c>
      <c r="AO30" s="50">
        <v>2</v>
      </c>
      <c r="AP30" s="51">
        <v>20</v>
      </c>
      <c r="AQ30" s="49">
        <v>38.520000000000003</v>
      </c>
      <c r="AR30" s="49"/>
      <c r="AS30" s="49">
        <v>53.4</v>
      </c>
      <c r="AT30" s="42">
        <v>4920</v>
      </c>
      <c r="AU30" s="33">
        <v>0.11</v>
      </c>
      <c r="AV30" s="25">
        <v>7.0000000000000007E-2</v>
      </c>
      <c r="AW30" s="34">
        <v>2.2999999999999998</v>
      </c>
      <c r="AX30" s="35">
        <v>23</v>
      </c>
      <c r="AY30" s="25">
        <v>55.87</v>
      </c>
      <c r="AZ30" s="25">
        <v>2.06</v>
      </c>
      <c r="BA30" s="34">
        <v>10.199999999999999</v>
      </c>
      <c r="BB30" s="24">
        <v>993</v>
      </c>
      <c r="BC30" s="48"/>
      <c r="BD30" s="49"/>
      <c r="BE30" s="49"/>
      <c r="BF30" s="49"/>
      <c r="BG30" s="49"/>
      <c r="BH30" s="49"/>
      <c r="BI30" s="49"/>
      <c r="BJ30" s="24">
        <v>97200</v>
      </c>
      <c r="BK30" s="33">
        <v>0.109</v>
      </c>
      <c r="BL30" s="25">
        <v>7.0000000000000007E-2</v>
      </c>
      <c r="BM30" s="25">
        <v>2.2999999999999998</v>
      </c>
      <c r="BN30" s="25">
        <v>23</v>
      </c>
      <c r="BO30" s="25">
        <v>55.87</v>
      </c>
      <c r="BP30" s="25">
        <v>2.06</v>
      </c>
      <c r="BQ30" s="25">
        <v>10.199999999999999</v>
      </c>
      <c r="BR30" s="42">
        <v>34380</v>
      </c>
      <c r="BS30" s="33">
        <v>0.114</v>
      </c>
      <c r="BT30" s="25">
        <v>0.08</v>
      </c>
      <c r="BU30" s="25">
        <v>2.2999999999999998</v>
      </c>
      <c r="BV30" s="25">
        <v>23</v>
      </c>
      <c r="BW30" s="25">
        <v>50.33</v>
      </c>
      <c r="BX30" s="25">
        <v>1.85</v>
      </c>
      <c r="BY30" s="25">
        <v>19.399999999999999</v>
      </c>
      <c r="BZ30" s="42">
        <v>338672</v>
      </c>
      <c r="CA30" s="48">
        <v>6.8000000000000005E-2</v>
      </c>
      <c r="CB30" s="49">
        <v>0.04</v>
      </c>
      <c r="CC30" s="50">
        <v>2.2000000000000002</v>
      </c>
      <c r="CD30" s="51">
        <v>22</v>
      </c>
      <c r="CE30" s="49">
        <v>57.75</v>
      </c>
      <c r="CF30" s="49">
        <v>0.35</v>
      </c>
      <c r="CG30" s="49">
        <v>8.4</v>
      </c>
      <c r="CH30" s="42">
        <v>399014</v>
      </c>
      <c r="CI30" s="48">
        <v>8.6999999999999994E-2</v>
      </c>
      <c r="CJ30" s="49">
        <v>0.05</v>
      </c>
      <c r="CK30" s="49">
        <v>2.2999999999999998</v>
      </c>
      <c r="CL30" s="49">
        <v>23</v>
      </c>
      <c r="CM30" s="49">
        <v>57.18</v>
      </c>
      <c r="CN30" s="49">
        <v>0.45</v>
      </c>
      <c r="CO30" s="49">
        <v>9</v>
      </c>
      <c r="CP30" s="42">
        <v>868135</v>
      </c>
      <c r="CQ30" s="48">
        <v>5.3999999999999999E-2</v>
      </c>
      <c r="CR30" s="49">
        <v>0.03</v>
      </c>
      <c r="CS30" s="50">
        <v>2.1</v>
      </c>
      <c r="CT30" s="51">
        <v>21</v>
      </c>
      <c r="CU30" s="49">
        <v>52.58</v>
      </c>
      <c r="CV30" s="49">
        <v>0.3</v>
      </c>
      <c r="CW30" s="42">
        <v>274607</v>
      </c>
      <c r="CX30" s="48">
        <v>6.8000000000000005E-2</v>
      </c>
      <c r="CY30" s="49">
        <v>0.03</v>
      </c>
      <c r="CZ30" s="50">
        <v>2.1</v>
      </c>
      <c r="DA30" s="51">
        <v>21</v>
      </c>
      <c r="DB30" s="25">
        <v>34.43</v>
      </c>
      <c r="DC30" s="25">
        <v>54.2</v>
      </c>
      <c r="DD30" s="42"/>
      <c r="DE30" s="49"/>
      <c r="DF30" s="49"/>
      <c r="DG30" s="49"/>
      <c r="DH30" s="49"/>
      <c r="DI30" s="49"/>
      <c r="DJ30" s="49"/>
      <c r="DK30" s="49"/>
      <c r="DL30" s="56"/>
      <c r="DM30" s="24">
        <v>32951</v>
      </c>
      <c r="DN30" s="33">
        <v>0.128</v>
      </c>
      <c r="DO30" s="25">
        <v>0.06</v>
      </c>
      <c r="DP30" s="25">
        <v>2.4</v>
      </c>
      <c r="DQ30" s="25">
        <v>24</v>
      </c>
      <c r="DR30" s="25">
        <v>58.9</v>
      </c>
      <c r="DS30" s="25"/>
      <c r="DT30" s="25">
        <v>7.6</v>
      </c>
      <c r="DU30" s="57"/>
      <c r="DV30" s="49"/>
      <c r="DW30" s="49"/>
      <c r="DX30" s="49"/>
      <c r="DY30" s="49"/>
      <c r="DZ30" s="49"/>
      <c r="EA30" s="49"/>
      <c r="EB30" s="49"/>
      <c r="EC30" s="49"/>
      <c r="ED30" s="56"/>
      <c r="EE30" s="42"/>
      <c r="EF30" s="49"/>
      <c r="EG30" s="49"/>
      <c r="EH30" s="49"/>
      <c r="EI30" s="49"/>
      <c r="EJ30" s="49"/>
      <c r="EK30" s="49"/>
      <c r="EL30" s="49"/>
      <c r="EM30" s="58"/>
      <c r="EN30" s="39"/>
      <c r="EO30" s="40">
        <f t="shared" si="4"/>
        <v>46137</v>
      </c>
      <c r="EP30" s="40">
        <v>45978</v>
      </c>
      <c r="EQ30" s="40">
        <v>46120</v>
      </c>
      <c r="ER30" s="40" t="s">
        <v>70</v>
      </c>
      <c r="ES30" s="40"/>
      <c r="ET30" s="40">
        <v>45930</v>
      </c>
      <c r="EU30" s="40">
        <v>46136</v>
      </c>
      <c r="EV30" s="40" t="s">
        <v>99</v>
      </c>
      <c r="EW30" s="40" t="s">
        <v>77</v>
      </c>
      <c r="EX30" s="40">
        <v>45992</v>
      </c>
      <c r="EY30" s="40">
        <v>46120</v>
      </c>
      <c r="EZ30" s="40" t="s">
        <v>71</v>
      </c>
      <c r="FA30" s="40"/>
      <c r="FB30" s="40">
        <v>45688</v>
      </c>
      <c r="FC30" s="40">
        <v>46136</v>
      </c>
      <c r="FD30" s="40"/>
      <c r="FE30" s="40">
        <v>46038</v>
      </c>
      <c r="FF30" s="40">
        <v>46055</v>
      </c>
      <c r="FG30" s="40"/>
      <c r="FH30" s="40">
        <v>46055</v>
      </c>
      <c r="FI30" s="40">
        <v>46129</v>
      </c>
      <c r="FJ30" s="40"/>
      <c r="FK30" s="40">
        <v>46037</v>
      </c>
      <c r="FL30" s="40">
        <v>46048</v>
      </c>
      <c r="FM30" s="40" t="s">
        <v>78</v>
      </c>
      <c r="FN30" s="40"/>
      <c r="FO30" s="40"/>
      <c r="FP30" s="40" t="s">
        <v>78</v>
      </c>
      <c r="FQ30" s="40">
        <v>46044</v>
      </c>
      <c r="FR30" s="40">
        <v>46134</v>
      </c>
      <c r="FS30" s="40" t="s">
        <v>78</v>
      </c>
      <c r="FT30" s="40">
        <v>46047</v>
      </c>
      <c r="FU30" s="40">
        <v>46056</v>
      </c>
      <c r="FV30" s="40" t="s">
        <v>78</v>
      </c>
      <c r="FW30" s="40">
        <v>46125</v>
      </c>
      <c r="FX30" s="40">
        <v>46136</v>
      </c>
      <c r="FY30" s="40"/>
      <c r="FZ30" s="40">
        <v>46132</v>
      </c>
      <c r="GA30" s="40">
        <v>46135</v>
      </c>
      <c r="GB30" s="40" t="s">
        <v>100</v>
      </c>
      <c r="GC30" s="40">
        <v>46023</v>
      </c>
      <c r="GD30" s="40">
        <v>46136</v>
      </c>
      <c r="GE30" s="40" t="s">
        <v>72</v>
      </c>
      <c r="GF30" s="40">
        <v>46130</v>
      </c>
      <c r="GG30" s="40">
        <v>46136</v>
      </c>
      <c r="GH30" s="40"/>
      <c r="GI30" s="40"/>
      <c r="GJ30" s="40"/>
      <c r="GK30" s="40" t="s">
        <v>80</v>
      </c>
      <c r="GL30" s="40">
        <v>46054</v>
      </c>
      <c r="GM30" s="40">
        <v>46054</v>
      </c>
      <c r="GN30" s="40"/>
      <c r="GO30" s="40"/>
      <c r="GP30" s="40"/>
      <c r="GQ30" s="40" t="s">
        <v>80</v>
      </c>
      <c r="GR30" s="40"/>
      <c r="GS30" s="40"/>
      <c r="GT30" s="3" t="s">
        <v>80</v>
      </c>
    </row>
    <row r="31" spans="2:202" x14ac:dyDescent="0.35">
      <c r="B31" s="41">
        <f t="shared" si="3"/>
        <v>46138</v>
      </c>
      <c r="C31" s="24">
        <v>2545049</v>
      </c>
      <c r="D31" s="49">
        <v>5.42</v>
      </c>
      <c r="E31" s="49">
        <v>0.3</v>
      </c>
      <c r="F31" s="49">
        <v>1.87</v>
      </c>
      <c r="G31" s="25">
        <v>51.72</v>
      </c>
      <c r="H31" s="25">
        <v>2.85</v>
      </c>
      <c r="I31" s="25">
        <v>2.6</v>
      </c>
      <c r="J31" s="25">
        <f t="shared" si="2"/>
        <v>8.3000000000000007</v>
      </c>
      <c r="K31" s="42">
        <v>1706191</v>
      </c>
      <c r="L31" s="25">
        <v>4.5999999999999996</v>
      </c>
      <c r="M31" s="25">
        <v>0.3</v>
      </c>
      <c r="N31" s="25">
        <v>1.45</v>
      </c>
      <c r="O31" s="25">
        <v>52.96</v>
      </c>
      <c r="P31" s="25">
        <v>2.74</v>
      </c>
      <c r="Q31" s="25">
        <v>2.5</v>
      </c>
      <c r="R31" s="25">
        <f t="shared" si="0"/>
        <v>7.98</v>
      </c>
      <c r="S31" s="26">
        <v>2632188</v>
      </c>
      <c r="T31" s="25">
        <v>5.48</v>
      </c>
      <c r="U31" s="25">
        <v>0.28000000000000003</v>
      </c>
      <c r="V31" s="25">
        <v>1.82</v>
      </c>
      <c r="W31" s="27">
        <v>51.95</v>
      </c>
      <c r="X31" s="25">
        <v>2.86</v>
      </c>
      <c r="Y31" s="25">
        <v>2.38</v>
      </c>
      <c r="Z31" s="25">
        <f t="shared" si="1"/>
        <v>8.1</v>
      </c>
      <c r="AA31" s="42">
        <v>472881</v>
      </c>
      <c r="AB31" s="49">
        <v>88.74</v>
      </c>
      <c r="AC31" s="49">
        <v>0.25</v>
      </c>
      <c r="AD31" s="24">
        <v>545649</v>
      </c>
      <c r="AE31" s="33">
        <v>0.19700000000000001</v>
      </c>
      <c r="AF31" s="25">
        <v>7.0000000000000007E-2</v>
      </c>
      <c r="AG31" s="34">
        <v>2.2000000000000002</v>
      </c>
      <c r="AH31" s="35">
        <v>22</v>
      </c>
      <c r="AI31" s="25">
        <v>36.6</v>
      </c>
      <c r="AJ31" s="25"/>
      <c r="AK31" s="25">
        <v>50.2</v>
      </c>
      <c r="AL31" s="42">
        <v>554452</v>
      </c>
      <c r="AM31" s="48">
        <v>0.06</v>
      </c>
      <c r="AN31" s="49">
        <v>0.04</v>
      </c>
      <c r="AO31" s="50">
        <v>2</v>
      </c>
      <c r="AP31" s="51">
        <v>20</v>
      </c>
      <c r="AQ31" s="49">
        <v>38.520000000000003</v>
      </c>
      <c r="AR31" s="49"/>
      <c r="AS31" s="49">
        <v>53.4</v>
      </c>
      <c r="AT31" s="42">
        <v>4920</v>
      </c>
      <c r="AU31" s="33">
        <v>0.11</v>
      </c>
      <c r="AV31" s="25">
        <v>7.0000000000000007E-2</v>
      </c>
      <c r="AW31" s="34">
        <v>2.2999999999999998</v>
      </c>
      <c r="AX31" s="35">
        <v>23</v>
      </c>
      <c r="AY31" s="25">
        <v>55.87</v>
      </c>
      <c r="AZ31" s="25">
        <v>2.06</v>
      </c>
      <c r="BA31" s="34">
        <v>10.199999999999999</v>
      </c>
      <c r="BB31" s="24">
        <v>993</v>
      </c>
      <c r="BC31" s="48"/>
      <c r="BD31" s="49"/>
      <c r="BE31" s="49"/>
      <c r="BF31" s="49"/>
      <c r="BG31" s="49"/>
      <c r="BH31" s="49"/>
      <c r="BI31" s="49"/>
      <c r="BJ31" s="24">
        <v>97200</v>
      </c>
      <c r="BK31" s="33">
        <v>0.109</v>
      </c>
      <c r="BL31" s="25">
        <v>7.0000000000000007E-2</v>
      </c>
      <c r="BM31" s="25">
        <v>2.2999999999999998</v>
      </c>
      <c r="BN31" s="25">
        <v>23</v>
      </c>
      <c r="BO31" s="25">
        <v>55.87</v>
      </c>
      <c r="BP31" s="25">
        <v>2.06</v>
      </c>
      <c r="BQ31" s="25">
        <v>10.199999999999999</v>
      </c>
      <c r="BR31" s="42">
        <v>34380</v>
      </c>
      <c r="BS31" s="33">
        <v>0.114</v>
      </c>
      <c r="BT31" s="25">
        <v>0.08</v>
      </c>
      <c r="BU31" s="25">
        <v>2.2999999999999998</v>
      </c>
      <c r="BV31" s="25">
        <v>23</v>
      </c>
      <c r="BW31" s="25">
        <v>50.33</v>
      </c>
      <c r="BX31" s="25">
        <v>1.85</v>
      </c>
      <c r="BY31" s="25">
        <v>19.399999999999999</v>
      </c>
      <c r="BZ31" s="42">
        <v>546926</v>
      </c>
      <c r="CA31" s="48">
        <v>6.7000000000000004E-2</v>
      </c>
      <c r="CB31" s="49">
        <v>0.04</v>
      </c>
      <c r="CC31" s="50">
        <v>2.2999999999999998</v>
      </c>
      <c r="CD31" s="51">
        <v>23</v>
      </c>
      <c r="CE31" s="49">
        <v>58</v>
      </c>
      <c r="CF31" s="49">
        <v>0.4</v>
      </c>
      <c r="CG31" s="49">
        <v>8.8000000000000007</v>
      </c>
      <c r="CH31" s="42">
        <v>322094</v>
      </c>
      <c r="CI31" s="48">
        <v>8.6999999999999994E-2</v>
      </c>
      <c r="CJ31" s="49">
        <v>0.05</v>
      </c>
      <c r="CK31" s="49">
        <v>2.2999999999999998</v>
      </c>
      <c r="CL31" s="49">
        <v>23</v>
      </c>
      <c r="CM31" s="49">
        <v>57.18</v>
      </c>
      <c r="CN31" s="49">
        <v>0.45</v>
      </c>
      <c r="CO31" s="49">
        <v>9</v>
      </c>
      <c r="CP31" s="42">
        <v>841376</v>
      </c>
      <c r="CQ31" s="48">
        <v>5.1999999999999998E-2</v>
      </c>
      <c r="CR31" s="49">
        <v>0.03</v>
      </c>
      <c r="CS31" s="50">
        <v>2.1</v>
      </c>
      <c r="CT31" s="51">
        <v>21</v>
      </c>
      <c r="CU31" s="49">
        <v>52.65</v>
      </c>
      <c r="CV31" s="49">
        <v>0.3</v>
      </c>
      <c r="CW31" s="42">
        <v>313216</v>
      </c>
      <c r="CX31" s="48">
        <v>7.1999999999999995E-2</v>
      </c>
      <c r="CY31" s="49">
        <v>0.03</v>
      </c>
      <c r="CZ31" s="50">
        <v>1.9</v>
      </c>
      <c r="DA31" s="51">
        <v>19</v>
      </c>
      <c r="DB31" s="25">
        <v>33.58</v>
      </c>
      <c r="DC31" s="25">
        <v>54.2</v>
      </c>
      <c r="DD31" s="42"/>
      <c r="DE31" s="49"/>
      <c r="DF31" s="49"/>
      <c r="DG31" s="49"/>
      <c r="DH31" s="49"/>
      <c r="DI31" s="49"/>
      <c r="DJ31" s="49"/>
      <c r="DK31" s="49"/>
      <c r="DL31" s="56"/>
      <c r="DM31" s="24">
        <v>32951</v>
      </c>
      <c r="DN31" s="33">
        <v>0.128</v>
      </c>
      <c r="DO31" s="25">
        <v>0.06</v>
      </c>
      <c r="DP31" s="25">
        <v>2.4</v>
      </c>
      <c r="DQ31" s="25">
        <v>24</v>
      </c>
      <c r="DR31" s="25">
        <v>58.9</v>
      </c>
      <c r="DS31" s="25"/>
      <c r="DT31" s="25">
        <v>7.6</v>
      </c>
      <c r="DU31" s="57"/>
      <c r="DV31" s="49"/>
      <c r="DW31" s="49"/>
      <c r="DX31" s="49"/>
      <c r="DY31" s="49"/>
      <c r="DZ31" s="49"/>
      <c r="EA31" s="49"/>
      <c r="EB31" s="49"/>
      <c r="EC31" s="49"/>
      <c r="ED31" s="56"/>
      <c r="EE31" s="42"/>
      <c r="EF31" s="49"/>
      <c r="EG31" s="49"/>
      <c r="EH31" s="49"/>
      <c r="EI31" s="49"/>
      <c r="EJ31" s="49"/>
      <c r="EK31" s="49"/>
      <c r="EL31" s="49"/>
      <c r="EM31" s="58"/>
      <c r="EN31" s="39"/>
      <c r="EO31" s="40">
        <f t="shared" si="4"/>
        <v>46138</v>
      </c>
      <c r="EP31" s="40">
        <v>45978</v>
      </c>
      <c r="EQ31" s="40">
        <v>46120</v>
      </c>
      <c r="ER31" s="40" t="s">
        <v>70</v>
      </c>
      <c r="ES31" s="40"/>
      <c r="ET31" s="40">
        <v>45930</v>
      </c>
      <c r="EU31" s="40">
        <v>46137</v>
      </c>
      <c r="EV31" s="40" t="s">
        <v>99</v>
      </c>
      <c r="EW31" s="40" t="s">
        <v>77</v>
      </c>
      <c r="EX31" s="40">
        <v>45992</v>
      </c>
      <c r="EY31" s="40">
        <v>46120</v>
      </c>
      <c r="EZ31" s="40" t="s">
        <v>71</v>
      </c>
      <c r="FA31" s="40"/>
      <c r="FB31" s="40">
        <v>45688</v>
      </c>
      <c r="FC31" s="40">
        <v>46137</v>
      </c>
      <c r="FD31" s="40"/>
      <c r="FE31" s="40">
        <v>46038</v>
      </c>
      <c r="FF31" s="40">
        <v>46055</v>
      </c>
      <c r="FG31" s="40"/>
      <c r="FH31" s="40">
        <v>46055</v>
      </c>
      <c r="FI31" s="40">
        <v>46129</v>
      </c>
      <c r="FJ31" s="40"/>
      <c r="FK31" s="40">
        <v>46037</v>
      </c>
      <c r="FL31" s="40">
        <v>46048</v>
      </c>
      <c r="FM31" s="40" t="s">
        <v>78</v>
      </c>
      <c r="FN31" s="40"/>
      <c r="FO31" s="40"/>
      <c r="FP31" s="40" t="s">
        <v>78</v>
      </c>
      <c r="FQ31" s="40">
        <v>46044</v>
      </c>
      <c r="FR31" s="40">
        <v>46134</v>
      </c>
      <c r="FS31" s="40" t="s">
        <v>78</v>
      </c>
      <c r="FT31" s="40">
        <v>46047</v>
      </c>
      <c r="FU31" s="40">
        <v>46056</v>
      </c>
      <c r="FV31" s="40" t="s">
        <v>78</v>
      </c>
      <c r="FW31" s="40">
        <v>46125</v>
      </c>
      <c r="FX31" s="40">
        <v>46137</v>
      </c>
      <c r="FY31" s="40"/>
      <c r="FZ31" s="40">
        <v>46132</v>
      </c>
      <c r="GA31" s="40">
        <v>46135</v>
      </c>
      <c r="GB31" s="40" t="s">
        <v>101</v>
      </c>
      <c r="GC31" s="40">
        <v>46023</v>
      </c>
      <c r="GD31" s="40">
        <v>46137</v>
      </c>
      <c r="GE31" s="40" t="s">
        <v>72</v>
      </c>
      <c r="GF31" s="40">
        <v>46130</v>
      </c>
      <c r="GG31" s="40">
        <v>46137</v>
      </c>
      <c r="GH31" s="40"/>
      <c r="GI31" s="40"/>
      <c r="GJ31" s="40"/>
      <c r="GK31" s="40" t="s">
        <v>80</v>
      </c>
      <c r="GL31" s="40">
        <v>46054</v>
      </c>
      <c r="GM31" s="40">
        <v>46054</v>
      </c>
      <c r="GN31" s="40"/>
      <c r="GO31" s="40"/>
      <c r="GP31" s="40"/>
      <c r="GQ31" s="40" t="s">
        <v>80</v>
      </c>
      <c r="GR31" s="40"/>
      <c r="GS31" s="40"/>
      <c r="GT31" s="3" t="s">
        <v>80</v>
      </c>
    </row>
    <row r="32" spans="2:202" x14ac:dyDescent="0.35">
      <c r="B32" s="41">
        <f t="shared" si="3"/>
        <v>46139</v>
      </c>
      <c r="C32" s="24">
        <v>2545049</v>
      </c>
      <c r="D32" s="49">
        <v>5.44</v>
      </c>
      <c r="E32" s="49">
        <v>0.3</v>
      </c>
      <c r="F32" s="49">
        <v>1.87</v>
      </c>
      <c r="G32" s="25">
        <v>51.72</v>
      </c>
      <c r="H32" s="25">
        <v>2.85</v>
      </c>
      <c r="I32" s="25">
        <v>2.6</v>
      </c>
      <c r="J32" s="25">
        <f t="shared" si="2"/>
        <v>8.3000000000000007</v>
      </c>
      <c r="K32" s="42">
        <v>1691391</v>
      </c>
      <c r="L32" s="25">
        <v>4.62</v>
      </c>
      <c r="M32" s="25">
        <v>0.3</v>
      </c>
      <c r="N32" s="25">
        <v>1.45</v>
      </c>
      <c r="O32" s="25">
        <v>52.96</v>
      </c>
      <c r="P32" s="25">
        <v>2.74</v>
      </c>
      <c r="Q32" s="25">
        <v>2.5</v>
      </c>
      <c r="R32" s="25">
        <f t="shared" si="0"/>
        <v>7.98</v>
      </c>
      <c r="S32" s="26">
        <v>2632188</v>
      </c>
      <c r="T32" s="25">
        <v>5.5</v>
      </c>
      <c r="U32" s="25">
        <v>0.28000000000000003</v>
      </c>
      <c r="V32" s="25">
        <v>1.82</v>
      </c>
      <c r="W32" s="27">
        <v>51.95</v>
      </c>
      <c r="X32" s="25">
        <v>2.86</v>
      </c>
      <c r="Y32" s="25">
        <v>2.38</v>
      </c>
      <c r="Z32" s="25">
        <f t="shared" si="1"/>
        <v>8.1</v>
      </c>
      <c r="AA32" s="42">
        <v>475269</v>
      </c>
      <c r="AB32" s="49">
        <v>88.74</v>
      </c>
      <c r="AC32" s="49">
        <v>0.25</v>
      </c>
      <c r="AD32" s="24">
        <v>545649</v>
      </c>
      <c r="AE32" s="33">
        <v>0.19900000000000001</v>
      </c>
      <c r="AF32" s="25">
        <v>7.0000000000000007E-2</v>
      </c>
      <c r="AG32" s="34">
        <v>2.2000000000000002</v>
      </c>
      <c r="AH32" s="35">
        <v>22</v>
      </c>
      <c r="AI32" s="25">
        <v>36.6</v>
      </c>
      <c r="AJ32" s="25"/>
      <c r="AK32" s="25">
        <v>50.2</v>
      </c>
      <c r="AL32" s="42">
        <v>554452</v>
      </c>
      <c r="AM32" s="48">
        <v>6.3E-2</v>
      </c>
      <c r="AN32" s="49">
        <v>0.04</v>
      </c>
      <c r="AO32" s="50">
        <v>2</v>
      </c>
      <c r="AP32" s="51">
        <v>20</v>
      </c>
      <c r="AQ32" s="49">
        <v>38.520000000000003</v>
      </c>
      <c r="AR32" s="49"/>
      <c r="AS32" s="49">
        <v>53.4</v>
      </c>
      <c r="AT32" s="42">
        <v>4920</v>
      </c>
      <c r="AU32" s="33">
        <v>0.115</v>
      </c>
      <c r="AV32" s="25">
        <v>7.0000000000000007E-2</v>
      </c>
      <c r="AW32" s="34">
        <v>2.2999999999999998</v>
      </c>
      <c r="AX32" s="35">
        <v>23</v>
      </c>
      <c r="AY32" s="25">
        <v>55.87</v>
      </c>
      <c r="AZ32" s="25">
        <v>2.06</v>
      </c>
      <c r="BA32" s="34">
        <v>10.199999999999999</v>
      </c>
      <c r="BB32" s="24">
        <v>993</v>
      </c>
      <c r="BC32" s="48"/>
      <c r="BD32" s="49"/>
      <c r="BE32" s="49"/>
      <c r="BF32" s="49"/>
      <c r="BG32" s="49"/>
      <c r="BH32" s="49"/>
      <c r="BI32" s="49"/>
      <c r="BJ32" s="24">
        <v>97200</v>
      </c>
      <c r="BK32" s="33">
        <v>0.111</v>
      </c>
      <c r="BL32" s="25">
        <v>7.0000000000000007E-2</v>
      </c>
      <c r="BM32" s="25">
        <v>2.2999999999999998</v>
      </c>
      <c r="BN32" s="25">
        <v>23</v>
      </c>
      <c r="BO32" s="25">
        <v>55.87</v>
      </c>
      <c r="BP32" s="25">
        <v>2.06</v>
      </c>
      <c r="BQ32" s="25">
        <v>10.199999999999999</v>
      </c>
      <c r="BR32" s="42">
        <v>34380</v>
      </c>
      <c r="BS32" s="33">
        <v>0.11700000000000001</v>
      </c>
      <c r="BT32" s="25">
        <v>0.08</v>
      </c>
      <c r="BU32" s="25">
        <v>2.2999999999999998</v>
      </c>
      <c r="BV32" s="25">
        <v>23</v>
      </c>
      <c r="BW32" s="25">
        <v>50.33</v>
      </c>
      <c r="BX32" s="25">
        <v>1.85</v>
      </c>
      <c r="BY32" s="25">
        <v>19.399999999999999</v>
      </c>
      <c r="BZ32" s="42">
        <v>546926</v>
      </c>
      <c r="CA32" s="48">
        <v>5.3999999999999999E-2</v>
      </c>
      <c r="CB32" s="49">
        <v>0.04</v>
      </c>
      <c r="CC32" s="50">
        <v>2.2999999999999998</v>
      </c>
      <c r="CD32" s="51">
        <v>23</v>
      </c>
      <c r="CE32" s="49">
        <v>57.75</v>
      </c>
      <c r="CF32" s="49">
        <v>0.4</v>
      </c>
      <c r="CG32" s="49">
        <v>8.8000000000000007</v>
      </c>
      <c r="CH32" s="42">
        <v>481953</v>
      </c>
      <c r="CI32" s="48">
        <v>8.4000000000000005E-2</v>
      </c>
      <c r="CJ32" s="49">
        <v>0.05</v>
      </c>
      <c r="CK32" s="49">
        <v>2.2000000000000002</v>
      </c>
      <c r="CL32" s="49">
        <v>22</v>
      </c>
      <c r="CM32" s="49">
        <v>58.63</v>
      </c>
      <c r="CN32" s="49">
        <v>0.4</v>
      </c>
      <c r="CO32" s="49">
        <v>9</v>
      </c>
      <c r="CP32" s="42">
        <v>652162</v>
      </c>
      <c r="CQ32" s="48">
        <v>5.5E-2</v>
      </c>
      <c r="CR32" s="49">
        <v>0.04</v>
      </c>
      <c r="CS32" s="50">
        <v>2.1</v>
      </c>
      <c r="CT32" s="51">
        <v>21</v>
      </c>
      <c r="CU32" s="49">
        <v>52.65</v>
      </c>
      <c r="CV32" s="49">
        <v>0.3</v>
      </c>
      <c r="CW32" s="42">
        <v>403727</v>
      </c>
      <c r="CX32" s="48">
        <v>6.9000000000000006E-2</v>
      </c>
      <c r="CY32" s="49">
        <v>0.03</v>
      </c>
      <c r="CZ32" s="50">
        <v>1.9</v>
      </c>
      <c r="DA32" s="51">
        <v>19</v>
      </c>
      <c r="DB32" s="25">
        <v>34.07</v>
      </c>
      <c r="DC32" s="25">
        <v>54.2</v>
      </c>
      <c r="DD32" s="42"/>
      <c r="DE32" s="49"/>
      <c r="DF32" s="49"/>
      <c r="DG32" s="49"/>
      <c r="DH32" s="49"/>
      <c r="DI32" s="49"/>
      <c r="DJ32" s="49"/>
      <c r="DK32" s="49"/>
      <c r="DL32" s="56"/>
      <c r="DM32" s="24">
        <v>32951</v>
      </c>
      <c r="DN32" s="33">
        <v>0.128</v>
      </c>
      <c r="DO32" s="25">
        <v>0.06</v>
      </c>
      <c r="DP32" s="25">
        <v>2.4</v>
      </c>
      <c r="DQ32" s="25">
        <v>24</v>
      </c>
      <c r="DR32" s="25">
        <v>58.9</v>
      </c>
      <c r="DS32" s="25"/>
      <c r="DT32" s="25">
        <v>7.6</v>
      </c>
      <c r="DU32" s="57"/>
      <c r="DV32" s="49"/>
      <c r="DW32" s="49"/>
      <c r="DX32" s="49"/>
      <c r="DY32" s="49"/>
      <c r="DZ32" s="49"/>
      <c r="EA32" s="49"/>
      <c r="EB32" s="49"/>
      <c r="EC32" s="49"/>
      <c r="ED32" s="56"/>
      <c r="EE32" s="42"/>
      <c r="EF32" s="49"/>
      <c r="EG32" s="49"/>
      <c r="EH32" s="49"/>
      <c r="EI32" s="49"/>
      <c r="EJ32" s="49"/>
      <c r="EK32" s="49"/>
      <c r="EL32" s="49"/>
      <c r="EM32" s="58"/>
      <c r="EN32" s="39"/>
      <c r="EO32" s="40">
        <f t="shared" si="4"/>
        <v>46139</v>
      </c>
      <c r="EP32" s="40">
        <v>45978</v>
      </c>
      <c r="EQ32" s="40">
        <v>46120</v>
      </c>
      <c r="ER32" s="40" t="s">
        <v>70</v>
      </c>
      <c r="ES32" s="40"/>
      <c r="ET32" s="40">
        <v>45930</v>
      </c>
      <c r="EU32" s="40">
        <v>46137</v>
      </c>
      <c r="EV32" s="40" t="s">
        <v>99</v>
      </c>
      <c r="EW32" s="40" t="s">
        <v>77</v>
      </c>
      <c r="EX32" s="40">
        <v>45992</v>
      </c>
      <c r="EY32" s="40">
        <v>46120</v>
      </c>
      <c r="EZ32" s="40" t="s">
        <v>71</v>
      </c>
      <c r="FA32" s="40"/>
      <c r="FB32" s="40">
        <v>45688</v>
      </c>
      <c r="FC32" s="40">
        <v>46138</v>
      </c>
      <c r="FD32" s="40"/>
      <c r="FE32" s="40">
        <v>46038</v>
      </c>
      <c r="FF32" s="40">
        <v>46055</v>
      </c>
      <c r="FG32" s="40"/>
      <c r="FH32" s="40">
        <v>46055</v>
      </c>
      <c r="FI32" s="40">
        <v>46129</v>
      </c>
      <c r="FJ32" s="40"/>
      <c r="FK32" s="40">
        <v>46037</v>
      </c>
      <c r="FL32" s="40">
        <v>46048</v>
      </c>
      <c r="FM32" s="40" t="s">
        <v>78</v>
      </c>
      <c r="FN32" s="40"/>
      <c r="FO32" s="40"/>
      <c r="FP32" s="40" t="s">
        <v>78</v>
      </c>
      <c r="FQ32" s="40">
        <v>46044</v>
      </c>
      <c r="FR32" s="40">
        <v>46134</v>
      </c>
      <c r="FS32" s="40" t="s">
        <v>78</v>
      </c>
      <c r="FT32" s="40">
        <v>46047</v>
      </c>
      <c r="FU32" s="40">
        <v>46056</v>
      </c>
      <c r="FV32" s="40" t="s">
        <v>78</v>
      </c>
      <c r="FW32" s="40">
        <v>46125</v>
      </c>
      <c r="FX32" s="40">
        <v>46137</v>
      </c>
      <c r="FY32" s="40"/>
      <c r="FZ32" s="40">
        <v>46132</v>
      </c>
      <c r="GA32" s="40">
        <v>46138</v>
      </c>
      <c r="GB32" s="40"/>
      <c r="GC32" s="40">
        <v>46023</v>
      </c>
      <c r="GD32" s="40">
        <v>46138</v>
      </c>
      <c r="GE32" s="40" t="s">
        <v>72</v>
      </c>
      <c r="GF32" s="40">
        <v>46130</v>
      </c>
      <c r="GG32" s="40">
        <v>46138</v>
      </c>
      <c r="GH32" s="40"/>
      <c r="GI32" s="40"/>
      <c r="GJ32" s="40"/>
      <c r="GK32" s="40" t="s">
        <v>80</v>
      </c>
      <c r="GL32" s="40">
        <v>46054</v>
      </c>
      <c r="GM32" s="40">
        <v>46054</v>
      </c>
      <c r="GN32" s="40"/>
      <c r="GO32" s="40"/>
      <c r="GP32" s="40"/>
      <c r="GQ32" s="40" t="s">
        <v>80</v>
      </c>
      <c r="GR32" s="40"/>
      <c r="GS32" s="40"/>
      <c r="GT32" s="3" t="s">
        <v>80</v>
      </c>
    </row>
    <row r="33" spans="1:202" x14ac:dyDescent="0.35">
      <c r="B33" s="41">
        <f t="shared" si="3"/>
        <v>46140</v>
      </c>
      <c r="C33" s="24">
        <v>2545049</v>
      </c>
      <c r="D33" s="49">
        <v>5.44</v>
      </c>
      <c r="E33" s="49">
        <v>0.3</v>
      </c>
      <c r="F33" s="49">
        <v>1.87</v>
      </c>
      <c r="G33" s="25">
        <v>51.72</v>
      </c>
      <c r="H33" s="25">
        <v>2.85</v>
      </c>
      <c r="I33" s="25">
        <v>2.6</v>
      </c>
      <c r="J33" s="25">
        <f t="shared" si="2"/>
        <v>8.3000000000000007</v>
      </c>
      <c r="K33" s="42">
        <v>1691391</v>
      </c>
      <c r="L33" s="25">
        <v>4.62</v>
      </c>
      <c r="M33" s="25">
        <v>0.3</v>
      </c>
      <c r="N33" s="25">
        <v>1.45</v>
      </c>
      <c r="O33" s="25">
        <v>52.96</v>
      </c>
      <c r="P33" s="25">
        <v>2.74</v>
      </c>
      <c r="Q33" s="25">
        <v>2.5</v>
      </c>
      <c r="R33" s="25">
        <f t="shared" si="0"/>
        <v>7.98</v>
      </c>
      <c r="S33" s="26">
        <v>2632188</v>
      </c>
      <c r="T33" s="25">
        <v>5.5</v>
      </c>
      <c r="U33" s="25">
        <v>0.28000000000000003</v>
      </c>
      <c r="V33" s="25">
        <v>1.82</v>
      </c>
      <c r="W33" s="27">
        <v>51.95</v>
      </c>
      <c r="X33" s="25">
        <v>2.86</v>
      </c>
      <c r="Y33" s="25">
        <v>2.38</v>
      </c>
      <c r="Z33" s="25">
        <f t="shared" si="1"/>
        <v>8.1</v>
      </c>
      <c r="AA33" s="42">
        <v>476862</v>
      </c>
      <c r="AB33" s="49">
        <v>88.74</v>
      </c>
      <c r="AC33" s="49">
        <v>0.25</v>
      </c>
      <c r="AD33" s="24">
        <v>545649</v>
      </c>
      <c r="AE33" s="33">
        <v>0.19900000000000001</v>
      </c>
      <c r="AF33" s="25">
        <v>7.0000000000000007E-2</v>
      </c>
      <c r="AG33" s="34">
        <v>2.2000000000000002</v>
      </c>
      <c r="AH33" s="35">
        <v>22</v>
      </c>
      <c r="AI33" s="25">
        <v>36.6</v>
      </c>
      <c r="AJ33" s="25"/>
      <c r="AK33" s="25">
        <v>50.2</v>
      </c>
      <c r="AL33" s="42">
        <v>554452</v>
      </c>
      <c r="AM33" s="48">
        <v>6.5000000000000002E-2</v>
      </c>
      <c r="AN33" s="49">
        <v>0.04</v>
      </c>
      <c r="AO33" s="50">
        <v>2</v>
      </c>
      <c r="AP33" s="51">
        <v>20</v>
      </c>
      <c r="AQ33" s="49">
        <v>38.520000000000003</v>
      </c>
      <c r="AR33" s="49"/>
      <c r="AS33" s="49">
        <v>53.4</v>
      </c>
      <c r="AT33" s="42">
        <v>4920</v>
      </c>
      <c r="AU33" s="33"/>
      <c r="AV33" s="25"/>
      <c r="AW33" s="34"/>
      <c r="AX33" s="35"/>
      <c r="AY33" s="25"/>
      <c r="AZ33" s="25"/>
      <c r="BA33" s="34"/>
      <c r="BB33" s="24">
        <v>993</v>
      </c>
      <c r="BC33" s="48"/>
      <c r="BD33" s="49"/>
      <c r="BE33" s="49"/>
      <c r="BF33" s="49"/>
      <c r="BG33" s="49"/>
      <c r="BH33" s="49"/>
      <c r="BI33" s="49"/>
      <c r="BJ33" s="24">
        <v>97200</v>
      </c>
      <c r="BK33" s="33"/>
      <c r="BL33" s="25"/>
      <c r="BM33" s="25"/>
      <c r="BN33" s="25"/>
      <c r="BO33" s="25"/>
      <c r="BP33" s="25"/>
      <c r="BQ33" s="25"/>
      <c r="BR33" s="42">
        <v>34380</v>
      </c>
      <c r="BS33" s="33"/>
      <c r="BT33" s="25"/>
      <c r="BU33" s="25"/>
      <c r="BV33" s="25"/>
      <c r="BW33" s="25"/>
      <c r="BX33" s="25"/>
      <c r="BY33" s="25"/>
      <c r="BZ33" s="42">
        <v>419247</v>
      </c>
      <c r="CA33" s="48">
        <v>6.4000000000000001E-2</v>
      </c>
      <c r="CB33" s="49">
        <v>0.04</v>
      </c>
      <c r="CC33" s="50">
        <v>2.2999999999999998</v>
      </c>
      <c r="CD33" s="51">
        <v>23</v>
      </c>
      <c r="CE33" s="49">
        <v>57.75</v>
      </c>
      <c r="CF33" s="49">
        <v>0.4</v>
      </c>
      <c r="CG33" s="49">
        <v>8.8000000000000007</v>
      </c>
      <c r="CH33" s="42">
        <v>545664</v>
      </c>
      <c r="CI33" s="48">
        <v>8.4000000000000005E-2</v>
      </c>
      <c r="CJ33" s="49">
        <v>0.05</v>
      </c>
      <c r="CK33" s="49">
        <v>2.1</v>
      </c>
      <c r="CL33" s="49">
        <v>21</v>
      </c>
      <c r="CM33" s="49">
        <v>58.01</v>
      </c>
      <c r="CN33" s="49">
        <v>0.3</v>
      </c>
      <c r="CO33" s="49">
        <v>8.1999999999999993</v>
      </c>
      <c r="CP33" s="42">
        <v>591001</v>
      </c>
      <c r="CQ33" s="48">
        <v>5.5E-2</v>
      </c>
      <c r="CR33" s="49">
        <v>0.04</v>
      </c>
      <c r="CS33" s="50">
        <v>2.1</v>
      </c>
      <c r="CT33" s="51">
        <v>21</v>
      </c>
      <c r="CU33" s="49">
        <v>52.65</v>
      </c>
      <c r="CV33" s="49">
        <v>0.3</v>
      </c>
      <c r="CW33" s="42">
        <v>460691</v>
      </c>
      <c r="CX33" s="48">
        <v>6.7000000000000004E-2</v>
      </c>
      <c r="CY33" s="49">
        <v>0.03</v>
      </c>
      <c r="CZ33" s="50">
        <v>1.9</v>
      </c>
      <c r="DA33" s="51">
        <v>19</v>
      </c>
      <c r="DB33" s="25">
        <v>34.49</v>
      </c>
      <c r="DC33" s="25">
        <v>54.2</v>
      </c>
      <c r="DD33" s="42"/>
      <c r="DE33" s="49"/>
      <c r="DF33" s="49"/>
      <c r="DG33" s="49"/>
      <c r="DH33" s="49"/>
      <c r="DI33" s="49"/>
      <c r="DJ33" s="49"/>
      <c r="DK33" s="49"/>
      <c r="DL33" s="56"/>
      <c r="DM33" s="24">
        <v>32951</v>
      </c>
      <c r="DN33" s="33">
        <v>0.13300000000000001</v>
      </c>
      <c r="DO33" s="25">
        <v>0.06</v>
      </c>
      <c r="DP33" s="25">
        <v>2.6</v>
      </c>
      <c r="DQ33" s="25">
        <v>26</v>
      </c>
      <c r="DR33" s="25">
        <v>58.9</v>
      </c>
      <c r="DS33" s="25"/>
      <c r="DT33" s="25">
        <v>7.6</v>
      </c>
      <c r="DU33" s="57"/>
      <c r="DV33" s="49"/>
      <c r="DW33" s="49"/>
      <c r="DX33" s="49"/>
      <c r="DY33" s="49"/>
      <c r="DZ33" s="49"/>
      <c r="EA33" s="49"/>
      <c r="EB33" s="49"/>
      <c r="EC33" s="49"/>
      <c r="ED33" s="56"/>
      <c r="EE33" s="42"/>
      <c r="EF33" s="49"/>
      <c r="EG33" s="49"/>
      <c r="EH33" s="49"/>
      <c r="EI33" s="49"/>
      <c r="EJ33" s="49"/>
      <c r="EK33" s="49"/>
      <c r="EL33" s="49"/>
      <c r="EM33" s="58"/>
      <c r="EN33" s="39"/>
      <c r="EO33" s="40">
        <f t="shared" si="4"/>
        <v>46140</v>
      </c>
      <c r="EP33" s="40">
        <v>45978</v>
      </c>
      <c r="EQ33" s="40">
        <v>46120</v>
      </c>
      <c r="ER33" s="40" t="s">
        <v>70</v>
      </c>
      <c r="ES33" s="40"/>
      <c r="ET33" s="40">
        <v>45930</v>
      </c>
      <c r="EU33" s="40">
        <v>46137</v>
      </c>
      <c r="EV33" s="40" t="s">
        <v>99</v>
      </c>
      <c r="EW33" s="40"/>
      <c r="EX33" s="40">
        <v>45992</v>
      </c>
      <c r="EY33" s="40">
        <v>46120</v>
      </c>
      <c r="EZ33" s="40" t="s">
        <v>71</v>
      </c>
      <c r="FA33" s="40"/>
      <c r="FB33" s="40">
        <v>45688</v>
      </c>
      <c r="FC33" s="40">
        <v>46139</v>
      </c>
      <c r="FD33" s="40"/>
      <c r="FE33" s="40">
        <v>46038</v>
      </c>
      <c r="FF33" s="40">
        <v>46055</v>
      </c>
      <c r="FG33" s="40"/>
      <c r="FH33" s="40">
        <v>46055</v>
      </c>
      <c r="FI33" s="40">
        <v>46129</v>
      </c>
      <c r="FJ33" s="40"/>
      <c r="FK33" s="40">
        <v>46037</v>
      </c>
      <c r="FL33" s="40">
        <v>46048</v>
      </c>
      <c r="FM33" s="40" t="s">
        <v>78</v>
      </c>
      <c r="FN33" s="40"/>
      <c r="FO33" s="40"/>
      <c r="FP33" s="40" t="s">
        <v>78</v>
      </c>
      <c r="FQ33" s="40">
        <v>46044</v>
      </c>
      <c r="FR33" s="40">
        <v>46134</v>
      </c>
      <c r="FS33" s="40"/>
      <c r="FT33" s="40">
        <v>46047</v>
      </c>
      <c r="FU33" s="40">
        <v>46056</v>
      </c>
      <c r="FV33" s="40" t="s">
        <v>78</v>
      </c>
      <c r="FW33" s="40">
        <v>46125</v>
      </c>
      <c r="FX33" s="40">
        <v>46139</v>
      </c>
      <c r="FY33" s="40"/>
      <c r="FZ33" s="40">
        <v>46132</v>
      </c>
      <c r="GA33" s="40">
        <v>46139</v>
      </c>
      <c r="GB33" s="40"/>
      <c r="GC33" s="40">
        <v>46023</v>
      </c>
      <c r="GD33" s="40">
        <v>46139</v>
      </c>
      <c r="GE33" s="40"/>
      <c r="GF33" s="40">
        <v>46130</v>
      </c>
      <c r="GG33" s="40">
        <v>46139</v>
      </c>
      <c r="GH33" s="40"/>
      <c r="GI33" s="40"/>
      <c r="GJ33" s="40"/>
      <c r="GK33" s="40" t="s">
        <v>80</v>
      </c>
      <c r="GL33" s="40">
        <v>46054</v>
      </c>
      <c r="GM33" s="40">
        <v>46054</v>
      </c>
      <c r="GN33" s="40"/>
      <c r="GO33" s="40"/>
      <c r="GP33" s="40"/>
      <c r="GQ33" s="40" t="s">
        <v>80</v>
      </c>
      <c r="GR33" s="40"/>
      <c r="GS33" s="40"/>
      <c r="GT33" s="3" t="s">
        <v>80</v>
      </c>
    </row>
    <row r="34" spans="1:202" x14ac:dyDescent="0.35">
      <c r="B34" s="41">
        <f t="shared" si="3"/>
        <v>46141</v>
      </c>
      <c r="C34" s="24">
        <v>2545049</v>
      </c>
      <c r="D34" s="49">
        <v>5.44</v>
      </c>
      <c r="E34" s="49">
        <v>0.3</v>
      </c>
      <c r="F34" s="49">
        <v>1.87</v>
      </c>
      <c r="G34" s="25">
        <v>51.72</v>
      </c>
      <c r="H34" s="25">
        <v>2.85</v>
      </c>
      <c r="I34" s="25">
        <v>2.6</v>
      </c>
      <c r="J34" s="25">
        <f t="shared" si="2"/>
        <v>8.3000000000000007</v>
      </c>
      <c r="K34" s="42">
        <v>1950353</v>
      </c>
      <c r="L34" s="25">
        <v>4.5599999999999996</v>
      </c>
      <c r="M34" s="25">
        <v>0.3</v>
      </c>
      <c r="N34" s="25">
        <v>1.47</v>
      </c>
      <c r="O34" s="25">
        <v>53.01</v>
      </c>
      <c r="P34" s="25">
        <v>2.69</v>
      </c>
      <c r="Q34" s="25">
        <v>2.46</v>
      </c>
      <c r="R34" s="25">
        <f t="shared" si="0"/>
        <v>7.84</v>
      </c>
      <c r="S34" s="26">
        <v>2632188</v>
      </c>
      <c r="T34" s="25">
        <v>5.5</v>
      </c>
      <c r="U34" s="25">
        <v>0.28000000000000003</v>
      </c>
      <c r="V34" s="25">
        <v>1.82</v>
      </c>
      <c r="W34" s="27">
        <v>51.95</v>
      </c>
      <c r="X34" s="25">
        <v>2.86</v>
      </c>
      <c r="Y34" s="25">
        <v>2.38</v>
      </c>
      <c r="Z34" s="25">
        <f t="shared" si="1"/>
        <v>8.1</v>
      </c>
      <c r="AA34" s="42">
        <v>476862</v>
      </c>
      <c r="AB34" s="49">
        <v>88.74</v>
      </c>
      <c r="AC34" s="49">
        <v>0.25</v>
      </c>
      <c r="AD34" s="24">
        <v>545649</v>
      </c>
      <c r="AE34" s="33">
        <v>0.19900000000000001</v>
      </c>
      <c r="AF34" s="25">
        <v>7.0000000000000007E-2</v>
      </c>
      <c r="AG34" s="34">
        <v>2.2000000000000002</v>
      </c>
      <c r="AH34" s="35">
        <v>22</v>
      </c>
      <c r="AI34" s="25">
        <v>36.6</v>
      </c>
      <c r="AJ34" s="25"/>
      <c r="AK34" s="25">
        <v>50.2</v>
      </c>
      <c r="AL34" s="42">
        <v>554452</v>
      </c>
      <c r="AM34" s="48">
        <v>6.5000000000000002E-2</v>
      </c>
      <c r="AN34" s="49">
        <v>0.04</v>
      </c>
      <c r="AO34" s="50">
        <v>2</v>
      </c>
      <c r="AP34" s="51">
        <v>20</v>
      </c>
      <c r="AQ34" s="49">
        <v>38.520000000000003</v>
      </c>
      <c r="AR34" s="49"/>
      <c r="AS34" s="49">
        <v>53.4</v>
      </c>
      <c r="AT34" s="42"/>
      <c r="AU34" s="48"/>
      <c r="AV34" s="49"/>
      <c r="AW34" s="50"/>
      <c r="AX34" s="51"/>
      <c r="AY34" s="49"/>
      <c r="AZ34" s="49"/>
      <c r="BA34" s="50"/>
      <c r="BB34" s="24"/>
      <c r="BC34" s="48"/>
      <c r="BD34" s="49"/>
      <c r="BE34" s="49"/>
      <c r="BF34" s="49"/>
      <c r="BG34" s="49"/>
      <c r="BH34" s="49"/>
      <c r="BI34" s="49"/>
      <c r="BJ34" s="24"/>
      <c r="BK34" s="48"/>
      <c r="BL34" s="49"/>
      <c r="BM34" s="49"/>
      <c r="BN34" s="49"/>
      <c r="BO34" s="49"/>
      <c r="BP34" s="49"/>
      <c r="BQ34" s="49"/>
      <c r="BR34" s="42">
        <v>34380</v>
      </c>
      <c r="BS34" s="48"/>
      <c r="BT34" s="49"/>
      <c r="BU34" s="49"/>
      <c r="BV34" s="49"/>
      <c r="BW34" s="49"/>
      <c r="BX34" s="49"/>
      <c r="BY34" s="49"/>
      <c r="BZ34" s="42">
        <v>356357</v>
      </c>
      <c r="CA34" s="48">
        <v>6.6000000000000003E-2</v>
      </c>
      <c r="CB34" s="49">
        <v>0.04</v>
      </c>
      <c r="CC34" s="50">
        <v>2.2999999999999998</v>
      </c>
      <c r="CD34" s="51">
        <v>23</v>
      </c>
      <c r="CE34" s="49">
        <v>57.75</v>
      </c>
      <c r="CF34" s="49">
        <v>0.4</v>
      </c>
      <c r="CG34" s="49">
        <v>8.8000000000000007</v>
      </c>
      <c r="CH34" s="42">
        <v>545664</v>
      </c>
      <c r="CI34" s="48">
        <v>8.5000000000000006E-2</v>
      </c>
      <c r="CJ34" s="49">
        <v>0.05</v>
      </c>
      <c r="CK34" s="49">
        <v>2.1</v>
      </c>
      <c r="CL34" s="49">
        <v>21</v>
      </c>
      <c r="CM34" s="49">
        <v>58.01</v>
      </c>
      <c r="CN34" s="49">
        <v>0.3</v>
      </c>
      <c r="CO34" s="49">
        <v>8.1999999999999993</v>
      </c>
      <c r="CP34" s="42">
        <v>591001</v>
      </c>
      <c r="CQ34" s="48">
        <v>5.7000000000000002E-2</v>
      </c>
      <c r="CR34" s="49">
        <v>0.04</v>
      </c>
      <c r="CS34" s="50">
        <v>2.1</v>
      </c>
      <c r="CT34" s="51">
        <v>21</v>
      </c>
      <c r="CU34" s="49">
        <v>52.65</v>
      </c>
      <c r="CV34" s="49">
        <v>0.3</v>
      </c>
      <c r="CW34" s="42">
        <v>460691</v>
      </c>
      <c r="CX34" s="48">
        <v>6.7000000000000004E-2</v>
      </c>
      <c r="CY34" s="49">
        <v>0.03</v>
      </c>
      <c r="CZ34" s="50">
        <v>1.9</v>
      </c>
      <c r="DA34" s="51">
        <v>19</v>
      </c>
      <c r="DB34" s="25">
        <v>34.49</v>
      </c>
      <c r="DC34" s="25">
        <v>54.2</v>
      </c>
      <c r="DD34" s="42"/>
      <c r="DE34" s="49"/>
      <c r="DF34" s="49"/>
      <c r="DG34" s="49"/>
      <c r="DH34" s="49"/>
      <c r="DI34" s="49"/>
      <c r="DJ34" s="49"/>
      <c r="DK34" s="49"/>
      <c r="DL34" s="56"/>
      <c r="DM34" s="24">
        <v>32951</v>
      </c>
      <c r="DN34" s="33">
        <v>0.13500000000000001</v>
      </c>
      <c r="DO34" s="25">
        <v>0.06</v>
      </c>
      <c r="DP34" s="25">
        <v>2.6</v>
      </c>
      <c r="DQ34" s="25">
        <v>26</v>
      </c>
      <c r="DR34" s="25">
        <v>58.9</v>
      </c>
      <c r="DS34" s="25"/>
      <c r="DT34" s="25">
        <v>7.6</v>
      </c>
      <c r="DU34" s="57"/>
      <c r="DV34" s="49"/>
      <c r="DW34" s="49"/>
      <c r="DX34" s="49"/>
      <c r="DY34" s="49"/>
      <c r="DZ34" s="49"/>
      <c r="EA34" s="49"/>
      <c r="EB34" s="49"/>
      <c r="EC34" s="49"/>
      <c r="ED34" s="56"/>
      <c r="EE34" s="42"/>
      <c r="EF34" s="49"/>
      <c r="EG34" s="49"/>
      <c r="EH34" s="49"/>
      <c r="EI34" s="49"/>
      <c r="EJ34" s="49"/>
      <c r="EK34" s="49"/>
      <c r="EL34" s="49"/>
      <c r="EM34" s="58"/>
      <c r="EN34" s="39"/>
      <c r="EO34" s="40">
        <f t="shared" si="4"/>
        <v>46141</v>
      </c>
      <c r="EP34" s="40">
        <v>45978</v>
      </c>
      <c r="EQ34" s="40">
        <v>46120</v>
      </c>
      <c r="ER34" s="40" t="s">
        <v>70</v>
      </c>
      <c r="ES34" s="40"/>
      <c r="ET34" s="40">
        <v>45930</v>
      </c>
      <c r="EU34" s="40">
        <v>46140</v>
      </c>
      <c r="EV34" s="40" t="s">
        <v>99</v>
      </c>
      <c r="EW34" s="40"/>
      <c r="EX34" s="40">
        <v>45992</v>
      </c>
      <c r="EY34" s="40">
        <v>46120</v>
      </c>
      <c r="EZ34" s="40" t="s">
        <v>71</v>
      </c>
      <c r="FA34" s="40"/>
      <c r="FB34" s="40">
        <v>45688</v>
      </c>
      <c r="FC34" s="40">
        <v>46139</v>
      </c>
      <c r="FD34" s="40"/>
      <c r="FE34" s="40">
        <v>46038</v>
      </c>
      <c r="FF34" s="40">
        <v>46055</v>
      </c>
      <c r="FG34" s="40"/>
      <c r="FH34" s="40">
        <v>46055</v>
      </c>
      <c r="FI34" s="40">
        <v>46129</v>
      </c>
      <c r="FJ34" s="40"/>
      <c r="FK34" s="40">
        <v>46037</v>
      </c>
      <c r="FL34" s="40">
        <v>46048</v>
      </c>
      <c r="FM34" s="40" t="s">
        <v>80</v>
      </c>
      <c r="FN34" s="40"/>
      <c r="FO34" s="40"/>
      <c r="FP34" s="40" t="s">
        <v>80</v>
      </c>
      <c r="FQ34" s="40">
        <v>46044</v>
      </c>
      <c r="FR34" s="40">
        <v>46134</v>
      </c>
      <c r="FS34" s="40" t="s">
        <v>80</v>
      </c>
      <c r="FT34" s="40">
        <v>46047</v>
      </c>
      <c r="FU34" s="40">
        <v>46056</v>
      </c>
      <c r="FV34" s="40" t="s">
        <v>78</v>
      </c>
      <c r="FW34" s="40">
        <v>46125</v>
      </c>
      <c r="FX34" s="40">
        <v>46139</v>
      </c>
      <c r="FY34" s="40" t="s">
        <v>102</v>
      </c>
      <c r="FZ34" s="40">
        <v>46132</v>
      </c>
      <c r="GA34" s="40">
        <v>46139</v>
      </c>
      <c r="GB34" s="40"/>
      <c r="GC34" s="40">
        <v>46023</v>
      </c>
      <c r="GD34" s="40">
        <v>46139</v>
      </c>
      <c r="GE34" s="40"/>
      <c r="GF34" s="40">
        <v>46130</v>
      </c>
      <c r="GG34" s="40">
        <v>46139</v>
      </c>
      <c r="GH34" s="40"/>
      <c r="GI34" s="40"/>
      <c r="GJ34" s="40"/>
      <c r="GK34" s="40" t="s">
        <v>80</v>
      </c>
      <c r="GL34" s="40">
        <v>46054</v>
      </c>
      <c r="GM34" s="40">
        <v>46054</v>
      </c>
      <c r="GN34" s="40"/>
      <c r="GO34" s="40"/>
      <c r="GP34" s="40"/>
      <c r="GQ34" s="40" t="s">
        <v>80</v>
      </c>
      <c r="GR34" s="40"/>
      <c r="GS34" s="40"/>
      <c r="GT34" s="3" t="s">
        <v>80</v>
      </c>
    </row>
    <row r="35" spans="1:202" s="11" customFormat="1" ht="15" thickBot="1" x14ac:dyDescent="0.4">
      <c r="B35" s="78">
        <f t="shared" si="3"/>
        <v>46142</v>
      </c>
      <c r="C35" s="79">
        <v>2545049</v>
      </c>
      <c r="D35" s="80">
        <v>5.44</v>
      </c>
      <c r="E35" s="80">
        <v>0.3</v>
      </c>
      <c r="F35" s="80">
        <v>1.87</v>
      </c>
      <c r="G35" s="81">
        <v>51.72</v>
      </c>
      <c r="H35" s="81">
        <v>2.85</v>
      </c>
      <c r="I35" s="81">
        <v>2.6</v>
      </c>
      <c r="J35" s="81">
        <f t="shared" si="2"/>
        <v>8.3000000000000007</v>
      </c>
      <c r="K35" s="82">
        <v>2217793</v>
      </c>
      <c r="L35" s="81">
        <v>4.5599999999999996</v>
      </c>
      <c r="M35" s="81">
        <v>0.25</v>
      </c>
      <c r="N35" s="81">
        <v>1.47</v>
      </c>
      <c r="O35" s="81">
        <v>52.87</v>
      </c>
      <c r="P35" s="81">
        <v>2.69</v>
      </c>
      <c r="Q35" s="81">
        <v>2.46</v>
      </c>
      <c r="R35" s="81">
        <f t="shared" si="0"/>
        <v>7.84</v>
      </c>
      <c r="S35" s="83">
        <v>2632188</v>
      </c>
      <c r="T35" s="81">
        <v>5.52</v>
      </c>
      <c r="U35" s="81">
        <v>0.28000000000000003</v>
      </c>
      <c r="V35" s="81">
        <v>1.82</v>
      </c>
      <c r="W35" s="84">
        <v>51.95</v>
      </c>
      <c r="X35" s="81">
        <v>2.86</v>
      </c>
      <c r="Y35" s="81">
        <v>2.38</v>
      </c>
      <c r="Z35" s="81">
        <f t="shared" si="1"/>
        <v>8.1</v>
      </c>
      <c r="AA35" s="82">
        <v>476862</v>
      </c>
      <c r="AB35" s="80">
        <v>88.74</v>
      </c>
      <c r="AC35" s="80">
        <v>0.25</v>
      </c>
      <c r="AD35" s="79">
        <v>545649</v>
      </c>
      <c r="AE35" s="85">
        <v>0.19900000000000001</v>
      </c>
      <c r="AF35" s="81">
        <v>7.0000000000000007E-2</v>
      </c>
      <c r="AG35" s="86">
        <v>2.2000000000000002</v>
      </c>
      <c r="AH35" s="87">
        <v>22</v>
      </c>
      <c r="AI35" s="81">
        <v>36.6</v>
      </c>
      <c r="AJ35" s="81"/>
      <c r="AK35" s="81">
        <v>50.2</v>
      </c>
      <c r="AL35" s="82">
        <v>554452</v>
      </c>
      <c r="AM35" s="88">
        <v>6.5000000000000002E-2</v>
      </c>
      <c r="AN35" s="80">
        <v>0.04</v>
      </c>
      <c r="AO35" s="89">
        <v>2</v>
      </c>
      <c r="AP35" s="90">
        <v>20</v>
      </c>
      <c r="AQ35" s="80">
        <v>38.520000000000003</v>
      </c>
      <c r="AR35" s="80"/>
      <c r="AS35" s="80">
        <v>53.4</v>
      </c>
      <c r="AT35" s="82"/>
      <c r="AU35" s="88"/>
      <c r="AV35" s="80"/>
      <c r="AW35" s="89"/>
      <c r="AX35" s="90"/>
      <c r="AY35" s="80"/>
      <c r="AZ35" s="80"/>
      <c r="BA35" s="89"/>
      <c r="BB35" s="82"/>
      <c r="BC35" s="88"/>
      <c r="BD35" s="80"/>
      <c r="BE35" s="80"/>
      <c r="BF35" s="90"/>
      <c r="BG35" s="80"/>
      <c r="BH35" s="80"/>
      <c r="BI35" s="80"/>
      <c r="BJ35" s="82"/>
      <c r="BK35" s="88"/>
      <c r="BL35" s="80"/>
      <c r="BM35" s="80"/>
      <c r="BN35" s="80"/>
      <c r="BO35" s="80"/>
      <c r="BP35" s="80"/>
      <c r="BQ35" s="80"/>
      <c r="BR35" s="82"/>
      <c r="BS35" s="88"/>
      <c r="BT35" s="80"/>
      <c r="BU35" s="89"/>
      <c r="BV35" s="90"/>
      <c r="BW35" s="80"/>
      <c r="BX35" s="80"/>
      <c r="BY35" s="80"/>
      <c r="BZ35" s="82">
        <v>204647</v>
      </c>
      <c r="CA35" s="88">
        <v>6.7000000000000004E-2</v>
      </c>
      <c r="CB35" s="80">
        <v>0.04</v>
      </c>
      <c r="CC35" s="89">
        <v>2.2999999999999998</v>
      </c>
      <c r="CD35" s="90">
        <v>23</v>
      </c>
      <c r="CE35" s="80">
        <v>57.75</v>
      </c>
      <c r="CF35" s="80">
        <v>0.4</v>
      </c>
      <c r="CG35" s="80">
        <v>8.8000000000000007</v>
      </c>
      <c r="CH35" s="82">
        <v>545664</v>
      </c>
      <c r="CI35" s="88">
        <v>8.5999999999999993E-2</v>
      </c>
      <c r="CJ35" s="80">
        <v>0.05</v>
      </c>
      <c r="CK35" s="80">
        <v>2.1</v>
      </c>
      <c r="CL35" s="80">
        <v>21</v>
      </c>
      <c r="CM35" s="80">
        <v>58.01</v>
      </c>
      <c r="CN35" s="80">
        <v>0.3</v>
      </c>
      <c r="CO35" s="80">
        <v>8.1999999999999993</v>
      </c>
      <c r="CP35" s="82">
        <v>591001</v>
      </c>
      <c r="CQ35" s="88">
        <v>5.8000000000000003E-2</v>
      </c>
      <c r="CR35" s="80">
        <v>0.04</v>
      </c>
      <c r="CS35" s="89">
        <v>2.1</v>
      </c>
      <c r="CT35" s="90">
        <v>21</v>
      </c>
      <c r="CU35" s="80">
        <v>52.65</v>
      </c>
      <c r="CV35" s="80">
        <v>0.3</v>
      </c>
      <c r="CW35" s="82">
        <v>460691</v>
      </c>
      <c r="CX35" s="88">
        <v>6.8000000000000005E-2</v>
      </c>
      <c r="CY35" s="80">
        <v>0.03</v>
      </c>
      <c r="CZ35" s="89">
        <v>1.9</v>
      </c>
      <c r="DA35" s="90">
        <v>19</v>
      </c>
      <c r="DB35" s="81">
        <v>34.49</v>
      </c>
      <c r="DC35" s="81">
        <v>54.2</v>
      </c>
      <c r="DD35" s="82"/>
      <c r="DE35" s="80"/>
      <c r="DF35" s="80"/>
      <c r="DG35" s="80"/>
      <c r="DH35" s="80"/>
      <c r="DI35" s="80"/>
      <c r="DJ35" s="80"/>
      <c r="DK35" s="80"/>
      <c r="DL35" s="91"/>
      <c r="DM35" s="79">
        <v>32951</v>
      </c>
      <c r="DN35" s="85">
        <v>0.13800000000000001</v>
      </c>
      <c r="DO35" s="81">
        <v>0.06</v>
      </c>
      <c r="DP35" s="81">
        <v>2.6</v>
      </c>
      <c r="DQ35" s="81">
        <v>26</v>
      </c>
      <c r="DR35" s="81">
        <v>58.9</v>
      </c>
      <c r="DS35" s="81"/>
      <c r="DT35" s="81">
        <v>7.6</v>
      </c>
      <c r="DU35" s="92"/>
      <c r="DV35" s="80"/>
      <c r="DW35" s="80"/>
      <c r="DX35" s="80"/>
      <c r="DY35" s="80"/>
      <c r="DZ35" s="80"/>
      <c r="EA35" s="80"/>
      <c r="EB35" s="80"/>
      <c r="EC35" s="80"/>
      <c r="ED35" s="91"/>
      <c r="EE35" s="82"/>
      <c r="EF35" s="80"/>
      <c r="EG35" s="80"/>
      <c r="EH35" s="80"/>
      <c r="EI35" s="80"/>
      <c r="EJ35" s="80"/>
      <c r="EK35" s="80"/>
      <c r="EL35" s="80"/>
      <c r="EM35" s="93"/>
      <c r="EN35" s="94"/>
      <c r="EO35" s="95">
        <f t="shared" si="4"/>
        <v>46142</v>
      </c>
      <c r="EP35" s="95">
        <v>45978</v>
      </c>
      <c r="EQ35" s="95">
        <v>46120</v>
      </c>
      <c r="ER35" s="95" t="s">
        <v>70</v>
      </c>
      <c r="ES35" s="95"/>
      <c r="ET35" s="95">
        <v>45930</v>
      </c>
      <c r="EU35" s="95">
        <v>46141</v>
      </c>
      <c r="EV35" s="95" t="s">
        <v>99</v>
      </c>
      <c r="EW35" s="95"/>
      <c r="EX35" s="95">
        <v>45992</v>
      </c>
      <c r="EY35" s="95">
        <v>46120</v>
      </c>
      <c r="EZ35" s="95" t="s">
        <v>71</v>
      </c>
      <c r="FA35" s="95"/>
      <c r="FB35" s="95">
        <v>45688</v>
      </c>
      <c r="FC35" s="95">
        <v>46139</v>
      </c>
      <c r="FD35" s="95"/>
      <c r="FE35" s="95">
        <v>46038</v>
      </c>
      <c r="FF35" s="95">
        <v>46055</v>
      </c>
      <c r="FG35" s="95"/>
      <c r="FH35" s="95">
        <v>46055</v>
      </c>
      <c r="FI35" s="95">
        <v>46129</v>
      </c>
      <c r="FJ35" s="95"/>
      <c r="FK35" s="95">
        <v>46037</v>
      </c>
      <c r="FL35" s="95">
        <v>46048</v>
      </c>
      <c r="FM35" s="95" t="s">
        <v>80</v>
      </c>
      <c r="FN35" s="95"/>
      <c r="FO35" s="95"/>
      <c r="FP35" s="95" t="s">
        <v>80</v>
      </c>
      <c r="FQ35" s="95">
        <v>46044</v>
      </c>
      <c r="FR35" s="95">
        <v>46134</v>
      </c>
      <c r="FS35" s="95" t="s">
        <v>80</v>
      </c>
      <c r="FT35" s="95">
        <v>46047</v>
      </c>
      <c r="FU35" s="95">
        <v>46056</v>
      </c>
      <c r="FV35" s="95" t="s">
        <v>80</v>
      </c>
      <c r="FW35" s="95">
        <v>46125</v>
      </c>
      <c r="FX35" s="95">
        <v>46139</v>
      </c>
      <c r="FY35" s="95" t="s">
        <v>103</v>
      </c>
      <c r="FZ35" s="95">
        <v>46132</v>
      </c>
      <c r="GA35" s="95">
        <v>46139</v>
      </c>
      <c r="GB35" s="95"/>
      <c r="GC35" s="95">
        <v>46023</v>
      </c>
      <c r="GD35" s="95">
        <v>46139</v>
      </c>
      <c r="GE35" s="95"/>
      <c r="GF35" s="95">
        <v>46130</v>
      </c>
      <c r="GG35" s="95">
        <v>46139</v>
      </c>
      <c r="GH35" s="95"/>
      <c r="GI35" s="95"/>
      <c r="GJ35" s="95"/>
      <c r="GK35" s="95" t="s">
        <v>80</v>
      </c>
      <c r="GL35" s="95">
        <v>46054</v>
      </c>
      <c r="GM35" s="95">
        <v>46054</v>
      </c>
      <c r="GN35" s="95"/>
      <c r="GO35" s="95"/>
      <c r="GP35" s="95"/>
      <c r="GQ35" s="95" t="s">
        <v>80</v>
      </c>
      <c r="GR35" s="95"/>
      <c r="GS35" s="95"/>
      <c r="GT35" s="11" t="s">
        <v>80</v>
      </c>
    </row>
    <row r="36" spans="1:202" ht="15" hidden="1" thickBot="1" x14ac:dyDescent="0.4">
      <c r="B36" s="41">
        <f t="shared" si="3"/>
        <v>46143</v>
      </c>
      <c r="C36" s="24">
        <v>2545049</v>
      </c>
      <c r="D36" s="49">
        <v>5.44</v>
      </c>
      <c r="E36" s="49">
        <v>0.3</v>
      </c>
      <c r="F36" s="49">
        <v>1.87</v>
      </c>
      <c r="G36" s="25">
        <v>51.72</v>
      </c>
      <c r="H36" s="25">
        <v>2.85</v>
      </c>
      <c r="I36" s="25">
        <v>2.6</v>
      </c>
      <c r="J36" s="25">
        <f t="shared" si="2"/>
        <v>8.3000000000000007</v>
      </c>
      <c r="K36" s="54">
        <v>2334073</v>
      </c>
      <c r="L36" s="25">
        <v>4.5999999999999996</v>
      </c>
      <c r="M36" s="25">
        <v>0.25</v>
      </c>
      <c r="N36" s="25">
        <v>1.48</v>
      </c>
      <c r="O36" s="25">
        <v>52.87</v>
      </c>
      <c r="P36" s="25">
        <v>2.69</v>
      </c>
      <c r="Q36" s="25">
        <v>2.46</v>
      </c>
      <c r="R36" s="25">
        <f t="shared" si="0"/>
        <v>7.84</v>
      </c>
      <c r="S36" s="26">
        <v>2632188</v>
      </c>
      <c r="T36" s="25">
        <v>5.52</v>
      </c>
      <c r="U36" s="25">
        <v>0.28000000000000003</v>
      </c>
      <c r="V36" s="25">
        <v>1.82</v>
      </c>
      <c r="W36" s="27">
        <v>51.95</v>
      </c>
      <c r="X36" s="25">
        <v>2.86</v>
      </c>
      <c r="Y36" s="25">
        <v>2.38</v>
      </c>
      <c r="Z36" s="25">
        <f t="shared" si="1"/>
        <v>8.1</v>
      </c>
      <c r="AA36" s="42">
        <v>476862</v>
      </c>
      <c r="AB36" s="49">
        <v>88.74</v>
      </c>
      <c r="AC36" s="49">
        <v>0.25</v>
      </c>
      <c r="AD36" s="24">
        <v>545649</v>
      </c>
      <c r="AE36" s="33">
        <v>0.19900000000000001</v>
      </c>
      <c r="AF36" s="25">
        <v>7.0000000000000007E-2</v>
      </c>
      <c r="AG36" s="34">
        <v>2.2000000000000002</v>
      </c>
      <c r="AH36" s="35">
        <v>22</v>
      </c>
      <c r="AI36" s="25">
        <v>36.6</v>
      </c>
      <c r="AJ36" s="25"/>
      <c r="AK36" s="25">
        <v>50.2</v>
      </c>
      <c r="AL36" s="42">
        <v>554452</v>
      </c>
      <c r="AM36" s="48">
        <v>6.5000000000000002E-2</v>
      </c>
      <c r="AN36" s="49">
        <v>0.04</v>
      </c>
      <c r="AO36" s="50">
        <v>2</v>
      </c>
      <c r="AP36" s="51">
        <v>20</v>
      </c>
      <c r="AQ36" s="49">
        <v>38.520000000000003</v>
      </c>
      <c r="AR36" s="49"/>
      <c r="AS36" s="49">
        <v>53.4</v>
      </c>
      <c r="AT36" s="42"/>
      <c r="AU36" s="48"/>
      <c r="AV36" s="49"/>
      <c r="AW36" s="50"/>
      <c r="AX36" s="51"/>
      <c r="AY36" s="49"/>
      <c r="AZ36" s="49"/>
      <c r="BA36" s="50"/>
      <c r="BB36" s="42"/>
      <c r="BC36" s="48"/>
      <c r="BD36" s="49"/>
      <c r="BE36" s="49"/>
      <c r="BF36" s="51"/>
      <c r="BG36" s="49"/>
      <c r="BH36" s="49"/>
      <c r="BI36" s="49"/>
      <c r="BJ36" s="42"/>
      <c r="BK36" s="48"/>
      <c r="BL36" s="49"/>
      <c r="BM36" s="49"/>
      <c r="BN36" s="49"/>
      <c r="BO36" s="49"/>
      <c r="BP36" s="49"/>
      <c r="BQ36" s="49"/>
      <c r="BR36" s="42"/>
      <c r="BS36" s="48"/>
      <c r="BT36" s="49"/>
      <c r="BU36" s="50"/>
      <c r="BV36" s="51"/>
      <c r="BW36" s="49"/>
      <c r="BX36" s="49"/>
      <c r="BY36" s="49"/>
      <c r="BZ36" s="54">
        <v>71217</v>
      </c>
      <c r="CA36" s="48">
        <v>6.7000000000000004E-2</v>
      </c>
      <c r="CB36" s="49">
        <v>0.04</v>
      </c>
      <c r="CC36" s="50">
        <v>2.2999999999999998</v>
      </c>
      <c r="CD36" s="51">
        <v>23</v>
      </c>
      <c r="CE36" s="49">
        <v>57.75</v>
      </c>
      <c r="CF36" s="49">
        <v>0.4</v>
      </c>
      <c r="CG36" s="49">
        <v>8.8000000000000007</v>
      </c>
      <c r="CH36" s="42">
        <v>545664</v>
      </c>
      <c r="CI36" s="48">
        <v>8.5999999999999993E-2</v>
      </c>
      <c r="CJ36" s="49">
        <v>0.05</v>
      </c>
      <c r="CK36" s="49">
        <v>2.1</v>
      </c>
      <c r="CL36" s="49">
        <v>21</v>
      </c>
      <c r="CM36" s="49">
        <v>58.01</v>
      </c>
      <c r="CN36" s="49">
        <v>0.3</v>
      </c>
      <c r="CO36" s="49">
        <v>8.1999999999999993</v>
      </c>
      <c r="CP36" s="42">
        <v>591001</v>
      </c>
      <c r="CQ36" s="48">
        <v>6.0999999999999999E-2</v>
      </c>
      <c r="CR36" s="49">
        <v>0.04</v>
      </c>
      <c r="CS36" s="50">
        <v>2.1</v>
      </c>
      <c r="CT36" s="51">
        <v>21</v>
      </c>
      <c r="CU36" s="49">
        <v>52.65</v>
      </c>
      <c r="CV36" s="49">
        <v>0.3</v>
      </c>
      <c r="CW36" s="42">
        <v>460691</v>
      </c>
      <c r="CX36" s="48">
        <v>6.8000000000000005E-2</v>
      </c>
      <c r="CY36" s="49">
        <v>0.03</v>
      </c>
      <c r="CZ36" s="50">
        <v>1.9</v>
      </c>
      <c r="DA36" s="51">
        <v>19</v>
      </c>
      <c r="DB36" s="25">
        <v>34.49</v>
      </c>
      <c r="DC36" s="25">
        <v>54.2</v>
      </c>
      <c r="DD36" s="54"/>
      <c r="DE36" s="55"/>
      <c r="DF36" s="55"/>
      <c r="DG36" s="55"/>
      <c r="DH36" s="55"/>
      <c r="DI36" s="55"/>
      <c r="DJ36" s="55"/>
      <c r="DK36" s="55"/>
      <c r="DL36" s="56"/>
      <c r="DM36" s="24">
        <v>32951</v>
      </c>
      <c r="DN36" s="33">
        <v>0.14199999999999999</v>
      </c>
      <c r="DO36" s="25">
        <v>0.06</v>
      </c>
      <c r="DP36" s="25">
        <v>2.6</v>
      </c>
      <c r="DQ36" s="25">
        <v>26</v>
      </c>
      <c r="DR36" s="25">
        <v>58.9</v>
      </c>
      <c r="DS36" s="25"/>
      <c r="DT36" s="25">
        <v>7.6</v>
      </c>
      <c r="DU36" s="57"/>
      <c r="DV36" s="55"/>
      <c r="DW36" s="55"/>
      <c r="DX36" s="55"/>
      <c r="DY36" s="55"/>
      <c r="DZ36" s="55"/>
      <c r="EA36" s="55"/>
      <c r="EB36" s="55"/>
      <c r="EC36" s="55"/>
      <c r="ED36" s="56"/>
      <c r="EE36" s="54"/>
      <c r="EF36" s="55"/>
      <c r="EG36" s="55"/>
      <c r="EH36" s="55"/>
      <c r="EI36" s="55"/>
      <c r="EJ36" s="55"/>
      <c r="EK36" s="55"/>
      <c r="EL36" s="55"/>
      <c r="EM36" s="58"/>
      <c r="EN36" s="39"/>
      <c r="EO36" s="40">
        <f t="shared" si="4"/>
        <v>46143</v>
      </c>
      <c r="EP36" s="40">
        <v>45978</v>
      </c>
      <c r="EQ36" s="40">
        <v>46120</v>
      </c>
      <c r="ER36" s="40" t="s">
        <v>70</v>
      </c>
      <c r="ES36" s="40"/>
      <c r="ET36" s="40">
        <v>45930</v>
      </c>
      <c r="EU36" s="40">
        <v>46142</v>
      </c>
      <c r="EV36" s="40" t="s">
        <v>99</v>
      </c>
      <c r="EW36" s="40"/>
      <c r="EX36" s="40">
        <v>45992</v>
      </c>
      <c r="EY36" s="40">
        <v>46120</v>
      </c>
      <c r="EZ36" s="40" t="s">
        <v>71</v>
      </c>
      <c r="FA36" s="40"/>
      <c r="FB36" s="40">
        <v>45688</v>
      </c>
      <c r="FC36" s="40">
        <v>46139</v>
      </c>
      <c r="FD36" s="40"/>
      <c r="FE36" s="40">
        <v>46038</v>
      </c>
      <c r="FF36" s="40">
        <v>46055</v>
      </c>
      <c r="FG36" s="40"/>
      <c r="FH36" s="40">
        <v>46055</v>
      </c>
      <c r="FI36" s="40">
        <v>46129</v>
      </c>
      <c r="FJ36" s="40"/>
      <c r="FK36" s="40"/>
      <c r="FL36" s="40"/>
      <c r="FM36" s="40" t="s">
        <v>80</v>
      </c>
      <c r="FN36" s="40"/>
      <c r="FO36" s="40"/>
      <c r="FP36" s="40" t="s">
        <v>80</v>
      </c>
      <c r="FQ36" s="40"/>
      <c r="FR36" s="40"/>
      <c r="FS36" s="40" t="s">
        <v>80</v>
      </c>
      <c r="FT36" s="40"/>
      <c r="FU36" s="40"/>
      <c r="FV36" s="40" t="s">
        <v>80</v>
      </c>
      <c r="FW36" s="40">
        <v>46125</v>
      </c>
      <c r="FX36" s="40">
        <v>46139</v>
      </c>
      <c r="FY36" s="40" t="s">
        <v>104</v>
      </c>
      <c r="FZ36" s="40">
        <v>46132</v>
      </c>
      <c r="GA36" s="40">
        <v>46139</v>
      </c>
      <c r="GB36" s="40"/>
      <c r="GC36" s="40">
        <v>46023</v>
      </c>
      <c r="GD36" s="40">
        <v>46139</v>
      </c>
      <c r="GE36" s="40"/>
      <c r="GF36" s="40">
        <v>46130</v>
      </c>
      <c r="GG36" s="40">
        <v>46139</v>
      </c>
      <c r="GH36" s="40"/>
      <c r="GI36" s="40"/>
      <c r="GJ36" s="40"/>
      <c r="GK36" s="40" t="s">
        <v>80</v>
      </c>
      <c r="GL36" s="40">
        <v>46054</v>
      </c>
      <c r="GM36" s="40">
        <v>46054</v>
      </c>
      <c r="GN36" s="40"/>
      <c r="GO36" s="40"/>
      <c r="GP36" s="40"/>
      <c r="GQ36" s="40" t="s">
        <v>80</v>
      </c>
      <c r="GR36" s="40"/>
      <c r="GS36" s="40"/>
      <c r="GT36" s="3" t="s">
        <v>80</v>
      </c>
    </row>
    <row r="37" spans="1:202" ht="15" hidden="1" thickBot="1" x14ac:dyDescent="0.4">
      <c r="B37" s="41">
        <f t="shared" si="3"/>
        <v>46144</v>
      </c>
      <c r="C37" s="42"/>
      <c r="D37" s="49"/>
      <c r="E37" s="49"/>
      <c r="F37" s="49"/>
      <c r="G37" s="49"/>
      <c r="H37" s="49"/>
      <c r="I37" s="49"/>
      <c r="J37" s="49"/>
      <c r="K37" s="54"/>
      <c r="L37" s="55"/>
      <c r="M37" s="55"/>
      <c r="N37" s="55"/>
      <c r="O37" s="55"/>
      <c r="P37" s="55"/>
      <c r="Q37" s="55"/>
      <c r="R37" s="49"/>
      <c r="S37" s="42"/>
      <c r="T37" s="49"/>
      <c r="U37" s="49"/>
      <c r="V37" s="49"/>
      <c r="W37" s="49"/>
      <c r="X37" s="49"/>
      <c r="Y37" s="49"/>
      <c r="Z37" s="49"/>
      <c r="AA37" s="42"/>
      <c r="AB37" s="49"/>
      <c r="AC37" s="49"/>
      <c r="AD37" s="42"/>
      <c r="AE37" s="48"/>
      <c r="AF37" s="49"/>
      <c r="AG37" s="50"/>
      <c r="AH37" s="51"/>
      <c r="AI37" s="49"/>
      <c r="AJ37" s="49"/>
      <c r="AK37" s="50"/>
      <c r="AL37" s="54"/>
      <c r="AM37" s="55"/>
      <c r="AN37" s="55"/>
      <c r="AO37" s="55"/>
      <c r="AP37" s="55"/>
      <c r="AQ37" s="55"/>
      <c r="AR37" s="55"/>
      <c r="AS37" s="55"/>
      <c r="AT37" s="42"/>
      <c r="AU37" s="48"/>
      <c r="AV37" s="49"/>
      <c r="AW37" s="50"/>
      <c r="AX37" s="51"/>
      <c r="AY37" s="49"/>
      <c r="AZ37" s="49"/>
      <c r="BA37" s="50"/>
      <c r="BB37" s="42"/>
      <c r="BC37" s="48"/>
      <c r="BD37" s="49"/>
      <c r="BE37" s="49"/>
      <c r="BF37" s="51"/>
      <c r="BG37" s="49"/>
      <c r="BH37" s="49"/>
      <c r="BI37" s="49"/>
      <c r="BJ37" s="42"/>
      <c r="BK37" s="48"/>
      <c r="BL37" s="49"/>
      <c r="BM37" s="49"/>
      <c r="BN37" s="49"/>
      <c r="BO37" s="49"/>
      <c r="BP37" s="49"/>
      <c r="BQ37" s="49"/>
      <c r="BR37" s="42"/>
      <c r="BS37" s="48"/>
      <c r="BT37" s="49"/>
      <c r="BU37" s="50"/>
      <c r="BV37" s="51"/>
      <c r="BW37" s="49"/>
      <c r="BX37" s="49"/>
      <c r="BY37" s="49"/>
      <c r="BZ37" s="54"/>
      <c r="CA37" s="74"/>
      <c r="CB37" s="55"/>
      <c r="CC37" s="75"/>
      <c r="CD37" s="76"/>
      <c r="CE37" s="55"/>
      <c r="CF37" s="55"/>
      <c r="CG37" s="55"/>
      <c r="CH37" s="54"/>
      <c r="CI37" s="74"/>
      <c r="CJ37" s="55"/>
      <c r="CK37" s="55"/>
      <c r="CL37" s="55"/>
      <c r="CM37" s="55"/>
      <c r="CN37" s="55"/>
      <c r="CO37" s="55"/>
      <c r="CP37" s="42"/>
      <c r="CQ37" s="48"/>
      <c r="CR37" s="49"/>
      <c r="CS37" s="50"/>
      <c r="CT37" s="51"/>
      <c r="CU37" s="49"/>
      <c r="CV37" s="49"/>
      <c r="CW37" s="42"/>
      <c r="CX37" s="48"/>
      <c r="CY37" s="49"/>
      <c r="CZ37" s="50"/>
      <c r="DA37" s="51"/>
      <c r="DB37" s="49"/>
      <c r="DC37" s="49"/>
      <c r="DD37" s="54"/>
      <c r="DE37" s="55"/>
      <c r="DF37" s="55"/>
      <c r="DG37" s="55"/>
      <c r="DH37" s="55"/>
      <c r="DI37" s="55"/>
      <c r="DJ37" s="55"/>
      <c r="DK37" s="55"/>
      <c r="DL37" s="56"/>
      <c r="DM37" s="54"/>
      <c r="DN37" s="55"/>
      <c r="DO37" s="55"/>
      <c r="DP37" s="55"/>
      <c r="DQ37" s="55"/>
      <c r="DR37" s="55"/>
      <c r="DS37" s="55"/>
      <c r="DT37" s="55"/>
      <c r="DU37" s="57"/>
      <c r="DV37" s="55"/>
      <c r="DW37" s="55"/>
      <c r="DX37" s="55"/>
      <c r="DY37" s="55"/>
      <c r="DZ37" s="55"/>
      <c r="EA37" s="55"/>
      <c r="EB37" s="55"/>
      <c r="EC37" s="55"/>
      <c r="ED37" s="56"/>
      <c r="EE37" s="54"/>
      <c r="EF37" s="55"/>
      <c r="EG37" s="55"/>
      <c r="EH37" s="55"/>
      <c r="EI37" s="55"/>
      <c r="EJ37" s="55"/>
      <c r="EK37" s="55"/>
      <c r="EL37" s="55"/>
      <c r="EM37" s="58"/>
      <c r="EN37" s="39"/>
      <c r="EO37" s="40">
        <f t="shared" si="4"/>
        <v>46144</v>
      </c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</row>
    <row r="38" spans="1:202" s="12" customFormat="1" ht="17" customHeight="1" thickBot="1" x14ac:dyDescent="0.4">
      <c r="A38" s="3"/>
      <c r="B38" s="59"/>
      <c r="C38" s="60"/>
      <c r="D38" s="61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0"/>
      <c r="T38" s="61"/>
      <c r="U38" s="61"/>
      <c r="V38" s="61"/>
      <c r="W38" s="61"/>
      <c r="X38" s="61"/>
      <c r="Y38" s="61"/>
      <c r="Z38" s="61"/>
      <c r="AA38" s="60"/>
      <c r="AB38" s="61"/>
      <c r="AC38" s="61"/>
      <c r="AD38" s="60"/>
      <c r="AE38" s="62"/>
      <c r="AF38" s="61"/>
      <c r="AG38" s="63"/>
      <c r="AH38" s="64"/>
      <c r="AI38" s="61"/>
      <c r="AJ38" s="61"/>
      <c r="AK38" s="63"/>
      <c r="AL38" s="60"/>
      <c r="AM38" s="61"/>
      <c r="AN38" s="61"/>
      <c r="AO38" s="61"/>
      <c r="AP38" s="61"/>
      <c r="AQ38" s="61"/>
      <c r="AR38" s="61"/>
      <c r="AS38" s="61"/>
      <c r="AT38" s="60"/>
      <c r="AU38" s="62"/>
      <c r="AV38" s="61"/>
      <c r="AW38" s="63"/>
      <c r="AX38" s="64"/>
      <c r="AY38" s="61"/>
      <c r="AZ38" s="61"/>
      <c r="BA38" s="63"/>
      <c r="BB38" s="60"/>
      <c r="BC38" s="62"/>
      <c r="BD38" s="61"/>
      <c r="BE38" s="61"/>
      <c r="BF38" s="61"/>
      <c r="BG38" s="61"/>
      <c r="BH38" s="61"/>
      <c r="BI38" s="61"/>
      <c r="BJ38" s="60"/>
      <c r="BK38" s="61"/>
      <c r="BL38" s="61"/>
      <c r="BM38" s="61"/>
      <c r="BN38" s="61"/>
      <c r="BO38" s="61"/>
      <c r="BP38" s="61"/>
      <c r="BQ38" s="61"/>
      <c r="BR38" s="60"/>
      <c r="BS38" s="62"/>
      <c r="BT38" s="61"/>
      <c r="BU38" s="63"/>
      <c r="BV38" s="64"/>
      <c r="BW38" s="61"/>
      <c r="BX38" s="61"/>
      <c r="BY38" s="61"/>
      <c r="BZ38" s="60"/>
      <c r="CA38" s="61"/>
      <c r="CB38" s="61"/>
      <c r="CC38" s="63"/>
      <c r="CD38" s="64"/>
      <c r="CE38" s="61"/>
      <c r="CF38" s="61"/>
      <c r="CG38" s="61"/>
      <c r="CH38" s="60"/>
      <c r="CI38" s="62"/>
      <c r="CJ38" s="61"/>
      <c r="CK38" s="61"/>
      <c r="CL38" s="61"/>
      <c r="CM38" s="61"/>
      <c r="CN38" s="61"/>
      <c r="CO38" s="61"/>
      <c r="CP38" s="60"/>
      <c r="CQ38" s="62"/>
      <c r="CR38" s="61"/>
      <c r="CS38" s="63"/>
      <c r="CT38" s="64"/>
      <c r="CU38" s="61"/>
      <c r="CV38" s="61"/>
      <c r="CW38" s="60"/>
      <c r="CX38" s="62"/>
      <c r="CY38" s="61"/>
      <c r="CZ38" s="63"/>
      <c r="DA38" s="64"/>
      <c r="DB38" s="61"/>
      <c r="DC38" s="61"/>
      <c r="DD38" s="60"/>
      <c r="DE38" s="61"/>
      <c r="DF38" s="61"/>
      <c r="DG38" s="61"/>
      <c r="DH38" s="61"/>
      <c r="DI38" s="61"/>
      <c r="DJ38" s="61"/>
      <c r="DK38" s="61"/>
      <c r="DL38" s="65"/>
      <c r="DM38" s="60"/>
      <c r="DN38" s="61"/>
      <c r="DO38" s="61"/>
      <c r="DP38" s="61"/>
      <c r="DQ38" s="61"/>
      <c r="DR38" s="61"/>
      <c r="DS38" s="61"/>
      <c r="DT38" s="61"/>
      <c r="DU38" s="66"/>
      <c r="DV38" s="61"/>
      <c r="DW38" s="61"/>
      <c r="DX38" s="61"/>
      <c r="DY38" s="61"/>
      <c r="DZ38" s="61"/>
      <c r="EA38" s="61"/>
      <c r="EB38" s="61"/>
      <c r="EC38" s="61"/>
      <c r="ED38" s="61"/>
      <c r="EE38" s="60"/>
      <c r="EF38" s="61"/>
      <c r="EG38" s="61"/>
      <c r="EH38" s="61"/>
      <c r="EI38" s="61"/>
      <c r="EJ38" s="61"/>
      <c r="EK38" s="61"/>
      <c r="EL38" s="61"/>
      <c r="EM38" s="61"/>
      <c r="EN38" s="67"/>
      <c r="EO38" s="40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  <c r="FZ38" s="68"/>
      <c r="GA38" s="68"/>
      <c r="GB38" s="68"/>
      <c r="GC38" s="68"/>
      <c r="GD38" s="68"/>
      <c r="GE38" s="68"/>
      <c r="GF38" s="68"/>
      <c r="GG38" s="68"/>
      <c r="GH38" s="68"/>
      <c r="GI38" s="68"/>
      <c r="GJ38" s="68"/>
      <c r="GK38" s="68"/>
      <c r="GL38" s="68"/>
      <c r="GM38" s="68"/>
      <c r="GN38" s="68"/>
      <c r="GO38" s="68"/>
      <c r="GP38" s="68"/>
      <c r="GQ38" s="68"/>
      <c r="GR38" s="68"/>
      <c r="GS38" s="68"/>
    </row>
    <row r="39" spans="1:202" s="12" customFormat="1" ht="17" hidden="1" customHeight="1" thickBot="1" x14ac:dyDescent="0.4">
      <c r="A39" s="3"/>
      <c r="B39" s="69">
        <f>B6-1</f>
        <v>46112</v>
      </c>
      <c r="C39" s="60"/>
      <c r="D39" s="61"/>
      <c r="E39" s="61"/>
      <c r="F39" s="61"/>
      <c r="G39" s="61"/>
      <c r="H39" s="61"/>
      <c r="I39" s="61"/>
      <c r="J39" s="61"/>
      <c r="K39" s="60"/>
      <c r="L39" s="61"/>
      <c r="M39" s="61"/>
      <c r="N39" s="61"/>
      <c r="O39" s="61"/>
      <c r="P39" s="61"/>
      <c r="Q39" s="61"/>
      <c r="R39" s="61"/>
      <c r="S39" s="60"/>
      <c r="T39" s="61"/>
      <c r="U39" s="61"/>
      <c r="V39" s="61"/>
      <c r="W39" s="61"/>
      <c r="X39" s="61"/>
      <c r="Y39" s="61"/>
      <c r="Z39" s="61"/>
      <c r="AA39" s="60"/>
      <c r="AB39" s="61"/>
      <c r="AC39" s="61"/>
      <c r="AD39" s="60"/>
      <c r="AE39" s="61"/>
      <c r="AF39" s="61"/>
      <c r="AG39" s="61"/>
      <c r="AH39" s="61"/>
      <c r="AI39" s="61"/>
      <c r="AJ39" s="61"/>
      <c r="AK39" s="61"/>
      <c r="AL39" s="60"/>
      <c r="AM39" s="61"/>
      <c r="AN39" s="61"/>
      <c r="AO39" s="61"/>
      <c r="AP39" s="61"/>
      <c r="AQ39" s="61"/>
      <c r="AR39" s="61"/>
      <c r="AS39" s="61"/>
      <c r="AT39" s="60"/>
      <c r="AU39" s="61"/>
      <c r="AV39" s="61"/>
      <c r="AW39" s="61"/>
      <c r="AX39" s="61"/>
      <c r="AY39" s="61"/>
      <c r="AZ39" s="61"/>
      <c r="BA39" s="61"/>
      <c r="BB39" s="60"/>
      <c r="BC39" s="61"/>
      <c r="BD39" s="61"/>
      <c r="BE39" s="61"/>
      <c r="BF39" s="61"/>
      <c r="BG39" s="61"/>
      <c r="BH39" s="61"/>
      <c r="BI39" s="61"/>
      <c r="BJ39" s="60"/>
      <c r="BK39" s="61"/>
      <c r="BL39" s="61"/>
      <c r="BM39" s="61"/>
      <c r="BN39" s="61"/>
      <c r="BO39" s="61"/>
      <c r="BP39" s="61"/>
      <c r="BQ39" s="61"/>
      <c r="BR39" s="60"/>
      <c r="BS39" s="61"/>
      <c r="BT39" s="61"/>
      <c r="BU39" s="61"/>
      <c r="BV39" s="61"/>
      <c r="BW39" s="61"/>
      <c r="BX39" s="61"/>
      <c r="BY39" s="61"/>
      <c r="BZ39" s="60"/>
      <c r="CA39" s="61"/>
      <c r="CB39" s="61"/>
      <c r="CC39" s="61"/>
      <c r="CD39" s="61"/>
      <c r="CE39" s="61"/>
      <c r="CF39" s="61"/>
      <c r="CG39" s="61"/>
      <c r="CH39" s="60"/>
      <c r="CI39" s="61"/>
      <c r="CJ39" s="61"/>
      <c r="CK39" s="61"/>
      <c r="CL39" s="61"/>
      <c r="CM39" s="61"/>
      <c r="CN39" s="61"/>
      <c r="CO39" s="61"/>
      <c r="CP39" s="60"/>
      <c r="CQ39" s="61"/>
      <c r="CR39" s="61"/>
      <c r="CS39" s="61"/>
      <c r="CT39" s="61"/>
      <c r="CU39" s="61"/>
      <c r="CV39" s="61"/>
      <c r="CW39" s="60"/>
      <c r="CX39" s="61"/>
      <c r="CY39" s="61"/>
      <c r="CZ39" s="61"/>
      <c r="DA39" s="61"/>
      <c r="DB39" s="61"/>
      <c r="DC39" s="61"/>
      <c r="DD39" s="60"/>
      <c r="DE39" s="61"/>
      <c r="DF39" s="61"/>
      <c r="DG39" s="61"/>
      <c r="DH39" s="61"/>
      <c r="DI39" s="61"/>
      <c r="DJ39" s="61"/>
      <c r="DK39" s="61"/>
      <c r="DL39" s="61"/>
      <c r="DM39" s="60"/>
      <c r="DN39" s="61"/>
      <c r="DO39" s="61"/>
      <c r="DP39" s="61"/>
      <c r="DQ39" s="61"/>
      <c r="DR39" s="61"/>
      <c r="DS39" s="61"/>
      <c r="DT39" s="61"/>
      <c r="DU39" s="66"/>
      <c r="DV39" s="61"/>
      <c r="DW39" s="61"/>
      <c r="DX39" s="61"/>
      <c r="DY39" s="61"/>
      <c r="DZ39" s="61"/>
      <c r="EA39" s="61"/>
      <c r="EB39" s="61"/>
      <c r="EC39" s="61"/>
      <c r="ED39" s="61"/>
      <c r="EE39" s="60"/>
      <c r="EF39" s="61"/>
      <c r="EG39" s="61"/>
      <c r="EH39" s="61"/>
      <c r="EI39" s="61"/>
      <c r="EJ39" s="61"/>
      <c r="EK39" s="61"/>
      <c r="EL39" s="61"/>
      <c r="EM39" s="61"/>
      <c r="EN39" s="67"/>
      <c r="EO39" s="3"/>
    </row>
  </sheetData>
  <mergeCells count="74">
    <mergeCell ref="B2:B5"/>
    <mergeCell ref="C2:Z2"/>
    <mergeCell ref="AA2:AC2"/>
    <mergeCell ref="AD2:AS2"/>
    <mergeCell ref="AT2:CO2"/>
    <mergeCell ref="BJ3:BQ3"/>
    <mergeCell ref="BR3:BY3"/>
    <mergeCell ref="BZ3:CG3"/>
    <mergeCell ref="CH3:CO3"/>
    <mergeCell ref="AG4:AH4"/>
    <mergeCell ref="CC4:CD4"/>
    <mergeCell ref="CK4:CL4"/>
    <mergeCell ref="DV3:ED3"/>
    <mergeCell ref="EE3:EM3"/>
    <mergeCell ref="CW2:DC2"/>
    <mergeCell ref="DD2:EM2"/>
    <mergeCell ref="C3:J3"/>
    <mergeCell ref="K3:R3"/>
    <mergeCell ref="S3:Z3"/>
    <mergeCell ref="AA3:AC3"/>
    <mergeCell ref="AD3:AK3"/>
    <mergeCell ref="AL3:AS3"/>
    <mergeCell ref="AT3:BA3"/>
    <mergeCell ref="BB3:BI3"/>
    <mergeCell ref="CP2:CV2"/>
    <mergeCell ref="CP3:CV3"/>
    <mergeCell ref="CW3:DC3"/>
    <mergeCell ref="DD3:DL3"/>
    <mergeCell ref="DM3:DU3"/>
    <mergeCell ref="C4:C5"/>
    <mergeCell ref="K4:K5"/>
    <mergeCell ref="S4:S5"/>
    <mergeCell ref="AA4:AA5"/>
    <mergeCell ref="AD4:AD5"/>
    <mergeCell ref="CP4:CP5"/>
    <mergeCell ref="AL4:AL5"/>
    <mergeCell ref="AO4:AP4"/>
    <mergeCell ref="AT4:AT5"/>
    <mergeCell ref="AW4:AX4"/>
    <mergeCell ref="BB4:BB5"/>
    <mergeCell ref="BE4:BF4"/>
    <mergeCell ref="BJ4:BJ5"/>
    <mergeCell ref="BM4:BN4"/>
    <mergeCell ref="BU4:BV4"/>
    <mergeCell ref="CS4:CT4"/>
    <mergeCell ref="CW4:CW5"/>
    <mergeCell ref="CZ4:DA4"/>
    <mergeCell ref="DD4:DD5"/>
    <mergeCell ref="DG4:DH4"/>
    <mergeCell ref="FZ4:GB4"/>
    <mergeCell ref="GC4:GE4"/>
    <mergeCell ref="ET4:EW4"/>
    <mergeCell ref="EX4:FA4"/>
    <mergeCell ref="FB4:FD4"/>
    <mergeCell ref="FE4:FG4"/>
    <mergeCell ref="FH4:FJ4"/>
    <mergeCell ref="FK4:FM4"/>
    <mergeCell ref="CX23:DC23"/>
    <mergeCell ref="FN4:FP4"/>
    <mergeCell ref="FQ4:FS4"/>
    <mergeCell ref="FT4:FV4"/>
    <mergeCell ref="FW4:FY4"/>
    <mergeCell ref="DP4:DQ4"/>
    <mergeCell ref="DY4:DZ4"/>
    <mergeCell ref="EE4:EE5"/>
    <mergeCell ref="EH4:EI4"/>
    <mergeCell ref="EO4:EO5"/>
    <mergeCell ref="EP4:ES4"/>
    <mergeCell ref="DM4:DM5"/>
    <mergeCell ref="GF4:GH4"/>
    <mergeCell ref="GI4:GK4"/>
    <mergeCell ref="GL4:GN4"/>
    <mergeCell ref="GO4:GQ4"/>
    <mergeCell ref="GR4:GT4"/>
  </mergeCells>
  <conditionalFormatting sqref="D6:D37 L6:L37 T6:T37">
    <cfRule type="cellIs" dxfId="72" priority="23" operator="greaterThan">
      <formula>5</formula>
    </cfRule>
  </conditionalFormatting>
  <conditionalFormatting sqref="E6:E37 M6:M37 U6:U37">
    <cfRule type="cellIs" dxfId="71" priority="22" operator="greaterThan">
      <formula>0.5</formula>
    </cfRule>
  </conditionalFormatting>
  <conditionalFormatting sqref="F6:F37 N6:N37 V6:V37">
    <cfRule type="cellIs" dxfId="70" priority="21" operator="lessThan">
      <formula>2</formula>
    </cfRule>
  </conditionalFormatting>
  <conditionalFormatting sqref="G6:G37 O6:O37 W6:W37">
    <cfRule type="cellIs" dxfId="69" priority="20" operator="lessThan">
      <formula>51</formula>
    </cfRule>
  </conditionalFormatting>
  <conditionalFormatting sqref="H6:H37 P6:P37 X6:X37">
    <cfRule type="cellIs" dxfId="68" priority="19" operator="greaterThan">
      <formula>2.5</formula>
    </cfRule>
  </conditionalFormatting>
  <conditionalFormatting sqref="I6:I37 Q6:Q37 Y6:Y37">
    <cfRule type="cellIs" dxfId="67" priority="18" operator="greaterThan">
      <formula>5</formula>
    </cfRule>
  </conditionalFormatting>
  <conditionalFormatting sqref="J6:J37 R6:R37 Z6:Z37">
    <cfRule type="cellIs" dxfId="66" priority="17" operator="greaterThan">
      <formula>10</formula>
    </cfRule>
  </conditionalFormatting>
  <conditionalFormatting sqref="AB6:AB37">
    <cfRule type="cellIs" dxfId="65" priority="16" operator="lessThan">
      <formula>70</formula>
    </cfRule>
  </conditionalFormatting>
  <conditionalFormatting sqref="AC6:AC37">
    <cfRule type="cellIs" dxfId="64" priority="15" operator="greaterThan">
      <formula>1</formula>
    </cfRule>
  </conditionalFormatting>
  <conditionalFormatting sqref="AE6:AE37 AM6:AM37">
    <cfRule type="cellIs" dxfId="63" priority="14" operator="greaterThan">
      <formula>0.2</formula>
    </cfRule>
  </conditionalFormatting>
  <conditionalFormatting sqref="AF6:AF37 AN6:AN37">
    <cfRule type="cellIs" dxfId="62" priority="13" operator="greaterThan">
      <formula>0.15</formula>
    </cfRule>
  </conditionalFormatting>
  <conditionalFormatting sqref="AG6:AG37 AO6:AO37">
    <cfRule type="cellIs" dxfId="61" priority="12" operator="greaterThan">
      <formula>3</formula>
    </cfRule>
  </conditionalFormatting>
  <conditionalFormatting sqref="AI6:AI37 AQ6:AQ37">
    <cfRule type="cellIs" dxfId="60" priority="11" operator="lessThan">
      <formula>30</formula>
    </cfRule>
  </conditionalFormatting>
  <conditionalFormatting sqref="AK6:AK37 AS6:AS37">
    <cfRule type="cellIs" dxfId="59" priority="10" operator="lessThan">
      <formula>44</formula>
    </cfRule>
  </conditionalFormatting>
  <conditionalFormatting sqref="AU6:AV37 BC6:BD37 BK6:BL37 BS6:BT37 CA6:CB37 CI6:CJ37 DE6:DF37 DN6:DO37 DW6:DX37 EF6:EG37">
    <cfRule type="cellIs" dxfId="58" priority="9" operator="greaterThan">
      <formula>0.1</formula>
    </cfRule>
  </conditionalFormatting>
  <conditionalFormatting sqref="AY6:AY37 BG6:BG37 BO6:BO37 BW6:BW37 CM6:CM37 DI6:DI37 DR6:DR37 EA6:EA37 EJ6:EJ37 CE6:CE38">
    <cfRule type="cellIs" dxfId="57" priority="7" operator="lessThan">
      <formula>56</formula>
    </cfRule>
  </conditionalFormatting>
  <conditionalFormatting sqref="BA6:BA37 BI6:BI37 BQ6:BQ37 BY6:BY37 CG6:CG37 CO6:CO37 DK6:DK37 DT6:DT37 EC6:EC37 EL6:EL37">
    <cfRule type="cellIs" dxfId="56" priority="6" operator="greaterThan">
      <formula>10</formula>
    </cfRule>
  </conditionalFormatting>
  <conditionalFormatting sqref="CX6:CY22 CQ6:CR37 CX23 CX24:CY37">
    <cfRule type="cellIs" dxfId="55" priority="5" operator="greaterThan">
      <formula>0.1</formula>
    </cfRule>
  </conditionalFormatting>
  <conditionalFormatting sqref="CZ6:CZ22 AW6:AW37 BE6:BE37 BM6:BM37 BU6:BU37 CC6:CC37 CK6:CK37 CS6:CS37 DG6:DG37 DP6:DP37 DY6:DY37 EH6:EH37 CZ24:CZ37">
    <cfRule type="cellIs" dxfId="54" priority="8" operator="greaterThan">
      <formula>3</formula>
    </cfRule>
  </conditionalFormatting>
  <conditionalFormatting sqref="DB6:DB22 CU6:CU37">
    <cfRule type="cellIs" dxfId="53" priority="4" operator="lessThan">
      <formula>50</formula>
    </cfRule>
  </conditionalFormatting>
  <conditionalFormatting sqref="DB24:DB37">
    <cfRule type="cellIs" dxfId="52" priority="2" operator="lessThan">
      <formula>30</formula>
    </cfRule>
  </conditionalFormatting>
  <conditionalFormatting sqref="DC6:DC22 CV6:CV37">
    <cfRule type="cellIs" dxfId="51" priority="3" operator="greaterThan">
      <formula>1</formula>
    </cfRule>
  </conditionalFormatting>
  <conditionalFormatting sqref="DC24:DC37">
    <cfRule type="cellIs" dxfId="50" priority="1" operator="lessThan">
      <formula>44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A440-FFBC-40B5-AAE9-78409F4EDB88}">
  <dimension ref="A1:GT44"/>
  <sheetViews>
    <sheetView view="pageBreakPreview" zoomScale="60" zoomScaleNormal="120" workbookViewId="0">
      <pane xSplit="2" ySplit="5" topLeftCell="EF6" activePane="bottomRight" state="frozen"/>
      <selection pane="topRight" activeCell="C1" sqref="C1"/>
      <selection pane="bottomLeft" activeCell="A5" sqref="A5"/>
      <selection pane="bottomRight" activeCell="CV31" sqref="CV31:CV37"/>
    </sheetView>
  </sheetViews>
  <sheetFormatPr defaultColWidth="8.81640625" defaultRowHeight="14.5" x14ac:dyDescent="0.35"/>
  <cols>
    <col min="1" max="1" width="8.81640625" style="3"/>
    <col min="2" max="2" width="14.81640625" style="3" customWidth="1"/>
    <col min="3" max="3" width="10.7265625" style="2" customWidth="1"/>
    <col min="4" max="10" width="8.90625" style="70" customWidth="1"/>
    <col min="11" max="11" width="11.81640625" style="2" customWidth="1"/>
    <col min="12" max="18" width="8.90625" style="70" customWidth="1"/>
    <col min="19" max="19" width="10.453125" style="2" bestFit="1" customWidth="1"/>
    <col min="20" max="26" width="8.81640625" style="70" customWidth="1"/>
    <col min="27" max="27" width="8.81640625" style="2" customWidth="1"/>
    <col min="28" max="29" width="8.81640625" style="70" customWidth="1"/>
    <col min="30" max="30" width="8.81640625" style="2" customWidth="1"/>
    <col min="31" max="37" width="8.81640625" style="70" customWidth="1"/>
    <col min="38" max="38" width="8.81640625" style="2" customWidth="1"/>
    <col min="39" max="45" width="8.81640625" style="70" customWidth="1"/>
    <col min="46" max="46" width="8.81640625" style="2" customWidth="1"/>
    <col min="47" max="48" width="8.81640625" style="70" customWidth="1"/>
    <col min="49" max="53" width="8.81640625" style="70" hidden="1" customWidth="1"/>
    <col min="54" max="54" width="8.81640625" style="2" customWidth="1"/>
    <col min="55" max="61" width="8.81640625" style="70" customWidth="1"/>
    <col min="62" max="62" width="8.81640625" style="2" customWidth="1"/>
    <col min="63" max="69" width="8.81640625" style="70" customWidth="1"/>
    <col min="70" max="70" width="8.81640625" style="2" customWidth="1"/>
    <col min="71" max="77" width="8.81640625" style="70" customWidth="1"/>
    <col min="78" max="78" width="8.81640625" style="2" customWidth="1"/>
    <col min="79" max="85" width="8.81640625" style="70" customWidth="1"/>
    <col min="86" max="86" width="8.81640625" style="2" customWidth="1"/>
    <col min="87" max="93" width="8.81640625" style="70" customWidth="1"/>
    <col min="94" max="94" width="10.1796875" style="2" customWidth="1"/>
    <col min="95" max="100" width="8.81640625" style="70" customWidth="1"/>
    <col min="101" max="101" width="10.1796875" style="2" bestFit="1" customWidth="1"/>
    <col min="102" max="107" width="8.81640625" style="70" customWidth="1"/>
    <col min="108" max="108" width="8.81640625" style="2" customWidth="1"/>
    <col min="109" max="116" width="8.81640625" style="70" customWidth="1"/>
    <col min="117" max="117" width="8.81640625" style="2" customWidth="1"/>
    <col min="118" max="124" width="8.81640625" style="70" customWidth="1"/>
    <col min="125" max="125" width="8.81640625" style="3" customWidth="1"/>
    <col min="126" max="134" width="8.81640625" style="70" customWidth="1"/>
    <col min="135" max="135" width="8.81640625" style="2" customWidth="1"/>
    <col min="136" max="144" width="8.81640625" style="70" customWidth="1"/>
    <col min="145" max="145" width="11.54296875" style="3" bestFit="1" customWidth="1"/>
    <col min="146" max="147" width="11.6328125" style="3" bestFit="1" customWidth="1"/>
    <col min="148" max="148" width="18.453125" style="3" bestFit="1" customWidth="1"/>
    <col min="149" max="149" width="18.453125" style="3" customWidth="1"/>
    <col min="150" max="150" width="11.36328125" style="3" bestFit="1" customWidth="1"/>
    <col min="151" max="151" width="11.6328125" style="3" bestFit="1" customWidth="1"/>
    <col min="152" max="152" width="18.7265625" style="3" bestFit="1" customWidth="1"/>
    <col min="153" max="153" width="18.7265625" style="3" customWidth="1"/>
    <col min="154" max="155" width="11.1796875" style="3" bestFit="1" customWidth="1"/>
    <col min="156" max="156" width="18.7265625" style="3" bestFit="1" customWidth="1"/>
    <col min="157" max="157" width="13.453125" style="3" bestFit="1" customWidth="1"/>
    <col min="158" max="158" width="10.81640625" style="3" bestFit="1" customWidth="1"/>
    <col min="159" max="159" width="11.08984375" style="3" bestFit="1" customWidth="1"/>
    <col min="160" max="160" width="11.08984375" style="3" customWidth="1"/>
    <col min="161" max="161" width="10.81640625" style="3" bestFit="1" customWidth="1"/>
    <col min="162" max="162" width="11.26953125" style="3" bestFit="1" customWidth="1"/>
    <col min="163" max="163" width="12.6328125" style="3" bestFit="1" customWidth="1"/>
    <col min="164" max="165" width="11.08984375" style="3" bestFit="1" customWidth="1"/>
    <col min="166" max="166" width="11.08984375" style="3" customWidth="1"/>
    <col min="167" max="168" width="11.26953125" style="3" bestFit="1" customWidth="1"/>
    <col min="169" max="169" width="10.81640625" style="3" customWidth="1"/>
    <col min="170" max="171" width="10.81640625" style="3" bestFit="1" customWidth="1"/>
    <col min="172" max="172" width="14.26953125" style="3" bestFit="1" customWidth="1"/>
    <col min="173" max="173" width="10.81640625" style="3" bestFit="1" customWidth="1"/>
    <col min="174" max="174" width="11.08984375" style="3" bestFit="1" customWidth="1"/>
    <col min="175" max="175" width="14.26953125" style="3" bestFit="1" customWidth="1"/>
    <col min="176" max="176" width="11.26953125" style="3" bestFit="1" customWidth="1"/>
    <col min="177" max="177" width="11.08984375" style="3" bestFit="1" customWidth="1"/>
    <col min="178" max="178" width="20.6328125" style="3" bestFit="1" customWidth="1"/>
    <col min="179" max="180" width="11.26953125" style="3" bestFit="1" customWidth="1"/>
    <col min="181" max="181" width="21.54296875" style="3" bestFit="1" customWidth="1"/>
    <col min="182" max="183" width="11.54296875" style="3" bestFit="1" customWidth="1"/>
    <col min="184" max="184" width="29.26953125" style="3" bestFit="1" customWidth="1"/>
    <col min="185" max="185" width="10.81640625" style="3" bestFit="1" customWidth="1"/>
    <col min="186" max="186" width="11.26953125" style="3" bestFit="1" customWidth="1"/>
    <col min="187" max="187" width="15.08984375" style="3" bestFit="1" customWidth="1"/>
    <col min="188" max="188" width="11.1796875" style="3" bestFit="1" customWidth="1"/>
    <col min="189" max="189" width="11.26953125" style="3" bestFit="1" customWidth="1"/>
    <col min="190" max="190" width="15.08984375" style="3" bestFit="1" customWidth="1"/>
    <col min="191" max="193" width="8.81640625" style="3"/>
    <col min="194" max="195" width="11.08984375" style="3" bestFit="1" customWidth="1"/>
    <col min="196" max="196" width="11.08984375" style="3" customWidth="1"/>
    <col min="197" max="16384" width="8.81640625" style="3"/>
  </cols>
  <sheetData>
    <row r="1" spans="2:202" x14ac:dyDescent="0.35">
      <c r="B1" s="3">
        <v>1</v>
      </c>
      <c r="C1" s="2">
        <v>2</v>
      </c>
      <c r="D1" s="3">
        <v>3</v>
      </c>
      <c r="E1" s="2">
        <v>4</v>
      </c>
      <c r="F1" s="3">
        <v>5</v>
      </c>
      <c r="G1" s="2">
        <v>6</v>
      </c>
      <c r="H1" s="3">
        <v>7</v>
      </c>
      <c r="I1" s="2">
        <v>8</v>
      </c>
      <c r="J1" s="3">
        <v>9</v>
      </c>
      <c r="K1" s="2">
        <v>10</v>
      </c>
      <c r="L1" s="3">
        <v>11</v>
      </c>
      <c r="M1" s="2">
        <v>12</v>
      </c>
      <c r="N1" s="3">
        <v>13</v>
      </c>
      <c r="O1" s="2">
        <v>14</v>
      </c>
      <c r="P1" s="3">
        <v>15</v>
      </c>
      <c r="Q1" s="2">
        <v>16</v>
      </c>
      <c r="R1" s="3">
        <v>17</v>
      </c>
      <c r="S1" s="2">
        <v>18</v>
      </c>
      <c r="T1" s="3">
        <v>19</v>
      </c>
      <c r="U1" s="2">
        <v>20</v>
      </c>
      <c r="V1" s="3">
        <v>21</v>
      </c>
      <c r="W1" s="2">
        <v>22</v>
      </c>
      <c r="X1" s="3">
        <v>23</v>
      </c>
      <c r="Y1" s="2">
        <v>24</v>
      </c>
      <c r="Z1" s="3">
        <v>25</v>
      </c>
      <c r="AA1" s="2">
        <v>26</v>
      </c>
      <c r="AB1" s="3">
        <v>27</v>
      </c>
      <c r="AC1" s="2">
        <v>28</v>
      </c>
      <c r="AD1" s="3">
        <v>29</v>
      </c>
      <c r="AE1" s="2">
        <v>30</v>
      </c>
      <c r="AF1" s="3">
        <v>31</v>
      </c>
      <c r="AG1" s="2">
        <v>32</v>
      </c>
      <c r="AH1" s="3">
        <v>33</v>
      </c>
      <c r="AI1" s="2">
        <v>34</v>
      </c>
      <c r="AJ1" s="3">
        <v>35</v>
      </c>
      <c r="AK1" s="2">
        <v>36</v>
      </c>
      <c r="AL1" s="3">
        <v>37</v>
      </c>
      <c r="AM1" s="2">
        <v>38</v>
      </c>
      <c r="AN1" s="3">
        <v>39</v>
      </c>
      <c r="AO1" s="2">
        <v>40</v>
      </c>
      <c r="AP1" s="3">
        <v>41</v>
      </c>
      <c r="AQ1" s="2">
        <v>42</v>
      </c>
      <c r="AR1" s="3">
        <v>43</v>
      </c>
      <c r="AS1" s="2">
        <v>44</v>
      </c>
      <c r="AT1" s="3">
        <v>45</v>
      </c>
      <c r="AU1" s="2">
        <v>46</v>
      </c>
      <c r="AV1" s="3">
        <v>47</v>
      </c>
      <c r="AW1" s="2">
        <v>48</v>
      </c>
      <c r="AX1" s="3">
        <v>49</v>
      </c>
      <c r="AY1" s="2">
        <v>50</v>
      </c>
      <c r="AZ1" s="3">
        <v>51</v>
      </c>
      <c r="BA1" s="2">
        <v>52</v>
      </c>
      <c r="BB1" s="3">
        <v>53</v>
      </c>
      <c r="BC1" s="2">
        <v>54</v>
      </c>
      <c r="BD1" s="3">
        <v>55</v>
      </c>
      <c r="BE1" s="2">
        <v>56</v>
      </c>
      <c r="BF1" s="3">
        <v>57</v>
      </c>
      <c r="BG1" s="2">
        <v>58</v>
      </c>
      <c r="BH1" s="3">
        <v>59</v>
      </c>
      <c r="BI1" s="2">
        <v>60</v>
      </c>
      <c r="BJ1" s="3">
        <v>61</v>
      </c>
      <c r="BK1" s="2">
        <v>62</v>
      </c>
      <c r="BL1" s="3">
        <v>63</v>
      </c>
      <c r="BM1" s="2">
        <v>64</v>
      </c>
      <c r="BN1" s="3">
        <v>65</v>
      </c>
      <c r="BO1" s="2">
        <v>66</v>
      </c>
      <c r="BP1" s="3">
        <v>67</v>
      </c>
      <c r="BQ1" s="2">
        <v>68</v>
      </c>
      <c r="BR1" s="3">
        <v>69</v>
      </c>
      <c r="BS1" s="2">
        <v>70</v>
      </c>
      <c r="BT1" s="3">
        <v>71</v>
      </c>
      <c r="BU1" s="2">
        <v>72</v>
      </c>
      <c r="BV1" s="3">
        <v>73</v>
      </c>
      <c r="BW1" s="2">
        <v>74</v>
      </c>
      <c r="BX1" s="3">
        <v>75</v>
      </c>
      <c r="BY1" s="2">
        <v>76</v>
      </c>
      <c r="BZ1" s="3">
        <v>77</v>
      </c>
      <c r="CA1" s="2">
        <v>78</v>
      </c>
      <c r="CB1" s="3">
        <v>79</v>
      </c>
      <c r="CC1" s="2">
        <v>80</v>
      </c>
      <c r="CD1" s="3">
        <v>81</v>
      </c>
      <c r="CE1" s="2">
        <v>82</v>
      </c>
      <c r="CF1" s="3">
        <v>83</v>
      </c>
      <c r="CG1" s="2">
        <v>84</v>
      </c>
      <c r="CH1" s="3">
        <v>85</v>
      </c>
      <c r="CI1" s="2">
        <v>86</v>
      </c>
      <c r="CJ1" s="3">
        <v>87</v>
      </c>
      <c r="CK1" s="2">
        <v>88</v>
      </c>
      <c r="CL1" s="3">
        <v>89</v>
      </c>
      <c r="CM1" s="2">
        <v>90</v>
      </c>
      <c r="CN1" s="3">
        <v>91</v>
      </c>
      <c r="CO1" s="2">
        <v>92</v>
      </c>
      <c r="CP1" s="3">
        <v>93</v>
      </c>
      <c r="CQ1" s="2">
        <v>94</v>
      </c>
      <c r="CR1" s="3">
        <v>95</v>
      </c>
      <c r="CS1" s="2">
        <v>96</v>
      </c>
      <c r="CT1" s="3">
        <v>97</v>
      </c>
      <c r="CU1" s="2">
        <v>98</v>
      </c>
      <c r="CV1" s="3">
        <v>99</v>
      </c>
      <c r="CW1" s="2">
        <v>100</v>
      </c>
      <c r="CX1" s="3">
        <v>101</v>
      </c>
      <c r="CY1" s="2">
        <v>102</v>
      </c>
      <c r="CZ1" s="3">
        <v>103</v>
      </c>
      <c r="DA1" s="2">
        <v>104</v>
      </c>
      <c r="DB1" s="3">
        <v>105</v>
      </c>
      <c r="DC1" s="2">
        <v>106</v>
      </c>
      <c r="DD1" s="3">
        <v>107</v>
      </c>
      <c r="DE1" s="2">
        <v>108</v>
      </c>
      <c r="DF1" s="3">
        <v>109</v>
      </c>
      <c r="DG1" s="2">
        <v>110</v>
      </c>
      <c r="DH1" s="3">
        <v>111</v>
      </c>
      <c r="DI1" s="2">
        <v>112</v>
      </c>
      <c r="DJ1" s="3">
        <v>113</v>
      </c>
      <c r="DK1" s="2">
        <v>114</v>
      </c>
      <c r="DL1" s="3">
        <v>115</v>
      </c>
      <c r="DM1" s="2">
        <v>116</v>
      </c>
      <c r="DN1" s="3">
        <v>117</v>
      </c>
      <c r="DO1" s="2">
        <v>118</v>
      </c>
      <c r="DP1" s="3">
        <v>119</v>
      </c>
      <c r="DQ1" s="2">
        <v>120</v>
      </c>
      <c r="DR1" s="3">
        <v>121</v>
      </c>
      <c r="DS1" s="2">
        <v>122</v>
      </c>
      <c r="DT1" s="3">
        <v>123</v>
      </c>
      <c r="DU1" s="2">
        <v>124</v>
      </c>
      <c r="DV1" s="3">
        <v>125</v>
      </c>
      <c r="DW1" s="2">
        <v>126</v>
      </c>
      <c r="DX1" s="3">
        <v>127</v>
      </c>
      <c r="DY1" s="2">
        <v>128</v>
      </c>
      <c r="DZ1" s="3">
        <v>129</v>
      </c>
      <c r="EA1" s="2">
        <v>130</v>
      </c>
      <c r="EB1" s="3">
        <v>131</v>
      </c>
      <c r="EC1" s="2">
        <v>132</v>
      </c>
      <c r="ED1" s="3">
        <v>133</v>
      </c>
      <c r="EE1" s="2">
        <v>134</v>
      </c>
      <c r="EF1" s="3">
        <v>135</v>
      </c>
      <c r="EG1" s="2">
        <v>136</v>
      </c>
      <c r="EH1" s="3">
        <v>137</v>
      </c>
      <c r="EI1" s="2">
        <v>138</v>
      </c>
      <c r="EJ1" s="3">
        <v>139</v>
      </c>
      <c r="EK1" s="2">
        <v>140</v>
      </c>
      <c r="EL1" s="3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</row>
    <row r="2" spans="2:202" x14ac:dyDescent="0.35">
      <c r="B2" s="123" t="s">
        <v>1</v>
      </c>
      <c r="C2" s="121" t="s">
        <v>2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2" t="s">
        <v>3</v>
      </c>
      <c r="AB2" s="122"/>
      <c r="AC2" s="122"/>
      <c r="AD2" s="113" t="s">
        <v>4</v>
      </c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24" t="s">
        <v>3</v>
      </c>
      <c r="AU2" s="125"/>
      <c r="AV2" s="125"/>
      <c r="AW2" s="125"/>
      <c r="AX2" s="125"/>
      <c r="AY2" s="125"/>
      <c r="AZ2" s="125"/>
      <c r="BA2" s="126"/>
      <c r="BB2" s="127" t="s">
        <v>5</v>
      </c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9"/>
      <c r="CP2" s="115" t="s">
        <v>6</v>
      </c>
      <c r="CQ2" s="116"/>
      <c r="CR2" s="116"/>
      <c r="CS2" s="116"/>
      <c r="CT2" s="116"/>
      <c r="CU2" s="116"/>
      <c r="CV2" s="117"/>
      <c r="CW2" s="118" t="s">
        <v>4</v>
      </c>
      <c r="CX2" s="119"/>
      <c r="CY2" s="119"/>
      <c r="CZ2" s="119"/>
      <c r="DA2" s="119"/>
      <c r="DB2" s="119"/>
      <c r="DC2" s="120"/>
      <c r="DD2" s="110" t="s">
        <v>7</v>
      </c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2"/>
    </row>
    <row r="3" spans="2:202" x14ac:dyDescent="0.35">
      <c r="B3" s="123"/>
      <c r="C3" s="121" t="s">
        <v>8</v>
      </c>
      <c r="D3" s="121"/>
      <c r="E3" s="121"/>
      <c r="F3" s="121"/>
      <c r="G3" s="121"/>
      <c r="H3" s="121"/>
      <c r="I3" s="121"/>
      <c r="J3" s="121"/>
      <c r="K3" s="121" t="s">
        <v>9</v>
      </c>
      <c r="L3" s="121"/>
      <c r="M3" s="121"/>
      <c r="N3" s="121"/>
      <c r="O3" s="121"/>
      <c r="P3" s="121"/>
      <c r="Q3" s="121"/>
      <c r="R3" s="121"/>
      <c r="S3" s="121" t="s">
        <v>10</v>
      </c>
      <c r="T3" s="121"/>
      <c r="U3" s="121"/>
      <c r="V3" s="121"/>
      <c r="W3" s="121"/>
      <c r="X3" s="121"/>
      <c r="Y3" s="121"/>
      <c r="Z3" s="121"/>
      <c r="AA3" s="122" t="s">
        <v>11</v>
      </c>
      <c r="AB3" s="122"/>
      <c r="AC3" s="122"/>
      <c r="AD3" s="113" t="s">
        <v>12</v>
      </c>
      <c r="AE3" s="113"/>
      <c r="AF3" s="113"/>
      <c r="AG3" s="113"/>
      <c r="AH3" s="113"/>
      <c r="AI3" s="113"/>
      <c r="AJ3" s="113"/>
      <c r="AK3" s="113"/>
      <c r="AL3" s="113" t="s">
        <v>13</v>
      </c>
      <c r="AM3" s="113"/>
      <c r="AN3" s="113"/>
      <c r="AO3" s="113"/>
      <c r="AP3" s="113"/>
      <c r="AQ3" s="113"/>
      <c r="AR3" s="113"/>
      <c r="AS3" s="113"/>
      <c r="AT3" s="122" t="s">
        <v>14</v>
      </c>
      <c r="AU3" s="122"/>
      <c r="AV3" s="122"/>
      <c r="AW3" s="122"/>
      <c r="AX3" s="122"/>
      <c r="AY3" s="122"/>
      <c r="AZ3" s="122"/>
      <c r="BA3" s="122"/>
      <c r="BB3" s="111" t="s">
        <v>15</v>
      </c>
      <c r="BC3" s="111"/>
      <c r="BD3" s="111"/>
      <c r="BE3" s="111"/>
      <c r="BF3" s="111"/>
      <c r="BG3" s="111"/>
      <c r="BH3" s="111"/>
      <c r="BI3" s="111"/>
      <c r="BJ3" s="111" t="s">
        <v>16</v>
      </c>
      <c r="BK3" s="111"/>
      <c r="BL3" s="111"/>
      <c r="BM3" s="111"/>
      <c r="BN3" s="111"/>
      <c r="BO3" s="111"/>
      <c r="BP3" s="111"/>
      <c r="BQ3" s="111"/>
      <c r="BR3" s="111" t="s">
        <v>17</v>
      </c>
      <c r="BS3" s="111"/>
      <c r="BT3" s="111"/>
      <c r="BU3" s="111"/>
      <c r="BV3" s="111"/>
      <c r="BW3" s="111"/>
      <c r="BX3" s="111"/>
      <c r="BY3" s="111"/>
      <c r="BZ3" s="111" t="s">
        <v>18</v>
      </c>
      <c r="CA3" s="111"/>
      <c r="CB3" s="111"/>
      <c r="CC3" s="111"/>
      <c r="CD3" s="111"/>
      <c r="CE3" s="111"/>
      <c r="CF3" s="111"/>
      <c r="CG3" s="111"/>
      <c r="CH3" s="111" t="s">
        <v>19</v>
      </c>
      <c r="CI3" s="111"/>
      <c r="CJ3" s="111"/>
      <c r="CK3" s="111"/>
      <c r="CL3" s="111"/>
      <c r="CM3" s="111"/>
      <c r="CN3" s="111"/>
      <c r="CO3" s="111"/>
      <c r="CP3" s="112" t="s">
        <v>20</v>
      </c>
      <c r="CQ3" s="112"/>
      <c r="CR3" s="112"/>
      <c r="CS3" s="112"/>
      <c r="CT3" s="112"/>
      <c r="CU3" s="112"/>
      <c r="CV3" s="112"/>
      <c r="CW3" s="113" t="s">
        <v>21</v>
      </c>
      <c r="CX3" s="113"/>
      <c r="CY3" s="113"/>
      <c r="CZ3" s="113"/>
      <c r="DA3" s="113"/>
      <c r="DB3" s="113"/>
      <c r="DC3" s="113"/>
      <c r="DD3" s="110" t="s">
        <v>22</v>
      </c>
      <c r="DE3" s="110"/>
      <c r="DF3" s="110"/>
      <c r="DG3" s="110"/>
      <c r="DH3" s="110"/>
      <c r="DI3" s="110"/>
      <c r="DJ3" s="110"/>
      <c r="DK3" s="110"/>
      <c r="DL3" s="110"/>
      <c r="DM3" s="110" t="s">
        <v>23</v>
      </c>
      <c r="DN3" s="110"/>
      <c r="DO3" s="110"/>
      <c r="DP3" s="110"/>
      <c r="DQ3" s="110"/>
      <c r="DR3" s="110"/>
      <c r="DS3" s="110"/>
      <c r="DT3" s="110"/>
      <c r="DU3" s="110"/>
      <c r="DV3" s="114" t="s">
        <v>24</v>
      </c>
      <c r="DW3" s="114"/>
      <c r="DX3" s="114"/>
      <c r="DY3" s="114"/>
      <c r="DZ3" s="114"/>
      <c r="EA3" s="114"/>
      <c r="EB3" s="114"/>
      <c r="EC3" s="114"/>
      <c r="ED3" s="114"/>
      <c r="EE3" s="110" t="s">
        <v>25</v>
      </c>
      <c r="EF3" s="110"/>
      <c r="EG3" s="110"/>
      <c r="EH3" s="110"/>
      <c r="EI3" s="110"/>
      <c r="EJ3" s="110"/>
      <c r="EK3" s="110"/>
      <c r="EL3" s="110"/>
      <c r="EM3" s="110"/>
      <c r="EN3" s="2"/>
    </row>
    <row r="4" spans="2:202" x14ac:dyDescent="0.35">
      <c r="B4" s="123"/>
      <c r="C4" s="105"/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10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105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105" t="s">
        <v>26</v>
      </c>
      <c r="AB4" s="6" t="s">
        <v>27</v>
      </c>
      <c r="AC4" s="6" t="s">
        <v>34</v>
      </c>
      <c r="AD4" s="105" t="s">
        <v>26</v>
      </c>
      <c r="AE4" s="6" t="s">
        <v>27</v>
      </c>
      <c r="AF4" s="6" t="s">
        <v>34</v>
      </c>
      <c r="AG4" s="108" t="s">
        <v>35</v>
      </c>
      <c r="AH4" s="109"/>
      <c r="AI4" s="6" t="s">
        <v>30</v>
      </c>
      <c r="AJ4" s="6" t="s">
        <v>31</v>
      </c>
      <c r="AK4" s="6" t="s">
        <v>36</v>
      </c>
      <c r="AL4" s="105" t="s">
        <v>26</v>
      </c>
      <c r="AM4" s="6" t="s">
        <v>27</v>
      </c>
      <c r="AN4" s="6" t="s">
        <v>34</v>
      </c>
      <c r="AO4" s="108" t="s">
        <v>35</v>
      </c>
      <c r="AP4" s="109"/>
      <c r="AQ4" s="6" t="s">
        <v>30</v>
      </c>
      <c r="AR4" s="6" t="s">
        <v>31</v>
      </c>
      <c r="AS4" s="6" t="s">
        <v>36</v>
      </c>
      <c r="AT4" s="105" t="s">
        <v>26</v>
      </c>
      <c r="AU4" s="6" t="s">
        <v>27</v>
      </c>
      <c r="AV4" s="6" t="s">
        <v>34</v>
      </c>
      <c r="AW4" s="108"/>
      <c r="AX4" s="109"/>
      <c r="AY4" s="6"/>
      <c r="AZ4" s="6"/>
      <c r="BA4" s="6"/>
      <c r="BB4" s="105" t="s">
        <v>26</v>
      </c>
      <c r="BC4" s="6" t="s">
        <v>27</v>
      </c>
      <c r="BD4" s="6" t="s">
        <v>34</v>
      </c>
      <c r="BE4" s="108" t="s">
        <v>35</v>
      </c>
      <c r="BF4" s="109"/>
      <c r="BG4" s="6" t="s">
        <v>30</v>
      </c>
      <c r="BH4" s="6" t="s">
        <v>31</v>
      </c>
      <c r="BI4" s="6" t="s">
        <v>37</v>
      </c>
      <c r="BJ4" s="105" t="s">
        <v>26</v>
      </c>
      <c r="BK4" s="6" t="s">
        <v>27</v>
      </c>
      <c r="BL4" s="6" t="s">
        <v>34</v>
      </c>
      <c r="BM4" s="108" t="s">
        <v>35</v>
      </c>
      <c r="BN4" s="109"/>
      <c r="BO4" s="6" t="s">
        <v>30</v>
      </c>
      <c r="BP4" s="6" t="s">
        <v>31</v>
      </c>
      <c r="BQ4" s="6" t="s">
        <v>37</v>
      </c>
      <c r="BR4" s="7" t="s">
        <v>26</v>
      </c>
      <c r="BS4" s="6" t="s">
        <v>27</v>
      </c>
      <c r="BT4" s="6" t="s">
        <v>34</v>
      </c>
      <c r="BU4" s="108" t="s">
        <v>35</v>
      </c>
      <c r="BV4" s="109"/>
      <c r="BW4" s="6" t="s">
        <v>30</v>
      </c>
      <c r="BX4" s="6" t="s">
        <v>31</v>
      </c>
      <c r="BY4" s="6" t="s">
        <v>37</v>
      </c>
      <c r="BZ4" s="7" t="s">
        <v>26</v>
      </c>
      <c r="CA4" s="6" t="s">
        <v>27</v>
      </c>
      <c r="CB4" s="6" t="s">
        <v>34</v>
      </c>
      <c r="CC4" s="108" t="s">
        <v>35</v>
      </c>
      <c r="CD4" s="109"/>
      <c r="CE4" s="6" t="s">
        <v>30</v>
      </c>
      <c r="CF4" s="6" t="s">
        <v>31</v>
      </c>
      <c r="CG4" s="6" t="s">
        <v>37</v>
      </c>
      <c r="CH4" s="7" t="s">
        <v>26</v>
      </c>
      <c r="CI4" s="6" t="s">
        <v>27</v>
      </c>
      <c r="CJ4" s="6" t="s">
        <v>34</v>
      </c>
      <c r="CK4" s="108" t="s">
        <v>35</v>
      </c>
      <c r="CL4" s="109"/>
      <c r="CM4" s="6" t="s">
        <v>30</v>
      </c>
      <c r="CN4" s="6" t="s">
        <v>31</v>
      </c>
      <c r="CO4" s="6" t="s">
        <v>37</v>
      </c>
      <c r="CP4" s="105" t="s">
        <v>26</v>
      </c>
      <c r="CQ4" s="6" t="s">
        <v>27</v>
      </c>
      <c r="CR4" s="6" t="s">
        <v>34</v>
      </c>
      <c r="CS4" s="108" t="s">
        <v>35</v>
      </c>
      <c r="CT4" s="109"/>
      <c r="CU4" s="6" t="s">
        <v>30</v>
      </c>
      <c r="CV4" s="6" t="s">
        <v>31</v>
      </c>
      <c r="CW4" s="105" t="s">
        <v>26</v>
      </c>
      <c r="CX4" s="6" t="s">
        <v>27</v>
      </c>
      <c r="CY4" s="6" t="s">
        <v>34</v>
      </c>
      <c r="CZ4" s="108" t="s">
        <v>35</v>
      </c>
      <c r="DA4" s="109"/>
      <c r="DB4" s="6" t="s">
        <v>30</v>
      </c>
      <c r="DC4" s="6" t="s">
        <v>36</v>
      </c>
      <c r="DD4" s="105" t="s">
        <v>26</v>
      </c>
      <c r="DE4" s="6" t="s">
        <v>27</v>
      </c>
      <c r="DF4" s="6" t="s">
        <v>34</v>
      </c>
      <c r="DG4" s="101" t="s">
        <v>35</v>
      </c>
      <c r="DH4" s="101"/>
      <c r="DI4" s="6" t="s">
        <v>30</v>
      </c>
      <c r="DJ4" s="6" t="s">
        <v>31</v>
      </c>
      <c r="DK4" s="6" t="s">
        <v>37</v>
      </c>
      <c r="DL4" s="6" t="s">
        <v>38</v>
      </c>
      <c r="DM4" s="105" t="s">
        <v>26</v>
      </c>
      <c r="DN4" s="6" t="s">
        <v>27</v>
      </c>
      <c r="DO4" s="6" t="s">
        <v>34</v>
      </c>
      <c r="DP4" s="101" t="s">
        <v>35</v>
      </c>
      <c r="DQ4" s="101"/>
      <c r="DR4" s="6" t="s">
        <v>30</v>
      </c>
      <c r="DS4" s="6" t="s">
        <v>31</v>
      </c>
      <c r="DT4" s="6" t="s">
        <v>37</v>
      </c>
      <c r="DU4" s="8" t="s">
        <v>38</v>
      </c>
      <c r="DV4" s="6" t="s">
        <v>26</v>
      </c>
      <c r="DW4" s="6" t="s">
        <v>27</v>
      </c>
      <c r="DX4" s="6" t="s">
        <v>34</v>
      </c>
      <c r="DY4" s="101" t="s">
        <v>35</v>
      </c>
      <c r="DZ4" s="101"/>
      <c r="EA4" s="6" t="s">
        <v>30</v>
      </c>
      <c r="EB4" s="6" t="s">
        <v>31</v>
      </c>
      <c r="EC4" s="6" t="s">
        <v>37</v>
      </c>
      <c r="ED4" s="6" t="s">
        <v>38</v>
      </c>
      <c r="EE4" s="107" t="s">
        <v>26</v>
      </c>
      <c r="EF4" s="6" t="s">
        <v>27</v>
      </c>
      <c r="EG4" s="6" t="s">
        <v>34</v>
      </c>
      <c r="EH4" s="101" t="s">
        <v>35</v>
      </c>
      <c r="EI4" s="101"/>
      <c r="EJ4" s="6" t="s">
        <v>30</v>
      </c>
      <c r="EK4" s="6" t="s">
        <v>31</v>
      </c>
      <c r="EL4" s="6" t="s">
        <v>37</v>
      </c>
      <c r="EM4" s="6" t="s">
        <v>38</v>
      </c>
      <c r="EN4" s="9"/>
      <c r="EO4" s="102" t="s">
        <v>39</v>
      </c>
      <c r="EP4" s="104" t="s">
        <v>73</v>
      </c>
      <c r="EQ4" s="104"/>
      <c r="ER4" s="104"/>
      <c r="ES4" s="104"/>
      <c r="ET4" s="104" t="s">
        <v>74</v>
      </c>
      <c r="EU4" s="104"/>
      <c r="EV4" s="104"/>
      <c r="EW4" s="104"/>
      <c r="EX4" s="104" t="s">
        <v>75</v>
      </c>
      <c r="EY4" s="104"/>
      <c r="EZ4" s="104"/>
      <c r="FA4" s="104"/>
      <c r="FB4" s="100" t="s">
        <v>11</v>
      </c>
      <c r="FC4" s="100"/>
      <c r="FD4" s="100"/>
      <c r="FE4" s="99" t="s">
        <v>12</v>
      </c>
      <c r="FF4" s="99"/>
      <c r="FG4" s="99"/>
      <c r="FH4" s="99" t="s">
        <v>13</v>
      </c>
      <c r="FI4" s="99"/>
      <c r="FJ4" s="99"/>
      <c r="FK4" s="100" t="s">
        <v>14</v>
      </c>
      <c r="FL4" s="100"/>
      <c r="FM4" s="100"/>
      <c r="FN4" s="97" t="s">
        <v>15</v>
      </c>
      <c r="FO4" s="97"/>
      <c r="FP4" s="97"/>
      <c r="FQ4" s="97" t="s">
        <v>16</v>
      </c>
      <c r="FR4" s="97"/>
      <c r="FS4" s="97"/>
      <c r="FT4" s="97" t="s">
        <v>17</v>
      </c>
      <c r="FU4" s="97"/>
      <c r="FV4" s="97"/>
      <c r="FW4" s="97" t="s">
        <v>18</v>
      </c>
      <c r="FX4" s="97"/>
      <c r="FY4" s="97"/>
      <c r="FZ4" s="97" t="s">
        <v>19</v>
      </c>
      <c r="GA4" s="97"/>
      <c r="GB4" s="97"/>
      <c r="GC4" s="98" t="s">
        <v>20</v>
      </c>
      <c r="GD4" s="98"/>
      <c r="GE4" s="98"/>
      <c r="GF4" s="98" t="s">
        <v>21</v>
      </c>
      <c r="GG4" s="98"/>
      <c r="GH4" s="98"/>
      <c r="GI4" s="96" t="s">
        <v>40</v>
      </c>
      <c r="GJ4" s="96"/>
      <c r="GK4" s="96"/>
      <c r="GL4" s="96" t="s">
        <v>41</v>
      </c>
      <c r="GM4" s="96"/>
      <c r="GN4" s="96"/>
      <c r="GO4" s="96" t="s">
        <v>42</v>
      </c>
      <c r="GP4" s="96"/>
      <c r="GQ4" s="96"/>
      <c r="GR4" s="96" t="s">
        <v>43</v>
      </c>
      <c r="GS4" s="96"/>
      <c r="GT4" s="96"/>
    </row>
    <row r="5" spans="2:202" s="22" customFormat="1" x14ac:dyDescent="0.35">
      <c r="B5" s="123"/>
      <c r="C5" s="106"/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44</v>
      </c>
      <c r="J5" s="13" t="s">
        <v>49</v>
      </c>
      <c r="K5" s="106"/>
      <c r="L5" s="13" t="s">
        <v>44</v>
      </c>
      <c r="M5" s="13" t="s">
        <v>45</v>
      </c>
      <c r="N5" s="13" t="s">
        <v>46</v>
      </c>
      <c r="O5" s="13" t="s">
        <v>47</v>
      </c>
      <c r="P5" s="13" t="s">
        <v>48</v>
      </c>
      <c r="Q5" s="13" t="s">
        <v>44</v>
      </c>
      <c r="R5" s="13" t="s">
        <v>49</v>
      </c>
      <c r="S5" s="106"/>
      <c r="T5" s="13" t="s">
        <v>44</v>
      </c>
      <c r="U5" s="13" t="s">
        <v>45</v>
      </c>
      <c r="V5" s="13" t="s">
        <v>46</v>
      </c>
      <c r="W5" s="13" t="s">
        <v>47</v>
      </c>
      <c r="X5" s="13" t="s">
        <v>48</v>
      </c>
      <c r="Y5" s="13" t="s">
        <v>44</v>
      </c>
      <c r="Z5" s="13" t="s">
        <v>49</v>
      </c>
      <c r="AA5" s="106"/>
      <c r="AB5" s="6" t="s">
        <v>50</v>
      </c>
      <c r="AC5" s="6" t="s">
        <v>51</v>
      </c>
      <c r="AD5" s="106"/>
      <c r="AE5" s="6" t="s">
        <v>52</v>
      </c>
      <c r="AF5" s="6" t="s">
        <v>53</v>
      </c>
      <c r="AG5" s="6" t="s">
        <v>54</v>
      </c>
      <c r="AH5" s="6" t="s">
        <v>55</v>
      </c>
      <c r="AI5" s="6" t="s">
        <v>56</v>
      </c>
      <c r="AJ5" s="6"/>
      <c r="AK5" s="6" t="s">
        <v>57</v>
      </c>
      <c r="AL5" s="106"/>
      <c r="AM5" s="6" t="s">
        <v>52</v>
      </c>
      <c r="AN5" s="6" t="s">
        <v>53</v>
      </c>
      <c r="AO5" s="6" t="s">
        <v>54</v>
      </c>
      <c r="AP5" s="6" t="s">
        <v>55</v>
      </c>
      <c r="AQ5" s="6" t="s">
        <v>56</v>
      </c>
      <c r="AR5" s="6"/>
      <c r="AS5" s="6" t="s">
        <v>57</v>
      </c>
      <c r="AT5" s="106"/>
      <c r="AU5" s="6" t="s">
        <v>50</v>
      </c>
      <c r="AV5" s="6" t="s">
        <v>51</v>
      </c>
      <c r="AW5" s="6"/>
      <c r="AX5" s="6"/>
      <c r="AY5" s="6"/>
      <c r="AZ5" s="6"/>
      <c r="BA5" s="14"/>
      <c r="BB5" s="106"/>
      <c r="BC5" s="6" t="s">
        <v>58</v>
      </c>
      <c r="BD5" s="6" t="s">
        <v>58</v>
      </c>
      <c r="BE5" s="6" t="s">
        <v>54</v>
      </c>
      <c r="BF5" s="6" t="s">
        <v>55</v>
      </c>
      <c r="BG5" s="6" t="s">
        <v>59</v>
      </c>
      <c r="BH5" s="6"/>
      <c r="BI5" s="14" t="s">
        <v>60</v>
      </c>
      <c r="BJ5" s="106"/>
      <c r="BK5" s="6" t="s">
        <v>58</v>
      </c>
      <c r="BL5" s="6" t="s">
        <v>58</v>
      </c>
      <c r="BM5" s="6" t="s">
        <v>54</v>
      </c>
      <c r="BN5" s="6" t="s">
        <v>55</v>
      </c>
      <c r="BO5" s="6" t="s">
        <v>59</v>
      </c>
      <c r="BP5" s="6"/>
      <c r="BQ5" s="14" t="s">
        <v>60</v>
      </c>
      <c r="BR5" s="7"/>
      <c r="BS5" s="6" t="s">
        <v>58</v>
      </c>
      <c r="BT5" s="6" t="s">
        <v>58</v>
      </c>
      <c r="BU5" s="6" t="s">
        <v>54</v>
      </c>
      <c r="BV5" s="6" t="s">
        <v>55</v>
      </c>
      <c r="BW5" s="6" t="s">
        <v>59</v>
      </c>
      <c r="BX5" s="6"/>
      <c r="BY5" s="14" t="s">
        <v>60</v>
      </c>
      <c r="BZ5" s="7"/>
      <c r="CA5" s="6" t="s">
        <v>58</v>
      </c>
      <c r="CB5" s="6" t="s">
        <v>58</v>
      </c>
      <c r="CC5" s="6" t="s">
        <v>54</v>
      </c>
      <c r="CD5" s="6" t="s">
        <v>55</v>
      </c>
      <c r="CE5" s="6" t="s">
        <v>59</v>
      </c>
      <c r="CF5" s="6"/>
      <c r="CG5" s="14" t="s">
        <v>60</v>
      </c>
      <c r="CH5" s="7"/>
      <c r="CI5" s="6" t="s">
        <v>58</v>
      </c>
      <c r="CJ5" s="6" t="s">
        <v>58</v>
      </c>
      <c r="CK5" s="6" t="s">
        <v>54</v>
      </c>
      <c r="CL5" s="6" t="s">
        <v>55</v>
      </c>
      <c r="CM5" s="6" t="s">
        <v>59</v>
      </c>
      <c r="CN5" s="6"/>
      <c r="CO5" s="14" t="s">
        <v>60</v>
      </c>
      <c r="CP5" s="106"/>
      <c r="CQ5" s="6" t="s">
        <v>58</v>
      </c>
      <c r="CR5" s="6" t="s">
        <v>58</v>
      </c>
      <c r="CS5" s="6" t="s">
        <v>54</v>
      </c>
      <c r="CT5" s="6" t="s">
        <v>55</v>
      </c>
      <c r="CU5" s="6" t="s">
        <v>61</v>
      </c>
      <c r="CV5" s="6" t="s">
        <v>51</v>
      </c>
      <c r="CW5" s="106"/>
      <c r="CX5" s="6" t="s">
        <v>52</v>
      </c>
      <c r="CY5" s="6" t="s">
        <v>53</v>
      </c>
      <c r="CZ5" s="6" t="s">
        <v>54</v>
      </c>
      <c r="DA5" s="6" t="s">
        <v>55</v>
      </c>
      <c r="DB5" s="6" t="s">
        <v>56</v>
      </c>
      <c r="DC5" s="6" t="s">
        <v>57</v>
      </c>
      <c r="DD5" s="106"/>
      <c r="DE5" s="6" t="s">
        <v>58</v>
      </c>
      <c r="DF5" s="6" t="s">
        <v>58</v>
      </c>
      <c r="DG5" s="6" t="s">
        <v>62</v>
      </c>
      <c r="DH5" s="6" t="s">
        <v>55</v>
      </c>
      <c r="DI5" s="6" t="s">
        <v>59</v>
      </c>
      <c r="DJ5" s="6"/>
      <c r="DK5" s="6" t="s">
        <v>60</v>
      </c>
      <c r="DL5" s="15" t="s">
        <v>63</v>
      </c>
      <c r="DM5" s="106"/>
      <c r="DN5" s="6" t="s">
        <v>58</v>
      </c>
      <c r="DO5" s="6" t="s">
        <v>58</v>
      </c>
      <c r="DP5" s="6" t="s">
        <v>62</v>
      </c>
      <c r="DQ5" s="6" t="s">
        <v>55</v>
      </c>
      <c r="DR5" s="6" t="s">
        <v>59</v>
      </c>
      <c r="DS5" s="6"/>
      <c r="DT5" s="6" t="s">
        <v>60</v>
      </c>
      <c r="DU5" s="15" t="s">
        <v>63</v>
      </c>
      <c r="DV5" s="6"/>
      <c r="DW5" s="6" t="s">
        <v>58</v>
      </c>
      <c r="DX5" s="6" t="s">
        <v>58</v>
      </c>
      <c r="DY5" s="6" t="s">
        <v>62</v>
      </c>
      <c r="DZ5" s="6" t="s">
        <v>55</v>
      </c>
      <c r="EA5" s="6" t="s">
        <v>59</v>
      </c>
      <c r="EB5" s="6"/>
      <c r="EC5" s="6" t="s">
        <v>60</v>
      </c>
      <c r="ED5" s="15" t="s">
        <v>63</v>
      </c>
      <c r="EE5" s="107"/>
      <c r="EF5" s="6" t="s">
        <v>58</v>
      </c>
      <c r="EG5" s="6" t="s">
        <v>58</v>
      </c>
      <c r="EH5" s="6" t="s">
        <v>62</v>
      </c>
      <c r="EI5" s="6" t="s">
        <v>55</v>
      </c>
      <c r="EJ5" s="6" t="s">
        <v>59</v>
      </c>
      <c r="EK5" s="6"/>
      <c r="EL5" s="6" t="s">
        <v>60</v>
      </c>
      <c r="EM5" s="15" t="s">
        <v>63</v>
      </c>
      <c r="EN5" s="16"/>
      <c r="EO5" s="103"/>
      <c r="EP5" s="17" t="s">
        <v>64</v>
      </c>
      <c r="EQ5" s="17" t="s">
        <v>65</v>
      </c>
      <c r="ER5" s="10" t="s">
        <v>69</v>
      </c>
      <c r="ES5" s="10" t="s">
        <v>76</v>
      </c>
      <c r="ET5" s="17" t="s">
        <v>64</v>
      </c>
      <c r="EU5" s="17" t="s">
        <v>65</v>
      </c>
      <c r="EV5" s="10" t="s">
        <v>69</v>
      </c>
      <c r="EW5" s="10" t="s">
        <v>76</v>
      </c>
      <c r="EX5" s="17" t="s">
        <v>64</v>
      </c>
      <c r="EY5" s="17" t="s">
        <v>65</v>
      </c>
      <c r="EZ5" s="10" t="s">
        <v>69</v>
      </c>
      <c r="FA5" s="10" t="s">
        <v>76</v>
      </c>
      <c r="FB5" s="18" t="s">
        <v>64</v>
      </c>
      <c r="FC5" s="18" t="s">
        <v>65</v>
      </c>
      <c r="FD5" s="18" t="s">
        <v>76</v>
      </c>
      <c r="FE5" s="19" t="s">
        <v>64</v>
      </c>
      <c r="FF5" s="19" t="s">
        <v>65</v>
      </c>
      <c r="FG5" s="19" t="s">
        <v>76</v>
      </c>
      <c r="FH5" s="19" t="s">
        <v>64</v>
      </c>
      <c r="FI5" s="19" t="s">
        <v>65</v>
      </c>
      <c r="FJ5" s="19" t="s">
        <v>76</v>
      </c>
      <c r="FK5" s="18" t="s">
        <v>64</v>
      </c>
      <c r="FL5" s="18" t="s">
        <v>65</v>
      </c>
      <c r="FM5" s="18" t="s">
        <v>76</v>
      </c>
      <c r="FN5" s="20" t="s">
        <v>64</v>
      </c>
      <c r="FO5" s="20" t="s">
        <v>65</v>
      </c>
      <c r="FP5" s="20" t="s">
        <v>76</v>
      </c>
      <c r="FQ5" s="20" t="s">
        <v>64</v>
      </c>
      <c r="FR5" s="20" t="s">
        <v>65</v>
      </c>
      <c r="FS5" s="20" t="s">
        <v>76</v>
      </c>
      <c r="FT5" s="20" t="s">
        <v>64</v>
      </c>
      <c r="FU5" s="20" t="s">
        <v>65</v>
      </c>
      <c r="FV5" s="20" t="s">
        <v>76</v>
      </c>
      <c r="FW5" s="20" t="s">
        <v>64</v>
      </c>
      <c r="FX5" s="20" t="s">
        <v>65</v>
      </c>
      <c r="FY5" s="20" t="s">
        <v>76</v>
      </c>
      <c r="FZ5" s="20" t="s">
        <v>64</v>
      </c>
      <c r="GA5" s="20" t="s">
        <v>65</v>
      </c>
      <c r="GB5" s="20" t="s">
        <v>76</v>
      </c>
      <c r="GC5" s="71" t="s">
        <v>64</v>
      </c>
      <c r="GD5" s="71" t="s">
        <v>65</v>
      </c>
      <c r="GE5" s="77" t="s">
        <v>76</v>
      </c>
      <c r="GF5" s="71" t="s">
        <v>64</v>
      </c>
      <c r="GG5" s="71" t="s">
        <v>65</v>
      </c>
      <c r="GH5" s="77" t="s">
        <v>76</v>
      </c>
      <c r="GI5" s="21" t="s">
        <v>64</v>
      </c>
      <c r="GJ5" s="21" t="s">
        <v>65</v>
      </c>
      <c r="GK5" s="21" t="s">
        <v>76</v>
      </c>
      <c r="GL5" s="21" t="s">
        <v>64</v>
      </c>
      <c r="GM5" s="21" t="s">
        <v>65</v>
      </c>
      <c r="GN5" s="21" t="s">
        <v>76</v>
      </c>
      <c r="GO5" s="21" t="s">
        <v>64</v>
      </c>
      <c r="GP5" s="21" t="s">
        <v>65</v>
      </c>
      <c r="GQ5" s="21" t="s">
        <v>76</v>
      </c>
      <c r="GR5" s="21" t="s">
        <v>64</v>
      </c>
      <c r="GS5" s="21" t="s">
        <v>65</v>
      </c>
      <c r="GT5" s="21" t="s">
        <v>76</v>
      </c>
    </row>
    <row r="6" spans="2:202" x14ac:dyDescent="0.35">
      <c r="B6" s="23">
        <f>[6]Refinery!B6</f>
        <v>46143</v>
      </c>
      <c r="C6" s="24">
        <v>2545049</v>
      </c>
      <c r="D6" s="25">
        <v>5.44</v>
      </c>
      <c r="E6" s="25">
        <v>0.3</v>
      </c>
      <c r="F6" s="25">
        <v>1.87</v>
      </c>
      <c r="G6" s="25">
        <v>51.72</v>
      </c>
      <c r="H6" s="25">
        <v>2.85</v>
      </c>
      <c r="I6" s="25">
        <v>2.6</v>
      </c>
      <c r="J6" s="25">
        <f t="shared" ref="J6:J37" si="0">(2*H6)+I6</f>
        <v>8.3000000000000007</v>
      </c>
      <c r="K6" s="24">
        <v>2334073</v>
      </c>
      <c r="L6" s="25">
        <v>4.5999999999999996</v>
      </c>
      <c r="M6" s="25">
        <v>0.25</v>
      </c>
      <c r="N6" s="25">
        <v>1.48</v>
      </c>
      <c r="O6" s="25">
        <v>52.87</v>
      </c>
      <c r="P6" s="25">
        <v>2.69</v>
      </c>
      <c r="Q6" s="25">
        <v>2.46</v>
      </c>
      <c r="R6" s="25">
        <f t="shared" ref="R6:R37" si="1">(2*P6)+Q6</f>
        <v>7.84</v>
      </c>
      <c r="S6" s="24">
        <v>2632188</v>
      </c>
      <c r="T6" s="25">
        <v>5.52</v>
      </c>
      <c r="U6" s="25">
        <v>0.28000000000000003</v>
      </c>
      <c r="V6" s="25">
        <v>1.82</v>
      </c>
      <c r="W6" s="25">
        <v>51.95</v>
      </c>
      <c r="X6" s="25">
        <v>2.86</v>
      </c>
      <c r="Y6" s="25">
        <v>2.38</v>
      </c>
      <c r="Z6" s="25">
        <f t="shared" ref="Z6:Z37" si="2">(2*X6)+Y6</f>
        <v>8.1</v>
      </c>
      <c r="AA6" s="24">
        <v>476862</v>
      </c>
      <c r="AB6" s="25">
        <v>88.74</v>
      </c>
      <c r="AC6" s="25">
        <v>0.25</v>
      </c>
      <c r="AD6" s="24">
        <v>545649</v>
      </c>
      <c r="AE6" s="33">
        <v>0.19900000000000001</v>
      </c>
      <c r="AF6" s="25">
        <v>7.0000000000000007E-2</v>
      </c>
      <c r="AG6" s="34">
        <v>2.2000000000000002</v>
      </c>
      <c r="AH6" s="35">
        <v>22</v>
      </c>
      <c r="AI6" s="25">
        <v>36.6</v>
      </c>
      <c r="AJ6" s="25"/>
      <c r="AK6" s="34">
        <v>50.2</v>
      </c>
      <c r="AL6" s="24">
        <v>554452</v>
      </c>
      <c r="AM6" s="33">
        <v>6.5000000000000002E-2</v>
      </c>
      <c r="AN6" s="25">
        <v>0.04</v>
      </c>
      <c r="AO6" s="34">
        <v>2</v>
      </c>
      <c r="AP6" s="35">
        <v>20</v>
      </c>
      <c r="AQ6" s="25">
        <v>38.520000000000003</v>
      </c>
      <c r="AR6" s="25"/>
      <c r="AS6" s="25">
        <v>53.4</v>
      </c>
      <c r="AT6" s="24"/>
      <c r="AU6" s="25"/>
      <c r="AV6" s="25"/>
      <c r="AW6" s="34"/>
      <c r="AX6" s="35"/>
      <c r="AY6" s="25"/>
      <c r="AZ6" s="25"/>
      <c r="BA6" s="34"/>
      <c r="BB6" s="24"/>
      <c r="BC6" s="33"/>
      <c r="BD6" s="25"/>
      <c r="BE6" s="25"/>
      <c r="BF6" s="25"/>
      <c r="BG6" s="25"/>
      <c r="BH6" s="25"/>
      <c r="BI6" s="25"/>
      <c r="BJ6" s="24"/>
      <c r="BK6" s="33"/>
      <c r="BL6" s="25"/>
      <c r="BM6" s="25"/>
      <c r="BN6" s="25"/>
      <c r="BO6" s="25"/>
      <c r="BP6" s="25"/>
      <c r="BQ6" s="25"/>
      <c r="BR6" s="24"/>
      <c r="BS6" s="33"/>
      <c r="BT6" s="25"/>
      <c r="BU6" s="34"/>
      <c r="BV6" s="35"/>
      <c r="BW6" s="25"/>
      <c r="BX6" s="25"/>
      <c r="BY6" s="25"/>
      <c r="BZ6" s="24">
        <v>71217</v>
      </c>
      <c r="CA6" s="33">
        <v>6.7000000000000004E-2</v>
      </c>
      <c r="CB6" s="25">
        <v>0.04</v>
      </c>
      <c r="CC6" s="34">
        <v>2.2999999999999998</v>
      </c>
      <c r="CD6" s="35">
        <v>23</v>
      </c>
      <c r="CE6" s="25">
        <v>57.75</v>
      </c>
      <c r="CF6" s="25">
        <v>0.4</v>
      </c>
      <c r="CG6" s="25">
        <v>8.8000000000000007</v>
      </c>
      <c r="CH6" s="24">
        <v>545664</v>
      </c>
      <c r="CI6" s="33">
        <v>8.5999999999999993E-2</v>
      </c>
      <c r="CJ6" s="25">
        <v>0.05</v>
      </c>
      <c r="CK6" s="34">
        <v>2.1</v>
      </c>
      <c r="CL6" s="35">
        <v>21</v>
      </c>
      <c r="CM6" s="25">
        <v>58.01</v>
      </c>
      <c r="CN6" s="25">
        <v>0.3</v>
      </c>
      <c r="CO6" s="34">
        <v>8.1999999999999993</v>
      </c>
      <c r="CP6" s="24">
        <v>591001</v>
      </c>
      <c r="CQ6" s="33">
        <v>6.0999999999999999E-2</v>
      </c>
      <c r="CR6" s="25">
        <v>0.04</v>
      </c>
      <c r="CS6" s="34">
        <v>2.1</v>
      </c>
      <c r="CT6" s="35">
        <v>21</v>
      </c>
      <c r="CU6" s="25">
        <v>52.65</v>
      </c>
      <c r="CV6" s="25">
        <v>0.3</v>
      </c>
      <c r="CW6" s="24">
        <v>460691</v>
      </c>
      <c r="CX6" s="33">
        <v>6.8000000000000005E-2</v>
      </c>
      <c r="CY6" s="25">
        <v>0.03</v>
      </c>
      <c r="CZ6" s="34">
        <v>1.9</v>
      </c>
      <c r="DA6" s="35">
        <v>19</v>
      </c>
      <c r="DB6" s="25">
        <v>34.49</v>
      </c>
      <c r="DC6" s="34">
        <v>54.2</v>
      </c>
      <c r="DD6" s="24"/>
      <c r="DE6" s="25"/>
      <c r="DF6" s="25"/>
      <c r="DG6" s="25"/>
      <c r="DH6" s="25"/>
      <c r="DI6" s="25"/>
      <c r="DJ6" s="25"/>
      <c r="DK6" s="25"/>
      <c r="DL6" s="58"/>
      <c r="DM6" s="24">
        <v>32951</v>
      </c>
      <c r="DN6" s="33">
        <v>0.14199999999999999</v>
      </c>
      <c r="DO6" s="25">
        <v>0.06</v>
      </c>
      <c r="DP6" s="25">
        <v>2.6</v>
      </c>
      <c r="DQ6" s="25">
        <v>26</v>
      </c>
      <c r="DR6" s="25">
        <v>58.9</v>
      </c>
      <c r="DS6" s="25"/>
      <c r="DT6" s="25">
        <v>7.6</v>
      </c>
      <c r="DU6" s="72"/>
      <c r="DV6" s="25"/>
      <c r="DW6" s="25"/>
      <c r="DX6" s="25"/>
      <c r="DY6" s="25"/>
      <c r="DZ6" s="25"/>
      <c r="EA6" s="25"/>
      <c r="EB6" s="25"/>
      <c r="EC6" s="25"/>
      <c r="ED6" s="56"/>
      <c r="EE6" s="24"/>
      <c r="EF6" s="25"/>
      <c r="EG6" s="25"/>
      <c r="EH6" s="25"/>
      <c r="EI6" s="25"/>
      <c r="EJ6" s="25"/>
      <c r="EK6" s="25"/>
      <c r="EL6" s="25"/>
      <c r="EM6" s="58"/>
      <c r="EN6" s="39"/>
      <c r="EO6" s="40">
        <f>B6</f>
        <v>46143</v>
      </c>
      <c r="EP6" s="40">
        <v>45978</v>
      </c>
      <c r="EQ6" s="40">
        <v>46120</v>
      </c>
      <c r="ER6" s="40" t="s">
        <v>70</v>
      </c>
      <c r="ES6" s="40"/>
      <c r="ET6" s="40">
        <v>45930</v>
      </c>
      <c r="EU6" s="40">
        <v>46142</v>
      </c>
      <c r="EV6" s="40" t="s">
        <v>99</v>
      </c>
      <c r="EW6" s="40"/>
      <c r="EX6" s="40">
        <v>45992</v>
      </c>
      <c r="EY6" s="40">
        <v>46120</v>
      </c>
      <c r="EZ6" s="40" t="s">
        <v>71</v>
      </c>
      <c r="FA6" s="40"/>
      <c r="FB6" s="40">
        <v>45688</v>
      </c>
      <c r="FC6" s="40">
        <v>46139</v>
      </c>
      <c r="FD6" s="40"/>
      <c r="FE6" s="40">
        <v>46038</v>
      </c>
      <c r="FF6" s="40">
        <v>46055</v>
      </c>
      <c r="FG6" s="40"/>
      <c r="FH6" s="40">
        <v>46055</v>
      </c>
      <c r="FI6" s="40">
        <v>46129</v>
      </c>
      <c r="FJ6" s="40"/>
      <c r="FK6" s="40"/>
      <c r="FL6" s="40"/>
      <c r="FM6" s="40" t="s">
        <v>80</v>
      </c>
      <c r="FN6" s="40"/>
      <c r="FO6" s="40"/>
      <c r="FP6" s="40" t="s">
        <v>80</v>
      </c>
      <c r="FQ6" s="40"/>
      <c r="FR6" s="40"/>
      <c r="FS6" s="40" t="s">
        <v>80</v>
      </c>
      <c r="FT6" s="40"/>
      <c r="FU6" s="40"/>
      <c r="FV6" s="40" t="s">
        <v>80</v>
      </c>
      <c r="FW6" s="40">
        <v>46125</v>
      </c>
      <c r="FX6" s="40">
        <v>46139</v>
      </c>
      <c r="FY6" s="40" t="s">
        <v>104</v>
      </c>
      <c r="FZ6" s="40">
        <v>46132</v>
      </c>
      <c r="GA6" s="40">
        <v>46139</v>
      </c>
      <c r="GB6" s="40"/>
      <c r="GC6" s="40">
        <v>46023</v>
      </c>
      <c r="GD6" s="40">
        <v>46139</v>
      </c>
      <c r="GE6" s="40"/>
      <c r="GF6" s="40">
        <v>46130</v>
      </c>
      <c r="GG6" s="40">
        <v>46139</v>
      </c>
      <c r="GH6" s="40"/>
      <c r="GI6" s="40"/>
      <c r="GJ6" s="40"/>
      <c r="GK6" s="40" t="s">
        <v>80</v>
      </c>
      <c r="GL6" s="40">
        <v>46054</v>
      </c>
      <c r="GM6" s="40">
        <v>46054</v>
      </c>
      <c r="GN6" s="40"/>
      <c r="GO6" s="40"/>
      <c r="GP6" s="40"/>
      <c r="GQ6" s="40" t="s">
        <v>80</v>
      </c>
      <c r="GR6" s="40"/>
      <c r="GS6" s="40"/>
      <c r="GT6" s="3" t="s">
        <v>80</v>
      </c>
    </row>
    <row r="7" spans="2:202" x14ac:dyDescent="0.35">
      <c r="B7" s="41">
        <f>B6+1</f>
        <v>46144</v>
      </c>
      <c r="C7" s="24">
        <v>2545049</v>
      </c>
      <c r="D7" s="25">
        <v>5.44</v>
      </c>
      <c r="E7" s="25">
        <v>0.3</v>
      </c>
      <c r="F7" s="25">
        <v>1.87</v>
      </c>
      <c r="G7" s="25">
        <v>51.72</v>
      </c>
      <c r="H7" s="25">
        <v>2.85</v>
      </c>
      <c r="I7" s="25">
        <v>2.6</v>
      </c>
      <c r="J7" s="25">
        <f t="shared" si="0"/>
        <v>8.3000000000000007</v>
      </c>
      <c r="K7" s="24">
        <v>2334073</v>
      </c>
      <c r="L7" s="25">
        <v>4.5999999999999996</v>
      </c>
      <c r="M7" s="25">
        <v>0.25</v>
      </c>
      <c r="N7" s="25">
        <v>1.48</v>
      </c>
      <c r="O7" s="25">
        <v>52.87</v>
      </c>
      <c r="P7" s="25">
        <v>2.69</v>
      </c>
      <c r="Q7" s="25">
        <v>2.46</v>
      </c>
      <c r="R7" s="25">
        <f t="shared" si="1"/>
        <v>7.84</v>
      </c>
      <c r="S7" s="24">
        <v>2632188</v>
      </c>
      <c r="T7" s="25">
        <v>5.52</v>
      </c>
      <c r="U7" s="25">
        <v>0.28000000000000003</v>
      </c>
      <c r="V7" s="25">
        <v>1.82</v>
      </c>
      <c r="W7" s="25">
        <v>51.95</v>
      </c>
      <c r="X7" s="25">
        <v>2.86</v>
      </c>
      <c r="Y7" s="25">
        <v>2.38</v>
      </c>
      <c r="Z7" s="25">
        <f t="shared" si="2"/>
        <v>8.1</v>
      </c>
      <c r="AA7" s="24">
        <v>476862</v>
      </c>
      <c r="AB7" s="25">
        <v>88.74</v>
      </c>
      <c r="AC7" s="25">
        <v>0.25</v>
      </c>
      <c r="AD7" s="24">
        <v>545649</v>
      </c>
      <c r="AE7" s="33">
        <v>0.19900000000000001</v>
      </c>
      <c r="AF7" s="25">
        <v>7.0000000000000007E-2</v>
      </c>
      <c r="AG7" s="34">
        <v>2.2000000000000002</v>
      </c>
      <c r="AH7" s="35">
        <v>22</v>
      </c>
      <c r="AI7" s="25">
        <v>36.6</v>
      </c>
      <c r="AJ7" s="25"/>
      <c r="AK7" s="34">
        <v>50.2</v>
      </c>
      <c r="AL7" s="24">
        <v>554452</v>
      </c>
      <c r="AM7" s="33">
        <v>6.5000000000000002E-2</v>
      </c>
      <c r="AN7" s="25">
        <v>0.04</v>
      </c>
      <c r="AO7" s="34">
        <v>2</v>
      </c>
      <c r="AP7" s="35">
        <v>20</v>
      </c>
      <c r="AQ7" s="25">
        <v>38.520000000000003</v>
      </c>
      <c r="AR7" s="25"/>
      <c r="AS7" s="25">
        <v>53.4</v>
      </c>
      <c r="AT7" s="24"/>
      <c r="AU7" s="25"/>
      <c r="AV7" s="25"/>
      <c r="AW7" s="34"/>
      <c r="AX7" s="35"/>
      <c r="AY7" s="25"/>
      <c r="AZ7" s="25"/>
      <c r="BA7" s="34"/>
      <c r="BB7" s="24"/>
      <c r="BC7" s="33"/>
      <c r="BD7" s="25"/>
      <c r="BE7" s="25"/>
      <c r="BF7" s="25"/>
      <c r="BG7" s="25"/>
      <c r="BH7" s="25"/>
      <c r="BI7" s="25"/>
      <c r="BJ7" s="24"/>
      <c r="BK7" s="33"/>
      <c r="BL7" s="25"/>
      <c r="BM7" s="25"/>
      <c r="BN7" s="25"/>
      <c r="BO7" s="25"/>
      <c r="BP7" s="25"/>
      <c r="BQ7" s="25"/>
      <c r="BR7" s="24"/>
      <c r="BS7" s="33"/>
      <c r="BT7" s="25"/>
      <c r="BU7" s="34"/>
      <c r="BV7" s="35"/>
      <c r="BW7" s="25"/>
      <c r="BX7" s="25"/>
      <c r="BY7" s="25"/>
      <c r="BZ7" s="24">
        <v>71217</v>
      </c>
      <c r="CA7" s="33">
        <v>6.7000000000000004E-2</v>
      </c>
      <c r="CB7" s="25">
        <v>0.04</v>
      </c>
      <c r="CC7" s="34">
        <v>2.2999999999999998</v>
      </c>
      <c r="CD7" s="35">
        <v>23</v>
      </c>
      <c r="CE7" s="25">
        <v>57.75</v>
      </c>
      <c r="CF7" s="25">
        <v>0.4</v>
      </c>
      <c r="CG7" s="25">
        <v>8.8000000000000007</v>
      </c>
      <c r="CH7" s="24">
        <v>545664</v>
      </c>
      <c r="CI7" s="33">
        <v>8.5999999999999993E-2</v>
      </c>
      <c r="CJ7" s="25">
        <v>0.05</v>
      </c>
      <c r="CK7" s="34">
        <v>2.1</v>
      </c>
      <c r="CL7" s="35">
        <v>21</v>
      </c>
      <c r="CM7" s="25">
        <v>58.01</v>
      </c>
      <c r="CN7" s="25">
        <v>0.3</v>
      </c>
      <c r="CO7" s="34">
        <v>8.1999999999999993</v>
      </c>
      <c r="CP7" s="24">
        <v>591001</v>
      </c>
      <c r="CQ7" s="33">
        <v>6.0999999999999999E-2</v>
      </c>
      <c r="CR7" s="25">
        <v>0.04</v>
      </c>
      <c r="CS7" s="34">
        <v>2.1</v>
      </c>
      <c r="CT7" s="35">
        <v>21</v>
      </c>
      <c r="CU7" s="25">
        <v>52.65</v>
      </c>
      <c r="CV7" s="25">
        <v>0.3</v>
      </c>
      <c r="CW7" s="24">
        <v>460691</v>
      </c>
      <c r="CX7" s="33">
        <v>6.8000000000000005E-2</v>
      </c>
      <c r="CY7" s="25">
        <v>0.03</v>
      </c>
      <c r="CZ7" s="34">
        <v>1.9</v>
      </c>
      <c r="DA7" s="35">
        <v>19</v>
      </c>
      <c r="DB7" s="25">
        <v>34.49</v>
      </c>
      <c r="DC7" s="34">
        <v>54.2</v>
      </c>
      <c r="DD7" s="24"/>
      <c r="DE7" s="25"/>
      <c r="DF7" s="25"/>
      <c r="DG7" s="25"/>
      <c r="DH7" s="25"/>
      <c r="DI7" s="25"/>
      <c r="DJ7" s="25"/>
      <c r="DK7" s="25"/>
      <c r="DL7" s="58"/>
      <c r="DM7" s="24">
        <v>32951</v>
      </c>
      <c r="DN7" s="33">
        <v>0.14199999999999999</v>
      </c>
      <c r="DO7" s="25">
        <v>0.06</v>
      </c>
      <c r="DP7" s="25">
        <v>2.6</v>
      </c>
      <c r="DQ7" s="25">
        <v>26</v>
      </c>
      <c r="DR7" s="25">
        <v>58.9</v>
      </c>
      <c r="DS7" s="25"/>
      <c r="DT7" s="25">
        <v>7.6</v>
      </c>
      <c r="DU7" s="72"/>
      <c r="DV7" s="25"/>
      <c r="DW7" s="25"/>
      <c r="DX7" s="25"/>
      <c r="DY7" s="25"/>
      <c r="DZ7" s="25"/>
      <c r="EA7" s="25"/>
      <c r="EB7" s="25"/>
      <c r="EC7" s="25"/>
      <c r="ED7" s="56"/>
      <c r="EE7" s="24"/>
      <c r="EF7" s="25"/>
      <c r="EG7" s="25"/>
      <c r="EH7" s="25"/>
      <c r="EI7" s="25"/>
      <c r="EJ7" s="25"/>
      <c r="EK7" s="25"/>
      <c r="EL7" s="25"/>
      <c r="EM7" s="58"/>
      <c r="EN7" s="39"/>
      <c r="EO7" s="40">
        <f t="shared" ref="EO7:EO37" si="3">B7</f>
        <v>46144</v>
      </c>
      <c r="EP7" s="40">
        <v>45978</v>
      </c>
      <c r="EQ7" s="40">
        <v>46120</v>
      </c>
      <c r="ER7" s="40" t="s">
        <v>70</v>
      </c>
      <c r="ES7" s="40"/>
      <c r="ET7" s="40">
        <v>45930</v>
      </c>
      <c r="EU7" s="40">
        <v>46142</v>
      </c>
      <c r="EV7" s="40" t="s">
        <v>99</v>
      </c>
      <c r="EW7" s="40"/>
      <c r="EX7" s="40">
        <v>45992</v>
      </c>
      <c r="EY7" s="40">
        <v>46120</v>
      </c>
      <c r="EZ7" s="40" t="s">
        <v>71</v>
      </c>
      <c r="FA7" s="40"/>
      <c r="FB7" s="40">
        <v>45688</v>
      </c>
      <c r="FC7" s="40">
        <v>46139</v>
      </c>
      <c r="FD7" s="40"/>
      <c r="FE7" s="40">
        <v>46038</v>
      </c>
      <c r="FF7" s="40">
        <v>46055</v>
      </c>
      <c r="FG7" s="40"/>
      <c r="FH7" s="40">
        <v>46055</v>
      </c>
      <c r="FI7" s="40">
        <v>46129</v>
      </c>
      <c r="FJ7" s="40"/>
      <c r="FK7" s="40"/>
      <c r="FL7" s="40"/>
      <c r="FM7" s="40" t="s">
        <v>80</v>
      </c>
      <c r="FN7" s="40"/>
      <c r="FO7" s="40"/>
      <c r="FP7" s="40" t="s">
        <v>80</v>
      </c>
      <c r="FQ7" s="40"/>
      <c r="FR7" s="40"/>
      <c r="FS7" s="40" t="s">
        <v>80</v>
      </c>
      <c r="FT7" s="40"/>
      <c r="FU7" s="40"/>
      <c r="FV7" s="40" t="s">
        <v>80</v>
      </c>
      <c r="FW7" s="40">
        <v>46125</v>
      </c>
      <c r="FX7" s="40">
        <v>46139</v>
      </c>
      <c r="FY7" s="40"/>
      <c r="FZ7" s="40">
        <v>46132</v>
      </c>
      <c r="GA7" s="40">
        <v>46139</v>
      </c>
      <c r="GB7" s="40"/>
      <c r="GC7" s="40">
        <v>46023</v>
      </c>
      <c r="GD7" s="40">
        <v>46139</v>
      </c>
      <c r="GE7" s="40"/>
      <c r="GF7" s="40">
        <v>46130</v>
      </c>
      <c r="GG7" s="40">
        <v>46139</v>
      </c>
      <c r="GH7" s="40"/>
      <c r="GI7" s="40"/>
      <c r="GJ7" s="40"/>
      <c r="GK7" s="40" t="s">
        <v>80</v>
      </c>
      <c r="GL7" s="40">
        <v>46054</v>
      </c>
      <c r="GM7" s="40">
        <v>46054</v>
      </c>
      <c r="GN7" s="40"/>
      <c r="GO7" s="40"/>
      <c r="GP7" s="40"/>
      <c r="GQ7" s="40" t="s">
        <v>80</v>
      </c>
      <c r="GR7" s="40"/>
      <c r="GS7" s="40"/>
      <c r="GT7" s="3" t="s">
        <v>80</v>
      </c>
    </row>
    <row r="8" spans="2:202" x14ac:dyDescent="0.35">
      <c r="B8" s="41">
        <f t="shared" ref="B8:B37" si="4">B7+1</f>
        <v>46145</v>
      </c>
      <c r="C8" s="24">
        <v>2545049</v>
      </c>
      <c r="D8" s="25">
        <v>5.44</v>
      </c>
      <c r="E8" s="25">
        <v>0.3</v>
      </c>
      <c r="F8" s="25">
        <v>1.87</v>
      </c>
      <c r="G8" s="25">
        <v>51.72</v>
      </c>
      <c r="H8" s="25">
        <v>2.85</v>
      </c>
      <c r="I8" s="25">
        <v>2.6</v>
      </c>
      <c r="J8" s="25">
        <f t="shared" si="0"/>
        <v>8.3000000000000007</v>
      </c>
      <c r="K8" s="24">
        <v>2334073</v>
      </c>
      <c r="L8" s="25">
        <v>4.5999999999999996</v>
      </c>
      <c r="M8" s="25">
        <v>0.25</v>
      </c>
      <c r="N8" s="25">
        <v>1.48</v>
      </c>
      <c r="O8" s="25">
        <v>52.87</v>
      </c>
      <c r="P8" s="25">
        <v>2.69</v>
      </c>
      <c r="Q8" s="25">
        <v>2.46</v>
      </c>
      <c r="R8" s="25">
        <f t="shared" si="1"/>
        <v>7.84</v>
      </c>
      <c r="S8" s="24">
        <v>2632188</v>
      </c>
      <c r="T8" s="25">
        <v>5.52</v>
      </c>
      <c r="U8" s="25">
        <v>0.28000000000000003</v>
      </c>
      <c r="V8" s="25">
        <v>1.82</v>
      </c>
      <c r="W8" s="25">
        <v>51.95</v>
      </c>
      <c r="X8" s="25">
        <v>2.86</v>
      </c>
      <c r="Y8" s="25">
        <v>2.38</v>
      </c>
      <c r="Z8" s="25">
        <f t="shared" si="2"/>
        <v>8.1</v>
      </c>
      <c r="AA8" s="24">
        <v>476862</v>
      </c>
      <c r="AB8" s="25">
        <v>88.74</v>
      </c>
      <c r="AC8" s="25">
        <v>0.25</v>
      </c>
      <c r="AD8" s="24">
        <v>545649</v>
      </c>
      <c r="AE8" s="33">
        <v>0.19900000000000001</v>
      </c>
      <c r="AF8" s="25">
        <v>7.0000000000000007E-2</v>
      </c>
      <c r="AG8" s="34">
        <v>2.2000000000000002</v>
      </c>
      <c r="AH8" s="35">
        <v>22</v>
      </c>
      <c r="AI8" s="25">
        <v>36.6</v>
      </c>
      <c r="AJ8" s="25"/>
      <c r="AK8" s="34">
        <v>50.2</v>
      </c>
      <c r="AL8" s="24">
        <v>554452</v>
      </c>
      <c r="AM8" s="33">
        <v>6.5000000000000002E-2</v>
      </c>
      <c r="AN8" s="25">
        <v>0.04</v>
      </c>
      <c r="AO8" s="34">
        <v>2</v>
      </c>
      <c r="AP8" s="35">
        <v>20</v>
      </c>
      <c r="AQ8" s="25">
        <v>38.520000000000003</v>
      </c>
      <c r="AR8" s="25"/>
      <c r="AS8" s="25">
        <v>53.4</v>
      </c>
      <c r="AT8" s="24"/>
      <c r="AU8" s="25"/>
      <c r="AV8" s="25"/>
      <c r="AW8" s="34"/>
      <c r="AX8" s="35"/>
      <c r="AY8" s="25"/>
      <c r="AZ8" s="25"/>
      <c r="BA8" s="34"/>
      <c r="BB8" s="24"/>
      <c r="BC8" s="48"/>
      <c r="BD8" s="49"/>
      <c r="BE8" s="49"/>
      <c r="BF8" s="49"/>
      <c r="BG8" s="49"/>
      <c r="BH8" s="49"/>
      <c r="BI8" s="49"/>
      <c r="BJ8" s="24"/>
      <c r="BK8" s="33"/>
      <c r="BL8" s="25"/>
      <c r="BM8" s="25"/>
      <c r="BN8" s="25"/>
      <c r="BO8" s="25"/>
      <c r="BP8" s="25"/>
      <c r="BQ8" s="25"/>
      <c r="BR8" s="42"/>
      <c r="BS8" s="33"/>
      <c r="BT8" s="25"/>
      <c r="BU8" s="34"/>
      <c r="BV8" s="35"/>
      <c r="BW8" s="25"/>
      <c r="BX8" s="25"/>
      <c r="BY8" s="25"/>
      <c r="BZ8" s="24">
        <v>71217</v>
      </c>
      <c r="CA8" s="33">
        <v>6.7000000000000004E-2</v>
      </c>
      <c r="CB8" s="25">
        <v>0.04</v>
      </c>
      <c r="CC8" s="34">
        <v>2.2999999999999998</v>
      </c>
      <c r="CD8" s="35">
        <v>23</v>
      </c>
      <c r="CE8" s="25">
        <v>57.75</v>
      </c>
      <c r="CF8" s="25">
        <v>0.4</v>
      </c>
      <c r="CG8" s="25">
        <v>8.8000000000000007</v>
      </c>
      <c r="CH8" s="24">
        <v>545664</v>
      </c>
      <c r="CI8" s="33">
        <v>8.5999999999999993E-2</v>
      </c>
      <c r="CJ8" s="25">
        <v>0.05</v>
      </c>
      <c r="CK8" s="34">
        <v>2.1</v>
      </c>
      <c r="CL8" s="35">
        <v>21</v>
      </c>
      <c r="CM8" s="25">
        <v>58.01</v>
      </c>
      <c r="CN8" s="25">
        <v>0.3</v>
      </c>
      <c r="CO8" s="34">
        <v>8.1999999999999993</v>
      </c>
      <c r="CP8" s="24">
        <v>591001</v>
      </c>
      <c r="CQ8" s="33">
        <v>6.0999999999999999E-2</v>
      </c>
      <c r="CR8" s="25">
        <v>0.04</v>
      </c>
      <c r="CS8" s="34">
        <v>2.1</v>
      </c>
      <c r="CT8" s="35">
        <v>21</v>
      </c>
      <c r="CU8" s="25">
        <v>52.65</v>
      </c>
      <c r="CV8" s="25">
        <v>0.3</v>
      </c>
      <c r="CW8" s="24">
        <v>460691</v>
      </c>
      <c r="CX8" s="33">
        <v>6.8000000000000005E-2</v>
      </c>
      <c r="CY8" s="25">
        <v>0.03</v>
      </c>
      <c r="CZ8" s="34">
        <v>1.9</v>
      </c>
      <c r="DA8" s="35">
        <v>19</v>
      </c>
      <c r="DB8" s="25">
        <v>34.49</v>
      </c>
      <c r="DC8" s="34">
        <v>54.2</v>
      </c>
      <c r="DD8" s="42"/>
      <c r="DE8" s="49"/>
      <c r="DF8" s="49"/>
      <c r="DG8" s="49"/>
      <c r="DH8" s="49"/>
      <c r="DI8" s="49"/>
      <c r="DJ8" s="49"/>
      <c r="DK8" s="49"/>
      <c r="DL8" s="56"/>
      <c r="DM8" s="24">
        <v>32951</v>
      </c>
      <c r="DN8" s="33">
        <v>0.14199999999999999</v>
      </c>
      <c r="DO8" s="25">
        <v>0.06</v>
      </c>
      <c r="DP8" s="25">
        <v>2.6</v>
      </c>
      <c r="DQ8" s="25">
        <v>26</v>
      </c>
      <c r="DR8" s="25">
        <v>58.9</v>
      </c>
      <c r="DS8" s="25"/>
      <c r="DT8" s="25">
        <v>7.6</v>
      </c>
      <c r="DU8" s="57"/>
      <c r="DV8" s="49"/>
      <c r="DW8" s="49"/>
      <c r="DX8" s="49"/>
      <c r="DY8" s="49"/>
      <c r="DZ8" s="49"/>
      <c r="EA8" s="49"/>
      <c r="EB8" s="49"/>
      <c r="EC8" s="49"/>
      <c r="ED8" s="56"/>
      <c r="EE8" s="42"/>
      <c r="EF8" s="49"/>
      <c r="EG8" s="49"/>
      <c r="EH8" s="49"/>
      <c r="EI8" s="49"/>
      <c r="EJ8" s="49"/>
      <c r="EK8" s="49"/>
      <c r="EL8" s="49"/>
      <c r="EM8" s="58"/>
      <c r="EN8" s="39"/>
      <c r="EO8" s="40">
        <f t="shared" si="3"/>
        <v>46145</v>
      </c>
      <c r="EP8" s="40">
        <v>45978</v>
      </c>
      <c r="EQ8" s="40">
        <v>46120</v>
      </c>
      <c r="ER8" s="40" t="s">
        <v>70</v>
      </c>
      <c r="ES8" s="40"/>
      <c r="ET8" s="40">
        <v>45930</v>
      </c>
      <c r="EU8" s="40">
        <v>46142</v>
      </c>
      <c r="EV8" s="40" t="s">
        <v>99</v>
      </c>
      <c r="EW8" s="40"/>
      <c r="EX8" s="40">
        <v>45992</v>
      </c>
      <c r="EY8" s="40">
        <v>46120</v>
      </c>
      <c r="EZ8" s="40" t="s">
        <v>71</v>
      </c>
      <c r="FA8" s="40"/>
      <c r="FB8" s="40">
        <v>45688</v>
      </c>
      <c r="FC8" s="40">
        <v>46139</v>
      </c>
      <c r="FD8" s="40"/>
      <c r="FE8" s="40">
        <v>46038</v>
      </c>
      <c r="FF8" s="40">
        <v>46055</v>
      </c>
      <c r="FG8" s="40"/>
      <c r="FH8" s="40">
        <v>46055</v>
      </c>
      <c r="FI8" s="40">
        <v>46129</v>
      </c>
      <c r="FJ8" s="40"/>
      <c r="FK8" s="40"/>
      <c r="FL8" s="40"/>
      <c r="FM8" s="40" t="s">
        <v>80</v>
      </c>
      <c r="FN8" s="40"/>
      <c r="FO8" s="40"/>
      <c r="FP8" s="40" t="s">
        <v>80</v>
      </c>
      <c r="FQ8" s="40"/>
      <c r="FR8" s="40"/>
      <c r="FS8" s="40" t="s">
        <v>80</v>
      </c>
      <c r="FT8" s="40"/>
      <c r="FU8" s="40"/>
      <c r="FV8" s="40" t="s">
        <v>80</v>
      </c>
      <c r="FW8" s="40">
        <v>46125</v>
      </c>
      <c r="FX8" s="40">
        <v>46139</v>
      </c>
      <c r="FY8" s="40"/>
      <c r="FZ8" s="40">
        <v>46132</v>
      </c>
      <c r="GA8" s="40">
        <v>46139</v>
      </c>
      <c r="GB8" s="40"/>
      <c r="GC8" s="40">
        <v>46023</v>
      </c>
      <c r="GD8" s="40">
        <v>46139</v>
      </c>
      <c r="GE8" s="40"/>
      <c r="GF8" s="40">
        <v>46130</v>
      </c>
      <c r="GG8" s="40">
        <v>46139</v>
      </c>
      <c r="GH8" s="40"/>
      <c r="GI8" s="40"/>
      <c r="GJ8" s="40"/>
      <c r="GK8" s="40" t="s">
        <v>80</v>
      </c>
      <c r="GL8" s="40">
        <v>46054</v>
      </c>
      <c r="GM8" s="40">
        <v>46054</v>
      </c>
      <c r="GN8" s="40"/>
      <c r="GO8" s="40"/>
      <c r="GP8" s="40"/>
      <c r="GQ8" s="40" t="s">
        <v>80</v>
      </c>
      <c r="GR8" s="40"/>
      <c r="GS8" s="40"/>
      <c r="GT8" s="3" t="s">
        <v>80</v>
      </c>
    </row>
    <row r="9" spans="2:202" x14ac:dyDescent="0.35">
      <c r="B9" s="41">
        <f t="shared" si="4"/>
        <v>46146</v>
      </c>
      <c r="C9" s="24">
        <v>2545049</v>
      </c>
      <c r="D9" s="25">
        <v>5.46</v>
      </c>
      <c r="E9" s="25">
        <v>0.3</v>
      </c>
      <c r="F9" s="25">
        <v>1.87</v>
      </c>
      <c r="G9" s="25">
        <v>51.72</v>
      </c>
      <c r="H9" s="25">
        <v>2.85</v>
      </c>
      <c r="I9" s="25">
        <v>2.6</v>
      </c>
      <c r="J9" s="25">
        <f t="shared" si="0"/>
        <v>8.3000000000000007</v>
      </c>
      <c r="K9" s="24">
        <v>2334073</v>
      </c>
      <c r="L9" s="25">
        <v>4.63</v>
      </c>
      <c r="M9" s="25">
        <v>0.25</v>
      </c>
      <c r="N9" s="25">
        <v>1.48</v>
      </c>
      <c r="O9" s="25">
        <v>52.87</v>
      </c>
      <c r="P9" s="25">
        <v>2.69</v>
      </c>
      <c r="Q9" s="25">
        <v>2.46</v>
      </c>
      <c r="R9" s="25">
        <f t="shared" si="1"/>
        <v>7.84</v>
      </c>
      <c r="S9" s="24">
        <v>2632188</v>
      </c>
      <c r="T9" s="25">
        <v>5.53</v>
      </c>
      <c r="U9" s="25">
        <v>0.28000000000000003</v>
      </c>
      <c r="V9" s="25">
        <v>1.82</v>
      </c>
      <c r="W9" s="25">
        <v>51.95</v>
      </c>
      <c r="X9" s="25">
        <v>2.86</v>
      </c>
      <c r="Y9" s="25">
        <v>2.38</v>
      </c>
      <c r="Z9" s="25">
        <f t="shared" si="2"/>
        <v>8.1</v>
      </c>
      <c r="AA9" s="24">
        <v>476862</v>
      </c>
      <c r="AB9" s="25">
        <v>88.74</v>
      </c>
      <c r="AC9" s="25">
        <v>0.25</v>
      </c>
      <c r="AD9" s="24">
        <v>545649</v>
      </c>
      <c r="AE9" s="33">
        <v>0.19900000000000001</v>
      </c>
      <c r="AF9" s="25">
        <v>7.0000000000000007E-2</v>
      </c>
      <c r="AG9" s="34">
        <v>2.2000000000000002</v>
      </c>
      <c r="AH9" s="35">
        <v>22</v>
      </c>
      <c r="AI9" s="25">
        <v>36.6</v>
      </c>
      <c r="AJ9" s="25"/>
      <c r="AK9" s="34">
        <v>50.2</v>
      </c>
      <c r="AL9" s="24">
        <v>554452</v>
      </c>
      <c r="AM9" s="33">
        <v>6.7000000000000004E-2</v>
      </c>
      <c r="AN9" s="25">
        <v>0.04</v>
      </c>
      <c r="AO9" s="34">
        <v>2</v>
      </c>
      <c r="AP9" s="35">
        <v>20</v>
      </c>
      <c r="AQ9" s="25">
        <v>38.520000000000003</v>
      </c>
      <c r="AR9" s="25"/>
      <c r="AS9" s="25">
        <v>53.4</v>
      </c>
      <c r="AT9" s="24"/>
      <c r="AU9" s="25"/>
      <c r="AV9" s="25"/>
      <c r="AW9" s="34"/>
      <c r="AX9" s="35"/>
      <c r="AY9" s="25"/>
      <c r="AZ9" s="25"/>
      <c r="BA9" s="34"/>
      <c r="BB9" s="24"/>
      <c r="BC9" s="48"/>
      <c r="BD9" s="49"/>
      <c r="BE9" s="49"/>
      <c r="BF9" s="49"/>
      <c r="BG9" s="49"/>
      <c r="BH9" s="49"/>
      <c r="BI9" s="49"/>
      <c r="BJ9" s="24"/>
      <c r="BK9" s="33"/>
      <c r="BL9" s="25"/>
      <c r="BM9" s="25"/>
      <c r="BN9" s="25"/>
      <c r="BO9" s="25"/>
      <c r="BP9" s="25"/>
      <c r="BQ9" s="25"/>
      <c r="BR9" s="42"/>
      <c r="BS9" s="33"/>
      <c r="BT9" s="25"/>
      <c r="BU9" s="34"/>
      <c r="BV9" s="35"/>
      <c r="BW9" s="25"/>
      <c r="BX9" s="25"/>
      <c r="BY9" s="25"/>
      <c r="BZ9" s="24">
        <v>71217</v>
      </c>
      <c r="CA9" s="33">
        <v>7.0000000000000007E-2</v>
      </c>
      <c r="CB9" s="25">
        <v>0.04</v>
      </c>
      <c r="CC9" s="34">
        <v>2.2999999999999998</v>
      </c>
      <c r="CD9" s="35">
        <v>23</v>
      </c>
      <c r="CE9" s="25">
        <v>57.75</v>
      </c>
      <c r="CF9" s="25">
        <v>0.4</v>
      </c>
      <c r="CG9" s="25">
        <v>8.8000000000000007</v>
      </c>
      <c r="CH9" s="24">
        <v>545664</v>
      </c>
      <c r="CI9" s="33">
        <v>8.6999999999999994E-2</v>
      </c>
      <c r="CJ9" s="25">
        <v>0.05</v>
      </c>
      <c r="CK9" s="34">
        <v>2.1</v>
      </c>
      <c r="CL9" s="35">
        <v>21</v>
      </c>
      <c r="CM9" s="25">
        <v>58.01</v>
      </c>
      <c r="CN9" s="25">
        <v>0.3</v>
      </c>
      <c r="CO9" s="34">
        <v>8.1999999999999993</v>
      </c>
      <c r="CP9" s="24">
        <v>591001</v>
      </c>
      <c r="CQ9" s="33">
        <v>6.3E-2</v>
      </c>
      <c r="CR9" s="25">
        <v>0.04</v>
      </c>
      <c r="CS9" s="34">
        <v>2.1</v>
      </c>
      <c r="CT9" s="35">
        <v>21</v>
      </c>
      <c r="CU9" s="25">
        <v>52.65</v>
      </c>
      <c r="CV9" s="25">
        <v>0.3</v>
      </c>
      <c r="CW9" s="24">
        <v>460691</v>
      </c>
      <c r="CX9" s="33">
        <v>7.0000000000000007E-2</v>
      </c>
      <c r="CY9" s="25">
        <v>0.03</v>
      </c>
      <c r="CZ9" s="34">
        <v>1.9</v>
      </c>
      <c r="DA9" s="35">
        <v>19</v>
      </c>
      <c r="DB9" s="25">
        <v>34.49</v>
      </c>
      <c r="DC9" s="34">
        <v>54.2</v>
      </c>
      <c r="DD9" s="42"/>
      <c r="DE9" s="49"/>
      <c r="DF9" s="49"/>
      <c r="DG9" s="49"/>
      <c r="DH9" s="49"/>
      <c r="DI9" s="49"/>
      <c r="DJ9" s="49"/>
      <c r="DK9" s="49"/>
      <c r="DL9" s="56"/>
      <c r="DM9" s="24">
        <v>32951</v>
      </c>
      <c r="DN9" s="33">
        <v>0.14499999999999999</v>
      </c>
      <c r="DO9" s="25">
        <v>0.06</v>
      </c>
      <c r="DP9" s="25">
        <v>2.6</v>
      </c>
      <c r="DQ9" s="25">
        <v>26</v>
      </c>
      <c r="DR9" s="25">
        <v>58.9</v>
      </c>
      <c r="DS9" s="25"/>
      <c r="DT9" s="25">
        <v>7.6</v>
      </c>
      <c r="DU9" s="57"/>
      <c r="DV9" s="49"/>
      <c r="DW9" s="49"/>
      <c r="DX9" s="49"/>
      <c r="DY9" s="49"/>
      <c r="DZ9" s="49"/>
      <c r="EA9" s="49"/>
      <c r="EB9" s="49"/>
      <c r="EC9" s="49"/>
      <c r="ED9" s="56"/>
      <c r="EE9" s="42"/>
      <c r="EF9" s="49"/>
      <c r="EG9" s="49"/>
      <c r="EH9" s="49"/>
      <c r="EI9" s="49"/>
      <c r="EJ9" s="49"/>
      <c r="EK9" s="49"/>
      <c r="EL9" s="49"/>
      <c r="EM9" s="58"/>
      <c r="EN9" s="39"/>
      <c r="EO9" s="40">
        <f t="shared" si="3"/>
        <v>46146</v>
      </c>
      <c r="EP9" s="40">
        <v>45978</v>
      </c>
      <c r="EQ9" s="40">
        <v>46120</v>
      </c>
      <c r="ER9" s="40" t="s">
        <v>70</v>
      </c>
      <c r="ES9" s="40"/>
      <c r="ET9" s="40">
        <v>45930</v>
      </c>
      <c r="EU9" s="40">
        <v>46142</v>
      </c>
      <c r="EV9" s="40" t="s">
        <v>99</v>
      </c>
      <c r="EW9" s="40"/>
      <c r="EX9" s="40">
        <v>45992</v>
      </c>
      <c r="EY9" s="40">
        <v>46120</v>
      </c>
      <c r="EZ9" s="40" t="s">
        <v>71</v>
      </c>
      <c r="FA9" s="40"/>
      <c r="FB9" s="40">
        <v>45688</v>
      </c>
      <c r="FC9" s="40">
        <v>46139</v>
      </c>
      <c r="FD9" s="40"/>
      <c r="FE9" s="40">
        <v>46038</v>
      </c>
      <c r="FF9" s="40">
        <v>46055</v>
      </c>
      <c r="FG9" s="40"/>
      <c r="FH9" s="40">
        <v>46055</v>
      </c>
      <c r="FI9" s="40">
        <v>46129</v>
      </c>
      <c r="FJ9" s="40"/>
      <c r="FK9" s="40"/>
      <c r="FL9" s="40"/>
      <c r="FM9" s="40" t="s">
        <v>80</v>
      </c>
      <c r="FN9" s="40"/>
      <c r="FO9" s="40"/>
      <c r="FP9" s="40" t="s">
        <v>80</v>
      </c>
      <c r="FQ9" s="40"/>
      <c r="FR9" s="40"/>
      <c r="FS9" s="40" t="s">
        <v>80</v>
      </c>
      <c r="FT9" s="40"/>
      <c r="FU9" s="40"/>
      <c r="FV9" s="40" t="s">
        <v>80</v>
      </c>
      <c r="FW9" s="40">
        <v>46125</v>
      </c>
      <c r="FX9" s="40">
        <v>46139</v>
      </c>
      <c r="FY9" s="40"/>
      <c r="FZ9" s="40">
        <v>46132</v>
      </c>
      <c r="GA9" s="40">
        <v>46139</v>
      </c>
      <c r="GB9" s="40"/>
      <c r="GC9" s="40">
        <v>46023</v>
      </c>
      <c r="GD9" s="40">
        <v>46139</v>
      </c>
      <c r="GE9" s="40"/>
      <c r="GF9" s="40">
        <v>46130</v>
      </c>
      <c r="GG9" s="40">
        <v>46139</v>
      </c>
      <c r="GH9" s="40"/>
      <c r="GI9" s="40"/>
      <c r="GJ9" s="40"/>
      <c r="GK9" s="40" t="s">
        <v>80</v>
      </c>
      <c r="GL9" s="40">
        <v>46054</v>
      </c>
      <c r="GM9" s="40">
        <v>46054</v>
      </c>
      <c r="GN9" s="40"/>
      <c r="GO9" s="40"/>
      <c r="GP9" s="40"/>
      <c r="GQ9" s="40" t="s">
        <v>80</v>
      </c>
      <c r="GR9" s="40"/>
      <c r="GS9" s="40"/>
      <c r="GT9" s="3" t="s">
        <v>80</v>
      </c>
    </row>
    <row r="10" spans="2:202" x14ac:dyDescent="0.35">
      <c r="B10" s="41">
        <f t="shared" si="4"/>
        <v>46147</v>
      </c>
      <c r="C10" s="24">
        <v>2545049</v>
      </c>
      <c r="D10" s="25">
        <v>5.46</v>
      </c>
      <c r="E10" s="25">
        <v>0.3</v>
      </c>
      <c r="F10" s="25">
        <v>1.87</v>
      </c>
      <c r="G10" s="25">
        <v>51.72</v>
      </c>
      <c r="H10" s="25">
        <v>2.85</v>
      </c>
      <c r="I10" s="25">
        <v>2.6</v>
      </c>
      <c r="J10" s="25">
        <f t="shared" si="0"/>
        <v>8.3000000000000007</v>
      </c>
      <c r="K10" s="24">
        <v>2367024</v>
      </c>
      <c r="L10" s="25">
        <v>4.57</v>
      </c>
      <c r="M10" s="25">
        <v>0.23</v>
      </c>
      <c r="N10" s="25">
        <v>1.4</v>
      </c>
      <c r="O10" s="25">
        <v>52.95</v>
      </c>
      <c r="P10" s="25">
        <v>2</v>
      </c>
      <c r="Q10" s="25">
        <v>2.4</v>
      </c>
      <c r="R10" s="25">
        <f t="shared" si="1"/>
        <v>6.4</v>
      </c>
      <c r="S10" s="24">
        <v>2632188</v>
      </c>
      <c r="T10" s="25">
        <v>5.56</v>
      </c>
      <c r="U10" s="25">
        <v>0.28000000000000003</v>
      </c>
      <c r="V10" s="25">
        <v>1.82</v>
      </c>
      <c r="W10" s="25">
        <v>51.95</v>
      </c>
      <c r="X10" s="25">
        <v>2.86</v>
      </c>
      <c r="Y10" s="25">
        <v>2.38</v>
      </c>
      <c r="Z10" s="25">
        <f t="shared" si="2"/>
        <v>8.1</v>
      </c>
      <c r="AA10" s="24">
        <v>476862</v>
      </c>
      <c r="AB10" s="25">
        <v>88.74</v>
      </c>
      <c r="AC10" s="25">
        <v>0.25</v>
      </c>
      <c r="AD10" s="24">
        <v>545649</v>
      </c>
      <c r="AE10" s="33">
        <v>0.20100000000000001</v>
      </c>
      <c r="AF10" s="25">
        <v>7.0000000000000007E-2</v>
      </c>
      <c r="AG10" s="34">
        <v>2.2000000000000002</v>
      </c>
      <c r="AH10" s="35">
        <v>22</v>
      </c>
      <c r="AI10" s="25">
        <v>36.6</v>
      </c>
      <c r="AJ10" s="25"/>
      <c r="AK10" s="34">
        <v>50.2</v>
      </c>
      <c r="AL10" s="24">
        <v>554452</v>
      </c>
      <c r="AM10" s="33">
        <v>6.9000000000000006E-2</v>
      </c>
      <c r="AN10" s="25">
        <v>0.04</v>
      </c>
      <c r="AO10" s="34">
        <v>2</v>
      </c>
      <c r="AP10" s="35">
        <v>20</v>
      </c>
      <c r="AQ10" s="25">
        <v>38.520000000000003</v>
      </c>
      <c r="AR10" s="25"/>
      <c r="AS10" s="25">
        <v>53.4</v>
      </c>
      <c r="AT10" s="24"/>
      <c r="AU10" s="25"/>
      <c r="AV10" s="25"/>
      <c r="AW10" s="34"/>
      <c r="AX10" s="35"/>
      <c r="AY10" s="25"/>
      <c r="AZ10" s="25"/>
      <c r="BA10" s="34"/>
      <c r="BB10" s="24"/>
      <c r="BC10" s="48"/>
      <c r="BD10" s="49"/>
      <c r="BE10" s="49"/>
      <c r="BF10" s="49"/>
      <c r="BG10" s="49"/>
      <c r="BH10" s="49"/>
      <c r="BI10" s="49"/>
      <c r="BJ10" s="24"/>
      <c r="BK10" s="33"/>
      <c r="BL10" s="25"/>
      <c r="BM10" s="25"/>
      <c r="BN10" s="25"/>
      <c r="BO10" s="25"/>
      <c r="BP10" s="25"/>
      <c r="BQ10" s="25"/>
      <c r="BR10" s="42"/>
      <c r="BS10" s="33"/>
      <c r="BT10" s="25"/>
      <c r="BU10" s="34"/>
      <c r="BV10" s="35"/>
      <c r="BW10" s="25"/>
      <c r="BX10" s="25"/>
      <c r="BY10" s="25"/>
      <c r="BZ10" s="24">
        <v>40066</v>
      </c>
      <c r="CA10" s="33">
        <v>7.1999999999999995E-2</v>
      </c>
      <c r="CB10" s="25">
        <v>0.04</v>
      </c>
      <c r="CC10" s="34">
        <v>2.2999999999999998</v>
      </c>
      <c r="CD10" s="35">
        <v>23</v>
      </c>
      <c r="CE10" s="25">
        <v>57.75</v>
      </c>
      <c r="CF10" s="25">
        <v>0.4</v>
      </c>
      <c r="CG10" s="25">
        <v>8.8000000000000007</v>
      </c>
      <c r="CH10" s="42">
        <v>463045</v>
      </c>
      <c r="CI10" s="33">
        <v>8.6999999999999994E-2</v>
      </c>
      <c r="CJ10" s="25">
        <v>0.05</v>
      </c>
      <c r="CK10" s="34">
        <v>2.1</v>
      </c>
      <c r="CL10" s="35">
        <v>21</v>
      </c>
      <c r="CM10" s="25">
        <v>58.01</v>
      </c>
      <c r="CN10" s="25">
        <v>0.3</v>
      </c>
      <c r="CO10" s="34">
        <v>8.1999999999999993</v>
      </c>
      <c r="CP10" s="24">
        <v>591001</v>
      </c>
      <c r="CQ10" s="33">
        <v>6.6000000000000003E-2</v>
      </c>
      <c r="CR10" s="25">
        <v>0.04</v>
      </c>
      <c r="CS10" s="34">
        <v>2.1</v>
      </c>
      <c r="CT10" s="35">
        <v>21</v>
      </c>
      <c r="CU10" s="25">
        <v>52.65</v>
      </c>
      <c r="CV10" s="25">
        <v>0.3</v>
      </c>
      <c r="CW10" s="24">
        <v>460691</v>
      </c>
      <c r="CX10" s="33">
        <v>7.1999999999999995E-2</v>
      </c>
      <c r="CY10" s="25">
        <v>0.03</v>
      </c>
      <c r="CZ10" s="34">
        <v>1.9</v>
      </c>
      <c r="DA10" s="35">
        <v>19</v>
      </c>
      <c r="DB10" s="25">
        <v>34.49</v>
      </c>
      <c r="DC10" s="34">
        <v>54.2</v>
      </c>
      <c r="DD10" s="42"/>
      <c r="DE10" s="49"/>
      <c r="DF10" s="49"/>
      <c r="DG10" s="49"/>
      <c r="DH10" s="49"/>
      <c r="DI10" s="49"/>
      <c r="DJ10" s="49"/>
      <c r="DK10" s="49"/>
      <c r="DL10" s="56"/>
      <c r="DM10" s="24"/>
      <c r="DN10" s="33"/>
      <c r="DO10" s="25"/>
      <c r="DP10" s="25"/>
      <c r="DQ10" s="25"/>
      <c r="DR10" s="25"/>
      <c r="DS10" s="25"/>
      <c r="DT10" s="25"/>
      <c r="DU10" s="57"/>
      <c r="DV10" s="49"/>
      <c r="DW10" s="49"/>
      <c r="DX10" s="49"/>
      <c r="DY10" s="49"/>
      <c r="DZ10" s="49"/>
      <c r="EA10" s="49"/>
      <c r="EB10" s="49"/>
      <c r="EC10" s="49"/>
      <c r="ED10" s="56"/>
      <c r="EE10" s="42"/>
      <c r="EF10" s="49"/>
      <c r="EG10" s="49"/>
      <c r="EH10" s="49"/>
      <c r="EI10" s="49"/>
      <c r="EJ10" s="49"/>
      <c r="EK10" s="49"/>
      <c r="EL10" s="49"/>
      <c r="EM10" s="58"/>
      <c r="EN10" s="39"/>
      <c r="EO10" s="40">
        <f t="shared" si="3"/>
        <v>46147</v>
      </c>
      <c r="EP10" s="40">
        <v>45978</v>
      </c>
      <c r="EQ10" s="40">
        <v>46120</v>
      </c>
      <c r="ER10" s="40" t="s">
        <v>70</v>
      </c>
      <c r="ES10" s="40"/>
      <c r="ET10" s="40">
        <v>45930</v>
      </c>
      <c r="EU10" s="40">
        <v>46146</v>
      </c>
      <c r="EV10" s="40" t="s">
        <v>105</v>
      </c>
      <c r="EW10" s="40"/>
      <c r="EX10" s="40">
        <v>45992</v>
      </c>
      <c r="EY10" s="40">
        <v>46120</v>
      </c>
      <c r="EZ10" s="40" t="s">
        <v>71</v>
      </c>
      <c r="FA10" s="40"/>
      <c r="FB10" s="40">
        <v>45688</v>
      </c>
      <c r="FC10" s="40">
        <v>46139</v>
      </c>
      <c r="FD10" s="40"/>
      <c r="FE10" s="40">
        <v>46038</v>
      </c>
      <c r="FF10" s="40">
        <v>46055</v>
      </c>
      <c r="FG10" s="40"/>
      <c r="FH10" s="40">
        <v>46055</v>
      </c>
      <c r="FI10" s="40">
        <v>46129</v>
      </c>
      <c r="FJ10" s="40"/>
      <c r="FK10" s="40"/>
      <c r="FL10" s="40"/>
      <c r="FM10" s="40" t="s">
        <v>80</v>
      </c>
      <c r="FN10" s="40"/>
      <c r="FO10" s="40"/>
      <c r="FP10" s="40" t="s">
        <v>80</v>
      </c>
      <c r="FQ10" s="40"/>
      <c r="FR10" s="40"/>
      <c r="FS10" s="40" t="s">
        <v>80</v>
      </c>
      <c r="FT10" s="40"/>
      <c r="FU10" s="40"/>
      <c r="FV10" s="40" t="s">
        <v>80</v>
      </c>
      <c r="FW10" s="40">
        <v>46125</v>
      </c>
      <c r="FX10" s="40">
        <v>46139</v>
      </c>
      <c r="FY10" s="40" t="s">
        <v>106</v>
      </c>
      <c r="FZ10" s="40">
        <v>46132</v>
      </c>
      <c r="GA10" s="40">
        <v>46139</v>
      </c>
      <c r="GB10" s="40" t="s">
        <v>107</v>
      </c>
      <c r="GC10" s="40">
        <v>46023</v>
      </c>
      <c r="GD10" s="40">
        <v>46139</v>
      </c>
      <c r="GE10" s="40"/>
      <c r="GF10" s="40">
        <v>46130</v>
      </c>
      <c r="GG10" s="40">
        <v>46139</v>
      </c>
      <c r="GH10" s="40"/>
      <c r="GI10" s="40"/>
      <c r="GJ10" s="40"/>
      <c r="GK10" s="40" t="s">
        <v>80</v>
      </c>
      <c r="GL10" s="40"/>
      <c r="GM10" s="40"/>
      <c r="GN10" s="40" t="s">
        <v>80</v>
      </c>
      <c r="GO10" s="40"/>
      <c r="GP10" s="40"/>
      <c r="GQ10" s="40" t="s">
        <v>80</v>
      </c>
      <c r="GR10" s="40"/>
      <c r="GS10" s="40"/>
      <c r="GT10" s="3" t="s">
        <v>80</v>
      </c>
    </row>
    <row r="11" spans="2:202" x14ac:dyDescent="0.35">
      <c r="B11" s="41">
        <f t="shared" si="4"/>
        <v>46148</v>
      </c>
      <c r="C11" s="24">
        <v>2545049</v>
      </c>
      <c r="D11" s="25">
        <v>5.48</v>
      </c>
      <c r="E11" s="25">
        <v>0.3</v>
      </c>
      <c r="F11" s="25">
        <v>1.87</v>
      </c>
      <c r="G11" s="25">
        <v>51.72</v>
      </c>
      <c r="H11" s="25">
        <v>2.85</v>
      </c>
      <c r="I11" s="25">
        <v>2.6</v>
      </c>
      <c r="J11" s="25">
        <f t="shared" si="0"/>
        <v>8.3000000000000007</v>
      </c>
      <c r="K11" s="24">
        <v>2508574</v>
      </c>
      <c r="L11" s="25">
        <v>4.6557682492125014</v>
      </c>
      <c r="M11" s="25">
        <v>0.24410661993626659</v>
      </c>
      <c r="N11" s="25">
        <v>1.4107210311515626</v>
      </c>
      <c r="O11" s="25">
        <v>52.879466900318668</v>
      </c>
      <c r="P11" s="25">
        <v>2.0197492679107731</v>
      </c>
      <c r="Q11" s="25">
        <v>2.3870219096586345</v>
      </c>
      <c r="R11" s="25">
        <f t="shared" si="1"/>
        <v>6.4265204454801808</v>
      </c>
      <c r="S11" s="24">
        <v>2632188</v>
      </c>
      <c r="T11" s="25">
        <v>5.59</v>
      </c>
      <c r="U11" s="25">
        <v>0.28000000000000003</v>
      </c>
      <c r="V11" s="25">
        <v>1.82</v>
      </c>
      <c r="W11" s="25">
        <v>51.95</v>
      </c>
      <c r="X11" s="25">
        <v>2.86</v>
      </c>
      <c r="Y11" s="25">
        <v>2.38</v>
      </c>
      <c r="Z11" s="25">
        <f t="shared" si="2"/>
        <v>8.1</v>
      </c>
      <c r="AA11" s="24">
        <v>476862</v>
      </c>
      <c r="AB11" s="25">
        <v>88.74</v>
      </c>
      <c r="AC11" s="25">
        <v>0.25</v>
      </c>
      <c r="AD11" s="24">
        <v>545649</v>
      </c>
      <c r="AE11" s="33">
        <v>0.20200000000000001</v>
      </c>
      <c r="AF11" s="25">
        <v>7.0000000000000007E-2</v>
      </c>
      <c r="AG11" s="34">
        <v>2.2000000000000002</v>
      </c>
      <c r="AH11" s="35">
        <v>22</v>
      </c>
      <c r="AI11" s="25">
        <v>36.6</v>
      </c>
      <c r="AJ11" s="25"/>
      <c r="AK11" s="34">
        <v>50.2</v>
      </c>
      <c r="AL11" s="24">
        <v>554452</v>
      </c>
      <c r="AM11" s="33">
        <v>7.0000000000000007E-2</v>
      </c>
      <c r="AN11" s="25">
        <v>0.04</v>
      </c>
      <c r="AO11" s="34">
        <v>2</v>
      </c>
      <c r="AP11" s="35">
        <v>20</v>
      </c>
      <c r="AQ11" s="25">
        <v>38.520000000000003</v>
      </c>
      <c r="AR11" s="25"/>
      <c r="AS11" s="25">
        <v>53.4</v>
      </c>
      <c r="AT11" s="24"/>
      <c r="AU11" s="25"/>
      <c r="AV11" s="25"/>
      <c r="AW11" s="34"/>
      <c r="AX11" s="35"/>
      <c r="AY11" s="25"/>
      <c r="AZ11" s="25"/>
      <c r="BA11" s="34"/>
      <c r="BB11" s="24"/>
      <c r="BC11" s="48"/>
      <c r="BD11" s="49"/>
      <c r="BE11" s="49"/>
      <c r="BF11" s="49"/>
      <c r="BG11" s="49"/>
      <c r="BH11" s="49"/>
      <c r="BI11" s="49"/>
      <c r="BJ11" s="24"/>
      <c r="BK11" s="33"/>
      <c r="BL11" s="25"/>
      <c r="BM11" s="25"/>
      <c r="BN11" s="25"/>
      <c r="BO11" s="25"/>
      <c r="BP11" s="25"/>
      <c r="BQ11" s="25"/>
      <c r="BR11" s="42"/>
      <c r="BS11" s="33"/>
      <c r="BT11" s="25"/>
      <c r="BU11" s="34"/>
      <c r="BV11" s="35"/>
      <c r="BW11" s="25"/>
      <c r="BX11" s="25"/>
      <c r="BY11" s="25"/>
      <c r="BZ11" s="42"/>
      <c r="CA11" s="48"/>
      <c r="CB11" s="49"/>
      <c r="CC11" s="50"/>
      <c r="CD11" s="51"/>
      <c r="CE11" s="49"/>
      <c r="CF11" s="49"/>
      <c r="CG11" s="49"/>
      <c r="CH11" s="42">
        <v>354831</v>
      </c>
      <c r="CI11" s="33">
        <v>8.7999999999999995E-2</v>
      </c>
      <c r="CJ11" s="25">
        <v>0.05</v>
      </c>
      <c r="CK11" s="34">
        <v>2.1</v>
      </c>
      <c r="CL11" s="35">
        <v>21</v>
      </c>
      <c r="CM11" s="25">
        <v>58.01</v>
      </c>
      <c r="CN11" s="25">
        <v>0.56999999999999995</v>
      </c>
      <c r="CO11" s="34">
        <v>8.1999999999999993</v>
      </c>
      <c r="CP11" s="24">
        <v>591001</v>
      </c>
      <c r="CQ11" s="33">
        <v>6.7000000000000004E-2</v>
      </c>
      <c r="CR11" s="25">
        <v>0.04</v>
      </c>
      <c r="CS11" s="34">
        <v>2.1</v>
      </c>
      <c r="CT11" s="35">
        <v>21</v>
      </c>
      <c r="CU11" s="25">
        <v>52.65</v>
      </c>
      <c r="CV11" s="25">
        <v>0.69</v>
      </c>
      <c r="CW11" s="24">
        <v>460691</v>
      </c>
      <c r="CX11" s="33">
        <v>7.5999999999999998E-2</v>
      </c>
      <c r="CY11" s="25">
        <v>0.03</v>
      </c>
      <c r="CZ11" s="34">
        <v>2</v>
      </c>
      <c r="DA11" s="35">
        <v>20</v>
      </c>
      <c r="DB11" s="25">
        <v>34.49</v>
      </c>
      <c r="DC11" s="34">
        <v>54.2</v>
      </c>
      <c r="DD11" s="42"/>
      <c r="DE11" s="49"/>
      <c r="DF11" s="49"/>
      <c r="DG11" s="49"/>
      <c r="DH11" s="49"/>
      <c r="DI11" s="49"/>
      <c r="DJ11" s="49"/>
      <c r="DK11" s="49"/>
      <c r="DL11" s="56"/>
      <c r="DM11" s="24"/>
      <c r="DN11" s="33"/>
      <c r="DO11" s="25"/>
      <c r="DP11" s="25"/>
      <c r="DQ11" s="25"/>
      <c r="DR11" s="25"/>
      <c r="DS11" s="25"/>
      <c r="DT11" s="25"/>
      <c r="DU11" s="57"/>
      <c r="DV11" s="49"/>
      <c r="DW11" s="49"/>
      <c r="DX11" s="49"/>
      <c r="DY11" s="49"/>
      <c r="DZ11" s="49"/>
      <c r="EA11" s="49"/>
      <c r="EB11" s="49"/>
      <c r="EC11" s="49"/>
      <c r="ED11" s="56"/>
      <c r="EE11" s="42"/>
      <c r="EF11" s="49"/>
      <c r="EG11" s="49"/>
      <c r="EH11" s="49"/>
      <c r="EI11" s="49"/>
      <c r="EJ11" s="49"/>
      <c r="EK11" s="49"/>
      <c r="EL11" s="49"/>
      <c r="EM11" s="58"/>
      <c r="EN11" s="39"/>
      <c r="EO11" s="40">
        <f t="shared" si="3"/>
        <v>46148</v>
      </c>
      <c r="EP11" s="40">
        <v>45978</v>
      </c>
      <c r="EQ11" s="40">
        <v>46120</v>
      </c>
      <c r="ER11" s="40" t="s">
        <v>70</v>
      </c>
      <c r="ES11" s="40"/>
      <c r="ET11" s="40">
        <v>45930</v>
      </c>
      <c r="EU11" s="40">
        <v>46147</v>
      </c>
      <c r="EV11" s="40" t="s">
        <v>105</v>
      </c>
      <c r="EW11" s="40"/>
      <c r="EX11" s="40">
        <v>45992</v>
      </c>
      <c r="EY11" s="40">
        <v>46120</v>
      </c>
      <c r="EZ11" s="40" t="s">
        <v>71</v>
      </c>
      <c r="FA11" s="40"/>
      <c r="FB11" s="40">
        <v>45688</v>
      </c>
      <c r="FC11" s="40">
        <v>46139</v>
      </c>
      <c r="FD11" s="40"/>
      <c r="FE11" s="40">
        <v>46038</v>
      </c>
      <c r="FF11" s="40">
        <v>46055</v>
      </c>
      <c r="FG11" s="40"/>
      <c r="FH11" s="40">
        <v>46055</v>
      </c>
      <c r="FI11" s="40">
        <v>46129</v>
      </c>
      <c r="FJ11" s="40"/>
      <c r="FK11" s="40"/>
      <c r="FL11" s="40"/>
      <c r="FM11" s="40" t="s">
        <v>80</v>
      </c>
      <c r="FN11" s="40"/>
      <c r="FO11" s="40"/>
      <c r="FP11" s="40" t="s">
        <v>80</v>
      </c>
      <c r="FQ11" s="40"/>
      <c r="FR11" s="40"/>
      <c r="FS11" s="40" t="s">
        <v>80</v>
      </c>
      <c r="FT11" s="40"/>
      <c r="FU11" s="40"/>
      <c r="FV11" s="40" t="s">
        <v>80</v>
      </c>
      <c r="FW11" s="40">
        <v>46125</v>
      </c>
      <c r="FX11" s="40">
        <v>46139</v>
      </c>
      <c r="FY11" s="40" t="s">
        <v>108</v>
      </c>
      <c r="FZ11" s="40">
        <v>46132</v>
      </c>
      <c r="GA11" s="40">
        <v>46139</v>
      </c>
      <c r="GB11" s="40" t="s">
        <v>109</v>
      </c>
      <c r="GC11" s="40">
        <v>46023</v>
      </c>
      <c r="GD11" s="40">
        <v>46139</v>
      </c>
      <c r="GE11" s="40"/>
      <c r="GF11" s="40">
        <v>46130</v>
      </c>
      <c r="GG11" s="40">
        <v>46139</v>
      </c>
      <c r="GH11" s="40"/>
      <c r="GI11" s="40"/>
      <c r="GJ11" s="40"/>
      <c r="GK11" s="40" t="s">
        <v>80</v>
      </c>
      <c r="GL11" s="40"/>
      <c r="GM11" s="40"/>
      <c r="GN11" s="40" t="s">
        <v>80</v>
      </c>
      <c r="GO11" s="40"/>
      <c r="GP11" s="40"/>
      <c r="GQ11" s="40" t="s">
        <v>80</v>
      </c>
      <c r="GR11" s="40"/>
      <c r="GS11" s="40"/>
      <c r="GT11" s="3" t="s">
        <v>80</v>
      </c>
    </row>
    <row r="12" spans="2:202" x14ac:dyDescent="0.35">
      <c r="B12" s="41">
        <f t="shared" si="4"/>
        <v>46149</v>
      </c>
      <c r="C12" s="24">
        <v>2545049</v>
      </c>
      <c r="D12" s="25">
        <v>5.5</v>
      </c>
      <c r="E12" s="25">
        <v>0.3</v>
      </c>
      <c r="F12" s="25">
        <v>1.87</v>
      </c>
      <c r="G12" s="25">
        <v>51.72</v>
      </c>
      <c r="H12" s="25">
        <v>2.85</v>
      </c>
      <c r="I12" s="25">
        <v>2.6</v>
      </c>
      <c r="J12" s="25">
        <f t="shared" si="0"/>
        <v>8.3000000000000007</v>
      </c>
      <c r="K12" s="24">
        <v>2583754</v>
      </c>
      <c r="L12" s="25">
        <v>4.7018649530876395</v>
      </c>
      <c r="M12" s="25">
        <v>0.24573296064563424</v>
      </c>
      <c r="N12" s="25">
        <v>1.4165194906326222</v>
      </c>
      <c r="O12" s="25">
        <v>52.845729663118085</v>
      </c>
      <c r="P12" s="25">
        <v>2.0308134984986963</v>
      </c>
      <c r="Q12" s="25">
        <v>2.3830349561142428</v>
      </c>
      <c r="R12" s="25">
        <f t="shared" si="1"/>
        <v>6.4446619531116358</v>
      </c>
      <c r="S12" s="24">
        <v>2632188</v>
      </c>
      <c r="T12" s="25">
        <v>5.62</v>
      </c>
      <c r="U12" s="25">
        <v>0.28000000000000003</v>
      </c>
      <c r="V12" s="25">
        <v>1.82</v>
      </c>
      <c r="W12" s="25">
        <v>51.95</v>
      </c>
      <c r="X12" s="25">
        <v>2.86</v>
      </c>
      <c r="Y12" s="25">
        <v>2.38</v>
      </c>
      <c r="Z12" s="25">
        <f t="shared" si="2"/>
        <v>8.1</v>
      </c>
      <c r="AA12" s="24">
        <v>476862</v>
      </c>
      <c r="AB12" s="25">
        <v>88.74</v>
      </c>
      <c r="AC12" s="25">
        <v>0.25</v>
      </c>
      <c r="AD12" s="24">
        <v>545649</v>
      </c>
      <c r="AE12" s="33">
        <v>0.20399999999999999</v>
      </c>
      <c r="AF12" s="25">
        <v>7.0000000000000007E-2</v>
      </c>
      <c r="AG12" s="34">
        <v>2.2000000000000002</v>
      </c>
      <c r="AH12" s="35">
        <v>22</v>
      </c>
      <c r="AI12" s="25">
        <v>36.6</v>
      </c>
      <c r="AJ12" s="25"/>
      <c r="AK12" s="34">
        <v>50.2</v>
      </c>
      <c r="AL12" s="24">
        <v>554452</v>
      </c>
      <c r="AM12" s="33">
        <v>7.1999999999999995E-2</v>
      </c>
      <c r="AN12" s="25">
        <v>0.04</v>
      </c>
      <c r="AO12" s="34">
        <v>2</v>
      </c>
      <c r="AP12" s="35">
        <v>20</v>
      </c>
      <c r="AQ12" s="25">
        <v>38.520000000000003</v>
      </c>
      <c r="AR12" s="25"/>
      <c r="AS12" s="25">
        <v>53.4</v>
      </c>
      <c r="AT12" s="24"/>
      <c r="AU12" s="25"/>
      <c r="AV12" s="25"/>
      <c r="AW12" s="34"/>
      <c r="AX12" s="35"/>
      <c r="AY12" s="25"/>
      <c r="AZ12" s="25"/>
      <c r="BA12" s="34"/>
      <c r="BB12" s="24"/>
      <c r="BC12" s="48"/>
      <c r="BD12" s="49"/>
      <c r="BE12" s="49"/>
      <c r="BF12" s="49"/>
      <c r="BG12" s="49"/>
      <c r="BH12" s="49"/>
      <c r="BI12" s="49"/>
      <c r="BJ12" s="24"/>
      <c r="BK12" s="33"/>
      <c r="BL12" s="25"/>
      <c r="BM12" s="25"/>
      <c r="BN12" s="25"/>
      <c r="BO12" s="25"/>
      <c r="BP12" s="25"/>
      <c r="BQ12" s="25"/>
      <c r="BR12" s="42"/>
      <c r="BS12" s="33"/>
      <c r="BT12" s="25"/>
      <c r="BU12" s="34"/>
      <c r="BV12" s="35"/>
      <c r="BW12" s="25"/>
      <c r="BX12" s="25"/>
      <c r="BY12" s="25"/>
      <c r="BZ12" s="42"/>
      <c r="CA12" s="48"/>
      <c r="CB12" s="49"/>
      <c r="CC12" s="50"/>
      <c r="CD12" s="51"/>
      <c r="CE12" s="49"/>
      <c r="CF12" s="49"/>
      <c r="CG12" s="49"/>
      <c r="CH12" s="42">
        <v>245621</v>
      </c>
      <c r="CI12" s="33">
        <v>8.8999999999999996E-2</v>
      </c>
      <c r="CJ12" s="25">
        <v>0.05</v>
      </c>
      <c r="CK12" s="34">
        <v>2.1</v>
      </c>
      <c r="CL12" s="35">
        <v>21</v>
      </c>
      <c r="CM12" s="25">
        <v>58.01</v>
      </c>
      <c r="CN12" s="25">
        <v>0.56999999999999995</v>
      </c>
      <c r="CO12" s="34">
        <v>8.1999999999999993</v>
      </c>
      <c r="CP12" s="24">
        <v>591001</v>
      </c>
      <c r="CQ12" s="33">
        <v>6.9000000000000006E-2</v>
      </c>
      <c r="CR12" s="25">
        <v>0.04</v>
      </c>
      <c r="CS12" s="34">
        <v>2.1</v>
      </c>
      <c r="CT12" s="35">
        <v>21</v>
      </c>
      <c r="CU12" s="25">
        <v>52.65</v>
      </c>
      <c r="CV12" s="25">
        <v>0.69</v>
      </c>
      <c r="CW12" s="24">
        <v>460691</v>
      </c>
      <c r="CX12" s="33">
        <v>7.8E-2</v>
      </c>
      <c r="CY12" s="25">
        <v>0.03</v>
      </c>
      <c r="CZ12" s="34">
        <v>2</v>
      </c>
      <c r="DA12" s="35">
        <v>20</v>
      </c>
      <c r="DB12" s="25">
        <v>34.49</v>
      </c>
      <c r="DC12" s="34">
        <v>54.2</v>
      </c>
      <c r="DD12" s="42"/>
      <c r="DE12" s="49"/>
      <c r="DF12" s="49"/>
      <c r="DG12" s="49"/>
      <c r="DH12" s="49"/>
      <c r="DI12" s="49"/>
      <c r="DJ12" s="49"/>
      <c r="DK12" s="49"/>
      <c r="DL12" s="56"/>
      <c r="DM12" s="24"/>
      <c r="DN12" s="33"/>
      <c r="DO12" s="25"/>
      <c r="DP12" s="25"/>
      <c r="DQ12" s="25"/>
      <c r="DR12" s="25"/>
      <c r="DS12" s="25"/>
      <c r="DT12" s="25"/>
      <c r="DU12" s="57"/>
      <c r="DV12" s="49"/>
      <c r="DW12" s="49"/>
      <c r="DX12" s="49"/>
      <c r="DY12" s="49"/>
      <c r="DZ12" s="49"/>
      <c r="EA12" s="49"/>
      <c r="EB12" s="49"/>
      <c r="EC12" s="49"/>
      <c r="ED12" s="56"/>
      <c r="EE12" s="42"/>
      <c r="EF12" s="49"/>
      <c r="EG12" s="49"/>
      <c r="EH12" s="49"/>
      <c r="EI12" s="49"/>
      <c r="EJ12" s="49"/>
      <c r="EK12" s="49"/>
      <c r="EL12" s="49"/>
      <c r="EM12" s="58"/>
      <c r="EN12" s="39"/>
      <c r="EO12" s="40">
        <f t="shared" si="3"/>
        <v>46149</v>
      </c>
      <c r="EP12" s="40">
        <v>45978</v>
      </c>
      <c r="EQ12" s="40">
        <v>46120</v>
      </c>
      <c r="ER12" s="40" t="s">
        <v>70</v>
      </c>
      <c r="ES12" s="40"/>
      <c r="ET12" s="40">
        <v>45930</v>
      </c>
      <c r="EU12" s="40">
        <v>46148</v>
      </c>
      <c r="EV12" s="40" t="s">
        <v>105</v>
      </c>
      <c r="EW12" s="40"/>
      <c r="EX12" s="40">
        <v>45992</v>
      </c>
      <c r="EY12" s="40">
        <v>46120</v>
      </c>
      <c r="EZ12" s="40" t="s">
        <v>71</v>
      </c>
      <c r="FA12" s="40"/>
      <c r="FB12" s="40">
        <v>45688</v>
      </c>
      <c r="FC12" s="40">
        <v>46139</v>
      </c>
      <c r="FD12" s="40"/>
      <c r="FE12" s="40">
        <v>46038</v>
      </c>
      <c r="FF12" s="40">
        <v>46055</v>
      </c>
      <c r="FG12" s="40"/>
      <c r="FH12" s="40">
        <v>46055</v>
      </c>
      <c r="FI12" s="40">
        <v>46129</v>
      </c>
      <c r="FJ12" s="40"/>
      <c r="FK12" s="40"/>
      <c r="FL12" s="40"/>
      <c r="FM12" s="40" t="s">
        <v>80</v>
      </c>
      <c r="FN12" s="40"/>
      <c r="FO12" s="40"/>
      <c r="FP12" s="40" t="s">
        <v>80</v>
      </c>
      <c r="FQ12" s="40"/>
      <c r="FR12" s="40"/>
      <c r="FS12" s="40" t="s">
        <v>80</v>
      </c>
      <c r="FT12" s="40"/>
      <c r="FU12" s="40"/>
      <c r="FV12" s="40" t="s">
        <v>80</v>
      </c>
      <c r="FW12" s="40"/>
      <c r="FX12" s="40"/>
      <c r="FY12" s="40"/>
      <c r="FZ12" s="40">
        <v>46132</v>
      </c>
      <c r="GA12" s="40">
        <v>46139</v>
      </c>
      <c r="GB12" s="40" t="s">
        <v>110</v>
      </c>
      <c r="GC12" s="40">
        <v>46023</v>
      </c>
      <c r="GD12" s="40">
        <v>46139</v>
      </c>
      <c r="GE12" s="40"/>
      <c r="GF12" s="40">
        <v>46130</v>
      </c>
      <c r="GG12" s="40">
        <v>46139</v>
      </c>
      <c r="GH12" s="40"/>
      <c r="GI12" s="40"/>
      <c r="GJ12" s="40"/>
      <c r="GK12" s="40" t="s">
        <v>80</v>
      </c>
      <c r="GL12" s="40"/>
      <c r="GM12" s="40"/>
      <c r="GN12" s="40" t="s">
        <v>80</v>
      </c>
      <c r="GO12" s="40"/>
      <c r="GP12" s="40"/>
      <c r="GQ12" s="40" t="s">
        <v>80</v>
      </c>
      <c r="GR12" s="40"/>
      <c r="GS12" s="40"/>
      <c r="GT12" s="3" t="s">
        <v>80</v>
      </c>
    </row>
    <row r="13" spans="2:202" x14ac:dyDescent="0.35">
      <c r="B13" s="41">
        <f t="shared" si="4"/>
        <v>46150</v>
      </c>
      <c r="C13" s="24">
        <v>2511149</v>
      </c>
      <c r="D13" s="25">
        <v>5.52</v>
      </c>
      <c r="E13" s="25">
        <v>0.3</v>
      </c>
      <c r="F13" s="25">
        <v>1.87</v>
      </c>
      <c r="G13" s="25">
        <v>51.72</v>
      </c>
      <c r="H13" s="25">
        <v>2.85</v>
      </c>
      <c r="I13" s="25">
        <v>2.6</v>
      </c>
      <c r="J13" s="25">
        <f t="shared" si="0"/>
        <v>8.3000000000000007</v>
      </c>
      <c r="K13" s="24">
        <v>2583754</v>
      </c>
      <c r="L13" s="25">
        <v>4.74</v>
      </c>
      <c r="M13" s="25">
        <v>0.24573296064563424</v>
      </c>
      <c r="N13" s="25">
        <v>1.4165194906326222</v>
      </c>
      <c r="O13" s="25">
        <v>52.845729663118085</v>
      </c>
      <c r="P13" s="25">
        <v>2.0308134984986963</v>
      </c>
      <c r="Q13" s="25">
        <v>2.3830349561142428</v>
      </c>
      <c r="R13" s="25">
        <f t="shared" si="1"/>
        <v>6.4446619531116358</v>
      </c>
      <c r="S13" s="24">
        <v>2632188</v>
      </c>
      <c r="T13" s="25">
        <v>5.64</v>
      </c>
      <c r="U13" s="25">
        <v>0.28000000000000003</v>
      </c>
      <c r="V13" s="25">
        <v>1.82</v>
      </c>
      <c r="W13" s="25">
        <v>51.95</v>
      </c>
      <c r="X13" s="25">
        <v>2.86</v>
      </c>
      <c r="Y13" s="25">
        <v>2.38</v>
      </c>
      <c r="Z13" s="25">
        <f t="shared" si="2"/>
        <v>8.1</v>
      </c>
      <c r="AA13" s="24">
        <v>476862</v>
      </c>
      <c r="AB13" s="25">
        <v>88.74</v>
      </c>
      <c r="AC13" s="25">
        <v>0.25</v>
      </c>
      <c r="AD13" s="24">
        <v>545649</v>
      </c>
      <c r="AE13" s="33">
        <v>0.20599999999999999</v>
      </c>
      <c r="AF13" s="25">
        <v>7.0000000000000007E-2</v>
      </c>
      <c r="AG13" s="34">
        <v>2.2000000000000002</v>
      </c>
      <c r="AH13" s="35">
        <v>22</v>
      </c>
      <c r="AI13" s="25">
        <v>36.6</v>
      </c>
      <c r="AJ13" s="25"/>
      <c r="AK13" s="34">
        <v>50.2</v>
      </c>
      <c r="AL13" s="24">
        <v>554452</v>
      </c>
      <c r="AM13" s="33">
        <v>7.3999999999999996E-2</v>
      </c>
      <c r="AN13" s="25">
        <v>0.04</v>
      </c>
      <c r="AO13" s="34">
        <v>2</v>
      </c>
      <c r="AP13" s="35">
        <v>20</v>
      </c>
      <c r="AQ13" s="25">
        <v>38.520000000000003</v>
      </c>
      <c r="AR13" s="25"/>
      <c r="AS13" s="25">
        <v>53.4</v>
      </c>
      <c r="AT13" s="24"/>
      <c r="AU13" s="25"/>
      <c r="AV13" s="25"/>
      <c r="AW13" s="34"/>
      <c r="AX13" s="35"/>
      <c r="AY13" s="25"/>
      <c r="AZ13" s="25"/>
      <c r="BA13" s="34"/>
      <c r="BB13" s="24"/>
      <c r="BC13" s="48"/>
      <c r="BD13" s="49"/>
      <c r="BE13" s="49"/>
      <c r="BF13" s="49"/>
      <c r="BG13" s="49"/>
      <c r="BH13" s="49"/>
      <c r="BI13" s="49"/>
      <c r="BJ13" s="24"/>
      <c r="BK13" s="33"/>
      <c r="BL13" s="25"/>
      <c r="BM13" s="25"/>
      <c r="BN13" s="25"/>
      <c r="BO13" s="25"/>
      <c r="BP13" s="25"/>
      <c r="BQ13" s="25"/>
      <c r="BR13" s="42"/>
      <c r="BS13" s="33"/>
      <c r="BT13" s="25"/>
      <c r="BU13" s="34"/>
      <c r="BV13" s="35"/>
      <c r="BW13" s="25"/>
      <c r="BX13" s="25"/>
      <c r="BY13" s="25"/>
      <c r="BZ13" s="42">
        <v>69832</v>
      </c>
      <c r="CA13" s="48">
        <v>6.7500000000000004E-2</v>
      </c>
      <c r="CB13" s="49">
        <v>5.5000000000000007E-2</v>
      </c>
      <c r="CC13" s="50">
        <v>2.1</v>
      </c>
      <c r="CD13" s="51">
        <v>21</v>
      </c>
      <c r="CE13" s="49">
        <v>57.5</v>
      </c>
      <c r="CF13" s="49">
        <v>0.33</v>
      </c>
      <c r="CG13" s="49">
        <v>8.1999999999999993</v>
      </c>
      <c r="CH13" s="42">
        <v>150851</v>
      </c>
      <c r="CI13" s="33">
        <v>0.09</v>
      </c>
      <c r="CJ13" s="25">
        <v>0.05</v>
      </c>
      <c r="CK13" s="34">
        <v>2.1</v>
      </c>
      <c r="CL13" s="35">
        <v>21</v>
      </c>
      <c r="CM13" s="25">
        <v>58.01</v>
      </c>
      <c r="CN13" s="25">
        <v>0.56999999999999995</v>
      </c>
      <c r="CO13" s="34">
        <v>8.1999999999999993</v>
      </c>
      <c r="CP13" s="24">
        <v>415803</v>
      </c>
      <c r="CQ13" s="33">
        <v>7.0999999999999994E-2</v>
      </c>
      <c r="CR13" s="25">
        <v>0.04</v>
      </c>
      <c r="CS13" s="34">
        <v>2.1</v>
      </c>
      <c r="CT13" s="35">
        <v>21</v>
      </c>
      <c r="CU13" s="25">
        <v>52.65</v>
      </c>
      <c r="CV13" s="25">
        <v>0.69</v>
      </c>
      <c r="CW13" s="24">
        <v>460691</v>
      </c>
      <c r="CX13" s="33">
        <v>0.08</v>
      </c>
      <c r="CY13" s="25">
        <v>0.03</v>
      </c>
      <c r="CZ13" s="34">
        <v>2</v>
      </c>
      <c r="DA13" s="35">
        <v>20</v>
      </c>
      <c r="DB13" s="25">
        <v>34.49</v>
      </c>
      <c r="DC13" s="34">
        <v>54.2</v>
      </c>
      <c r="DD13" s="42"/>
      <c r="DE13" s="49"/>
      <c r="DF13" s="49"/>
      <c r="DG13" s="49"/>
      <c r="DH13" s="49"/>
      <c r="DI13" s="49"/>
      <c r="DJ13" s="49"/>
      <c r="DK13" s="49"/>
      <c r="DL13" s="56"/>
      <c r="DM13" s="24"/>
      <c r="DN13" s="33"/>
      <c r="DO13" s="25"/>
      <c r="DP13" s="25"/>
      <c r="DQ13" s="25"/>
      <c r="DR13" s="25"/>
      <c r="DS13" s="25"/>
      <c r="DT13" s="25"/>
      <c r="DU13" s="57"/>
      <c r="DV13" s="49"/>
      <c r="DW13" s="49"/>
      <c r="DX13" s="49"/>
      <c r="DY13" s="49"/>
      <c r="DZ13" s="49"/>
      <c r="EA13" s="49"/>
      <c r="EB13" s="49"/>
      <c r="EC13" s="49"/>
      <c r="ED13" s="56"/>
      <c r="EE13" s="42"/>
      <c r="EF13" s="49"/>
      <c r="EG13" s="49"/>
      <c r="EH13" s="49"/>
      <c r="EI13" s="49"/>
      <c r="EJ13" s="49"/>
      <c r="EK13" s="49"/>
      <c r="EL13" s="49"/>
      <c r="EM13" s="58"/>
      <c r="EN13" s="39"/>
      <c r="EO13" s="40">
        <f t="shared" si="3"/>
        <v>46150</v>
      </c>
      <c r="EP13" s="40">
        <v>45978</v>
      </c>
      <c r="EQ13" s="40">
        <v>46120</v>
      </c>
      <c r="ER13" s="40" t="s">
        <v>70</v>
      </c>
      <c r="ES13" s="40"/>
      <c r="ET13" s="40">
        <v>45930</v>
      </c>
      <c r="EU13" s="40">
        <v>46148</v>
      </c>
      <c r="EV13" s="40" t="s">
        <v>105</v>
      </c>
      <c r="EW13" s="40"/>
      <c r="EX13" s="40">
        <v>45992</v>
      </c>
      <c r="EY13" s="40">
        <v>46120</v>
      </c>
      <c r="EZ13" s="40" t="s">
        <v>71</v>
      </c>
      <c r="FA13" s="40"/>
      <c r="FB13" s="40">
        <v>45688</v>
      </c>
      <c r="FC13" s="40">
        <v>46139</v>
      </c>
      <c r="FD13" s="40"/>
      <c r="FE13" s="40">
        <v>46038</v>
      </c>
      <c r="FF13" s="40">
        <v>46055</v>
      </c>
      <c r="FG13" s="40"/>
      <c r="FH13" s="40">
        <v>46055</v>
      </c>
      <c r="FI13" s="40">
        <v>46129</v>
      </c>
      <c r="FJ13" s="40"/>
      <c r="FK13" s="40"/>
      <c r="FL13" s="40"/>
      <c r="FM13" s="40" t="s">
        <v>80</v>
      </c>
      <c r="FN13" s="40"/>
      <c r="FO13" s="40"/>
      <c r="FP13" s="40" t="s">
        <v>80</v>
      </c>
      <c r="FQ13" s="40"/>
      <c r="FR13" s="40"/>
      <c r="FS13" s="40" t="s">
        <v>80</v>
      </c>
      <c r="FT13" s="40"/>
      <c r="FU13" s="40"/>
      <c r="FV13" s="40" t="s">
        <v>80</v>
      </c>
      <c r="FW13" s="40">
        <v>46149</v>
      </c>
      <c r="FX13" s="40">
        <v>46149</v>
      </c>
      <c r="FY13" s="40"/>
      <c r="FZ13" s="40">
        <v>46132</v>
      </c>
      <c r="GA13" s="40">
        <v>46139</v>
      </c>
      <c r="GB13" s="40" t="s">
        <v>101</v>
      </c>
      <c r="GC13" s="40">
        <v>46023</v>
      </c>
      <c r="GD13" s="40">
        <v>46139</v>
      </c>
      <c r="GE13" s="40" t="s">
        <v>72</v>
      </c>
      <c r="GF13" s="40">
        <v>46130</v>
      </c>
      <c r="GG13" s="40">
        <v>46139</v>
      </c>
      <c r="GH13" s="40"/>
      <c r="GI13" s="40"/>
      <c r="GJ13" s="40"/>
      <c r="GK13" s="40" t="s">
        <v>80</v>
      </c>
      <c r="GL13" s="40"/>
      <c r="GM13" s="40"/>
      <c r="GN13" s="40" t="s">
        <v>80</v>
      </c>
      <c r="GO13" s="40"/>
      <c r="GP13" s="40"/>
      <c r="GQ13" s="40" t="s">
        <v>80</v>
      </c>
      <c r="GR13" s="40"/>
      <c r="GS13" s="40"/>
      <c r="GT13" s="3" t="s">
        <v>80</v>
      </c>
    </row>
    <row r="14" spans="2:202" x14ac:dyDescent="0.35">
      <c r="B14" s="41">
        <f t="shared" si="4"/>
        <v>46151</v>
      </c>
      <c r="C14" s="24">
        <v>2362273</v>
      </c>
      <c r="D14" s="25">
        <v>5.58</v>
      </c>
      <c r="E14" s="25">
        <v>0.3</v>
      </c>
      <c r="F14" s="25">
        <v>1.87</v>
      </c>
      <c r="G14" s="25">
        <v>51.72</v>
      </c>
      <c r="H14" s="25">
        <v>2.85</v>
      </c>
      <c r="I14" s="25">
        <v>2.6</v>
      </c>
      <c r="J14" s="25">
        <f t="shared" si="0"/>
        <v>8.3000000000000007</v>
      </c>
      <c r="K14" s="42">
        <v>2593880</v>
      </c>
      <c r="L14" s="25">
        <v>4.76</v>
      </c>
      <c r="M14" s="25">
        <v>0.24573296064563424</v>
      </c>
      <c r="N14" s="25">
        <v>1.4165194906326222</v>
      </c>
      <c r="O14" s="25">
        <v>52.845729663118085</v>
      </c>
      <c r="P14" s="25">
        <v>2.0308134984986963</v>
      </c>
      <c r="Q14" s="25">
        <v>2.3830349561142428</v>
      </c>
      <c r="R14" s="25">
        <f t="shared" si="1"/>
        <v>6.4446619531116358</v>
      </c>
      <c r="S14" s="24">
        <v>2632188</v>
      </c>
      <c r="T14" s="25">
        <v>5.66</v>
      </c>
      <c r="U14" s="25">
        <v>0.28000000000000003</v>
      </c>
      <c r="V14" s="25">
        <v>1.82</v>
      </c>
      <c r="W14" s="25">
        <v>51.95</v>
      </c>
      <c r="X14" s="25">
        <v>2.86</v>
      </c>
      <c r="Y14" s="25">
        <v>2.38</v>
      </c>
      <c r="Z14" s="25">
        <f t="shared" si="2"/>
        <v>8.1</v>
      </c>
      <c r="AA14" s="24">
        <v>476862</v>
      </c>
      <c r="AB14" s="25">
        <v>88.74</v>
      </c>
      <c r="AC14" s="25">
        <v>0.25</v>
      </c>
      <c r="AD14" s="24">
        <v>545649</v>
      </c>
      <c r="AE14" s="33">
        <v>0.20799999999999999</v>
      </c>
      <c r="AF14" s="25">
        <v>7.0000000000000007E-2</v>
      </c>
      <c r="AG14" s="34">
        <v>2.2000000000000002</v>
      </c>
      <c r="AH14" s="35">
        <v>22</v>
      </c>
      <c r="AI14" s="25">
        <v>36.6</v>
      </c>
      <c r="AJ14" s="25"/>
      <c r="AK14" s="34">
        <v>50.2</v>
      </c>
      <c r="AL14" s="24">
        <v>554452</v>
      </c>
      <c r="AM14" s="33">
        <v>7.5999999999999998E-2</v>
      </c>
      <c r="AN14" s="25">
        <v>0.04</v>
      </c>
      <c r="AO14" s="34">
        <v>2</v>
      </c>
      <c r="AP14" s="35">
        <v>20</v>
      </c>
      <c r="AQ14" s="25">
        <v>38.520000000000003</v>
      </c>
      <c r="AR14" s="25"/>
      <c r="AS14" s="25">
        <v>53.4</v>
      </c>
      <c r="AT14" s="24">
        <v>10321</v>
      </c>
      <c r="AU14" s="25">
        <v>63.22</v>
      </c>
      <c r="AV14" s="25">
        <v>0.19</v>
      </c>
      <c r="AW14" s="34"/>
      <c r="AX14" s="35"/>
      <c r="AY14" s="25"/>
      <c r="AZ14" s="25"/>
      <c r="BA14" s="34"/>
      <c r="BB14" s="24"/>
      <c r="BC14" s="48"/>
      <c r="BD14" s="49"/>
      <c r="BE14" s="49"/>
      <c r="BF14" s="49"/>
      <c r="BG14" s="49"/>
      <c r="BH14" s="49"/>
      <c r="BI14" s="49"/>
      <c r="BJ14" s="24"/>
      <c r="BK14" s="33"/>
      <c r="BL14" s="25"/>
      <c r="BM14" s="25"/>
      <c r="BN14" s="25"/>
      <c r="BO14" s="25"/>
      <c r="BP14" s="25"/>
      <c r="BQ14" s="25"/>
      <c r="BR14" s="42"/>
      <c r="BS14" s="33"/>
      <c r="BT14" s="25"/>
      <c r="BU14" s="34"/>
      <c r="BV14" s="35"/>
      <c r="BW14" s="25"/>
      <c r="BX14" s="25"/>
      <c r="BY14" s="25"/>
      <c r="BZ14" s="42">
        <v>196932</v>
      </c>
      <c r="CA14" s="48">
        <v>6.6000000000000003E-2</v>
      </c>
      <c r="CB14" s="49">
        <v>0.04</v>
      </c>
      <c r="CC14" s="50">
        <v>2.1</v>
      </c>
      <c r="CD14" s="51">
        <v>21</v>
      </c>
      <c r="CE14" s="49">
        <v>57.38</v>
      </c>
      <c r="CF14" s="49">
        <v>0.3</v>
      </c>
      <c r="CG14" s="49">
        <v>9</v>
      </c>
      <c r="CH14" s="42">
        <v>3151</v>
      </c>
      <c r="CI14" s="48"/>
      <c r="CJ14" s="49"/>
      <c r="CK14" s="50"/>
      <c r="CL14" s="51"/>
      <c r="CM14" s="49"/>
      <c r="CN14" s="49"/>
      <c r="CO14" s="50"/>
      <c r="CP14" s="42">
        <v>372019</v>
      </c>
      <c r="CQ14" s="48">
        <v>5.6000000000000001E-2</v>
      </c>
      <c r="CR14" s="49">
        <v>0.04</v>
      </c>
      <c r="CS14" s="34">
        <v>2.1</v>
      </c>
      <c r="CT14" s="35">
        <v>21</v>
      </c>
      <c r="CU14" s="49">
        <v>52.25</v>
      </c>
      <c r="CV14" s="49">
        <v>0.3</v>
      </c>
      <c r="CW14" s="24">
        <v>517655</v>
      </c>
      <c r="CX14" s="33">
        <v>7.6999999999999999E-2</v>
      </c>
      <c r="CY14" s="25">
        <v>0.03</v>
      </c>
      <c r="CZ14" s="34">
        <v>2</v>
      </c>
      <c r="DA14" s="35">
        <v>20</v>
      </c>
      <c r="DB14" s="25">
        <v>34.58</v>
      </c>
      <c r="DC14" s="34">
        <v>54.2</v>
      </c>
      <c r="DD14" s="42"/>
      <c r="DE14" s="49"/>
      <c r="DF14" s="49"/>
      <c r="DG14" s="49"/>
      <c r="DH14" s="49"/>
      <c r="DI14" s="49"/>
      <c r="DJ14" s="49"/>
      <c r="DK14" s="49"/>
      <c r="DL14" s="56"/>
      <c r="DM14" s="24"/>
      <c r="DN14" s="33"/>
      <c r="DO14" s="25"/>
      <c r="DP14" s="25"/>
      <c r="DQ14" s="25"/>
      <c r="DR14" s="25"/>
      <c r="DS14" s="25"/>
      <c r="DT14" s="25"/>
      <c r="DU14" s="57"/>
      <c r="DV14" s="49"/>
      <c r="DW14" s="49"/>
      <c r="DX14" s="49"/>
      <c r="DY14" s="49"/>
      <c r="DZ14" s="49"/>
      <c r="EA14" s="49"/>
      <c r="EB14" s="49"/>
      <c r="EC14" s="49"/>
      <c r="ED14" s="56"/>
      <c r="EE14" s="42"/>
      <c r="EF14" s="49"/>
      <c r="EG14" s="49"/>
      <c r="EH14" s="49"/>
      <c r="EI14" s="49"/>
      <c r="EJ14" s="49"/>
      <c r="EK14" s="49"/>
      <c r="EL14" s="49"/>
      <c r="EM14" s="58"/>
      <c r="EN14" s="39"/>
      <c r="EO14" s="40">
        <f t="shared" si="3"/>
        <v>46151</v>
      </c>
      <c r="EP14" s="40">
        <v>45978</v>
      </c>
      <c r="EQ14" s="40">
        <v>46150</v>
      </c>
      <c r="ER14" s="40" t="s">
        <v>70</v>
      </c>
      <c r="ES14" s="40" t="s">
        <v>77</v>
      </c>
      <c r="ET14" s="40">
        <v>45930</v>
      </c>
      <c r="EU14" s="40">
        <v>46150</v>
      </c>
      <c r="EV14" s="40" t="s">
        <v>105</v>
      </c>
      <c r="EW14" s="40"/>
      <c r="EX14" s="40">
        <v>45992</v>
      </c>
      <c r="EY14" s="40">
        <v>46120</v>
      </c>
      <c r="EZ14" s="40" t="s">
        <v>71</v>
      </c>
      <c r="FA14" s="40"/>
      <c r="FB14" s="40">
        <v>45688</v>
      </c>
      <c r="FC14" s="40">
        <v>46139</v>
      </c>
      <c r="FD14" s="40"/>
      <c r="FE14" s="40">
        <v>46038</v>
      </c>
      <c r="FF14" s="40">
        <v>46055</v>
      </c>
      <c r="FG14" s="40"/>
      <c r="FH14" s="40">
        <v>46055</v>
      </c>
      <c r="FI14" s="40">
        <v>46129</v>
      </c>
      <c r="FJ14" s="40"/>
      <c r="FK14" s="40">
        <v>46150</v>
      </c>
      <c r="FL14" s="40">
        <v>46150</v>
      </c>
      <c r="FM14" s="40" t="s">
        <v>78</v>
      </c>
      <c r="FN14" s="40"/>
      <c r="FO14" s="40"/>
      <c r="FP14" s="40" t="s">
        <v>80</v>
      </c>
      <c r="FQ14" s="40"/>
      <c r="FR14" s="40"/>
      <c r="FS14" s="40" t="s">
        <v>80</v>
      </c>
      <c r="FT14" s="40"/>
      <c r="FU14" s="40"/>
      <c r="FV14" s="40" t="s">
        <v>80</v>
      </c>
      <c r="FW14" s="40">
        <v>46149</v>
      </c>
      <c r="FX14" s="40">
        <v>46150</v>
      </c>
      <c r="FY14" s="40"/>
      <c r="FZ14" s="40"/>
      <c r="GA14" s="40"/>
      <c r="GB14" s="40" t="s">
        <v>111</v>
      </c>
      <c r="GC14" s="40">
        <v>46023</v>
      </c>
      <c r="GD14" s="40">
        <v>46150</v>
      </c>
      <c r="GE14" s="40" t="s">
        <v>72</v>
      </c>
      <c r="GF14" s="40">
        <v>46130</v>
      </c>
      <c r="GG14" s="40">
        <v>46150</v>
      </c>
      <c r="GH14" s="40"/>
      <c r="GI14" s="40"/>
      <c r="GJ14" s="40"/>
      <c r="GK14" s="40" t="s">
        <v>80</v>
      </c>
      <c r="GL14" s="40"/>
      <c r="GM14" s="40"/>
      <c r="GN14" s="40" t="s">
        <v>80</v>
      </c>
      <c r="GO14" s="40"/>
      <c r="GP14" s="40"/>
      <c r="GQ14" s="40" t="s">
        <v>80</v>
      </c>
      <c r="GR14" s="40"/>
      <c r="GS14" s="40"/>
      <c r="GT14" s="3" t="s">
        <v>80</v>
      </c>
    </row>
    <row r="15" spans="2:202" x14ac:dyDescent="0.35">
      <c r="B15" s="41">
        <f t="shared" si="4"/>
        <v>46152</v>
      </c>
      <c r="C15" s="24">
        <v>2079733</v>
      </c>
      <c r="D15" s="49">
        <v>5.5</v>
      </c>
      <c r="E15" s="49">
        <v>0.28000000000000003</v>
      </c>
      <c r="F15" s="49">
        <v>1.9</v>
      </c>
      <c r="G15" s="25">
        <v>51.75</v>
      </c>
      <c r="H15" s="25">
        <v>2.8</v>
      </c>
      <c r="I15" s="25">
        <v>2.63</v>
      </c>
      <c r="J15" s="25">
        <f t="shared" si="0"/>
        <v>8.23</v>
      </c>
      <c r="K15" s="42">
        <v>2593880</v>
      </c>
      <c r="L15" s="25">
        <v>4.7699999999999996</v>
      </c>
      <c r="M15" s="25">
        <v>0.24573296064563424</v>
      </c>
      <c r="N15" s="25">
        <v>1.4165194906326222</v>
      </c>
      <c r="O15" s="25">
        <v>52.845729663118085</v>
      </c>
      <c r="P15" s="25">
        <v>2.0308134984986963</v>
      </c>
      <c r="Q15" s="25">
        <v>2.3830349561142428</v>
      </c>
      <c r="R15" s="25">
        <f t="shared" si="1"/>
        <v>6.4446619531116358</v>
      </c>
      <c r="S15" s="24">
        <v>2632188</v>
      </c>
      <c r="T15" s="25">
        <v>5.67</v>
      </c>
      <c r="U15" s="25">
        <v>0.28000000000000003</v>
      </c>
      <c r="V15" s="25">
        <v>1.82</v>
      </c>
      <c r="W15" s="25">
        <v>51.95</v>
      </c>
      <c r="X15" s="25">
        <v>2.86</v>
      </c>
      <c r="Y15" s="25">
        <v>2.38</v>
      </c>
      <c r="Z15" s="25">
        <f t="shared" si="2"/>
        <v>8.1</v>
      </c>
      <c r="AA15" s="24">
        <v>476862</v>
      </c>
      <c r="AB15" s="25">
        <v>88.74</v>
      </c>
      <c r="AC15" s="25">
        <v>0.25</v>
      </c>
      <c r="AD15" s="24">
        <v>545649</v>
      </c>
      <c r="AE15" s="33">
        <v>0.20899999999999999</v>
      </c>
      <c r="AF15" s="25">
        <v>7.0000000000000007E-2</v>
      </c>
      <c r="AG15" s="34">
        <v>2.2000000000000002</v>
      </c>
      <c r="AH15" s="35">
        <v>22</v>
      </c>
      <c r="AI15" s="25">
        <v>36.6</v>
      </c>
      <c r="AJ15" s="25"/>
      <c r="AK15" s="34">
        <v>50.2</v>
      </c>
      <c r="AL15" s="24">
        <v>554452</v>
      </c>
      <c r="AM15" s="33">
        <v>7.6999999999999999E-2</v>
      </c>
      <c r="AN15" s="25">
        <v>0.04</v>
      </c>
      <c r="AO15" s="34">
        <v>2</v>
      </c>
      <c r="AP15" s="35">
        <v>20</v>
      </c>
      <c r="AQ15" s="25">
        <v>38.520000000000003</v>
      </c>
      <c r="AR15" s="25"/>
      <c r="AS15" s="25">
        <v>53.4</v>
      </c>
      <c r="AT15" s="24">
        <v>28977</v>
      </c>
      <c r="AU15" s="25">
        <v>79.540000000000006</v>
      </c>
      <c r="AV15" s="25">
        <v>0.22</v>
      </c>
      <c r="AW15" s="34"/>
      <c r="AX15" s="35"/>
      <c r="AY15" s="25"/>
      <c r="AZ15" s="25"/>
      <c r="BA15" s="34"/>
      <c r="BB15" s="24"/>
      <c r="BC15" s="48"/>
      <c r="BD15" s="49"/>
      <c r="BE15" s="49"/>
      <c r="BF15" s="49"/>
      <c r="BG15" s="49"/>
      <c r="BH15" s="49"/>
      <c r="BI15" s="49"/>
      <c r="BJ15" s="24"/>
      <c r="BK15" s="33"/>
      <c r="BL15" s="25"/>
      <c r="BM15" s="25"/>
      <c r="BN15" s="25"/>
      <c r="BO15" s="25"/>
      <c r="BP15" s="25"/>
      <c r="BQ15" s="25"/>
      <c r="BR15" s="42"/>
      <c r="BS15" s="33"/>
      <c r="BT15" s="25"/>
      <c r="BU15" s="34"/>
      <c r="BV15" s="35"/>
      <c r="BW15" s="25"/>
      <c r="BX15" s="25"/>
      <c r="BY15" s="25"/>
      <c r="BZ15" s="42">
        <v>347916</v>
      </c>
      <c r="CA15" s="48">
        <v>6.2E-2</v>
      </c>
      <c r="CB15" s="49">
        <v>0.04</v>
      </c>
      <c r="CC15" s="50">
        <v>2.1</v>
      </c>
      <c r="CD15" s="51">
        <v>21</v>
      </c>
      <c r="CE15" s="49">
        <v>57.42</v>
      </c>
      <c r="CF15" s="49">
        <v>0.3</v>
      </c>
      <c r="CG15" s="49">
        <v>8.9</v>
      </c>
      <c r="CH15" s="42"/>
      <c r="CI15" s="48"/>
      <c r="CJ15" s="49"/>
      <c r="CK15" s="50"/>
      <c r="CL15" s="51"/>
      <c r="CM15" s="49"/>
      <c r="CN15" s="49"/>
      <c r="CO15" s="50"/>
      <c r="CP15" s="42">
        <v>382246</v>
      </c>
      <c r="CQ15" s="48">
        <v>5.2999999999999999E-2</v>
      </c>
      <c r="CR15" s="49">
        <v>0.04</v>
      </c>
      <c r="CS15" s="34">
        <v>2</v>
      </c>
      <c r="CT15" s="35">
        <v>20</v>
      </c>
      <c r="CU15" s="49">
        <v>52.12</v>
      </c>
      <c r="CV15" s="49">
        <v>0.3</v>
      </c>
      <c r="CW15" s="24">
        <v>589178</v>
      </c>
      <c r="CX15" s="33">
        <v>7.2999999999999995E-2</v>
      </c>
      <c r="CY15" s="25">
        <v>0.03</v>
      </c>
      <c r="CZ15" s="34">
        <v>2</v>
      </c>
      <c r="DA15" s="35">
        <v>20</v>
      </c>
      <c r="DB15" s="25">
        <v>34.47</v>
      </c>
      <c r="DC15" s="34">
        <v>54.2</v>
      </c>
      <c r="DD15" s="42"/>
      <c r="DE15" s="49"/>
      <c r="DF15" s="49"/>
      <c r="DG15" s="49"/>
      <c r="DH15" s="49"/>
      <c r="DI15" s="49"/>
      <c r="DJ15" s="49"/>
      <c r="DK15" s="49"/>
      <c r="DL15" s="56"/>
      <c r="DM15" s="24"/>
      <c r="DN15" s="33"/>
      <c r="DO15" s="25"/>
      <c r="DP15" s="25"/>
      <c r="DQ15" s="25"/>
      <c r="DR15" s="25"/>
      <c r="DS15" s="25"/>
      <c r="DT15" s="25"/>
      <c r="DU15" s="57"/>
      <c r="DV15" s="49"/>
      <c r="DW15" s="49"/>
      <c r="DX15" s="49"/>
      <c r="DY15" s="49"/>
      <c r="DZ15" s="49"/>
      <c r="EA15" s="49"/>
      <c r="EB15" s="49"/>
      <c r="EC15" s="49"/>
      <c r="ED15" s="56"/>
      <c r="EE15" s="42"/>
      <c r="EF15" s="49"/>
      <c r="EG15" s="49"/>
      <c r="EH15" s="49"/>
      <c r="EI15" s="49"/>
      <c r="EJ15" s="49"/>
      <c r="EK15" s="49"/>
      <c r="EL15" s="49"/>
      <c r="EM15" s="58"/>
      <c r="EN15" s="39"/>
      <c r="EO15" s="40">
        <f t="shared" si="3"/>
        <v>46152</v>
      </c>
      <c r="EP15" s="40">
        <v>45978</v>
      </c>
      <c r="EQ15" s="40">
        <v>46151</v>
      </c>
      <c r="ER15" s="40" t="s">
        <v>70</v>
      </c>
      <c r="ES15" s="40" t="s">
        <v>77</v>
      </c>
      <c r="ET15" s="40">
        <v>45930</v>
      </c>
      <c r="EU15" s="40">
        <v>46150</v>
      </c>
      <c r="EV15" s="40" t="s">
        <v>105</v>
      </c>
      <c r="EW15" s="40"/>
      <c r="EX15" s="40">
        <v>45992</v>
      </c>
      <c r="EY15" s="40">
        <v>46120</v>
      </c>
      <c r="EZ15" s="40" t="s">
        <v>71</v>
      </c>
      <c r="FA15" s="40"/>
      <c r="FB15" s="40">
        <v>45688</v>
      </c>
      <c r="FC15" s="40">
        <v>46139</v>
      </c>
      <c r="FD15" s="40"/>
      <c r="FE15" s="40">
        <v>46038</v>
      </c>
      <c r="FF15" s="40">
        <v>46055</v>
      </c>
      <c r="FG15" s="40"/>
      <c r="FH15" s="40">
        <v>46055</v>
      </c>
      <c r="FI15" s="40">
        <v>46129</v>
      </c>
      <c r="FJ15" s="40"/>
      <c r="FK15" s="40">
        <v>46150</v>
      </c>
      <c r="FL15" s="40">
        <v>46151</v>
      </c>
      <c r="FM15" s="40"/>
      <c r="FN15" s="40"/>
      <c r="FO15" s="40"/>
      <c r="FP15" s="40" t="s">
        <v>80</v>
      </c>
      <c r="FQ15" s="40"/>
      <c r="FR15" s="40"/>
      <c r="FS15" s="40" t="s">
        <v>80</v>
      </c>
      <c r="FT15" s="40"/>
      <c r="FU15" s="40"/>
      <c r="FV15" s="40" t="s">
        <v>80</v>
      </c>
      <c r="FW15" s="40">
        <v>46149</v>
      </c>
      <c r="FX15" s="40">
        <v>46151</v>
      </c>
      <c r="FY15" s="40" t="s">
        <v>101</v>
      </c>
      <c r="FZ15" s="40"/>
      <c r="GA15" s="40"/>
      <c r="GB15" s="40" t="s">
        <v>80</v>
      </c>
      <c r="GC15" s="40">
        <v>46023</v>
      </c>
      <c r="GD15" s="40">
        <v>46151</v>
      </c>
      <c r="GE15" s="40" t="s">
        <v>72</v>
      </c>
      <c r="GF15" s="40">
        <v>46130</v>
      </c>
      <c r="GG15" s="40">
        <v>46151</v>
      </c>
      <c r="GH15" s="40"/>
      <c r="GI15" s="40"/>
      <c r="GJ15" s="40"/>
      <c r="GK15" s="40" t="s">
        <v>80</v>
      </c>
      <c r="GL15" s="40"/>
      <c r="GM15" s="40"/>
      <c r="GN15" s="40" t="s">
        <v>80</v>
      </c>
      <c r="GO15" s="40"/>
      <c r="GP15" s="40"/>
      <c r="GQ15" s="40" t="s">
        <v>80</v>
      </c>
      <c r="GR15" s="40"/>
      <c r="GS15" s="40"/>
      <c r="GT15" s="3" t="s">
        <v>80</v>
      </c>
    </row>
    <row r="16" spans="2:202" x14ac:dyDescent="0.35">
      <c r="B16" s="41">
        <f t="shared" si="4"/>
        <v>46153</v>
      </c>
      <c r="C16" s="24">
        <v>1758533</v>
      </c>
      <c r="D16" s="49">
        <v>5.55</v>
      </c>
      <c r="E16" s="49">
        <v>0.28000000000000003</v>
      </c>
      <c r="F16" s="49">
        <v>1.85</v>
      </c>
      <c r="G16" s="25">
        <v>51.7</v>
      </c>
      <c r="H16" s="25">
        <v>2.84</v>
      </c>
      <c r="I16" s="25">
        <v>2.65</v>
      </c>
      <c r="J16" s="25">
        <f t="shared" si="0"/>
        <v>8.33</v>
      </c>
      <c r="K16" s="42">
        <v>2593880</v>
      </c>
      <c r="L16" s="25">
        <v>4.79</v>
      </c>
      <c r="M16" s="25">
        <v>0.24573296064563424</v>
      </c>
      <c r="N16" s="25">
        <v>1.4165194906326222</v>
      </c>
      <c r="O16" s="25">
        <v>52.845729663118085</v>
      </c>
      <c r="P16" s="25">
        <v>2.0308134984986963</v>
      </c>
      <c r="Q16" s="25">
        <v>2.3830349561142428</v>
      </c>
      <c r="R16" s="25">
        <f t="shared" si="1"/>
        <v>6.4446619531116358</v>
      </c>
      <c r="S16" s="24">
        <v>2632188</v>
      </c>
      <c r="T16" s="25">
        <v>5.68</v>
      </c>
      <c r="U16" s="25">
        <v>0.28000000000000003</v>
      </c>
      <c r="V16" s="25">
        <v>1.82</v>
      </c>
      <c r="W16" s="25">
        <v>51.95</v>
      </c>
      <c r="X16" s="25">
        <v>2.86</v>
      </c>
      <c r="Y16" s="25">
        <v>2.38</v>
      </c>
      <c r="Z16" s="25">
        <f t="shared" si="2"/>
        <v>8.1</v>
      </c>
      <c r="AA16" s="24">
        <v>476862</v>
      </c>
      <c r="AB16" s="25">
        <v>88.74</v>
      </c>
      <c r="AC16" s="25">
        <v>0.25</v>
      </c>
      <c r="AD16" s="24">
        <v>545649</v>
      </c>
      <c r="AE16" s="33">
        <v>0.21099999999999999</v>
      </c>
      <c r="AF16" s="25">
        <v>7.0000000000000007E-2</v>
      </c>
      <c r="AG16" s="34">
        <v>2.2000000000000002</v>
      </c>
      <c r="AH16" s="35">
        <v>22</v>
      </c>
      <c r="AI16" s="25">
        <v>36.6</v>
      </c>
      <c r="AJ16" s="25"/>
      <c r="AK16" s="34">
        <v>50.2</v>
      </c>
      <c r="AL16" s="24">
        <v>554452</v>
      </c>
      <c r="AM16" s="33">
        <v>7.9000000000000001E-2</v>
      </c>
      <c r="AN16" s="25">
        <v>0.04</v>
      </c>
      <c r="AO16" s="34">
        <v>2</v>
      </c>
      <c r="AP16" s="35">
        <v>20</v>
      </c>
      <c r="AQ16" s="25">
        <v>38.520000000000003</v>
      </c>
      <c r="AR16" s="25"/>
      <c r="AS16" s="25">
        <v>53.4</v>
      </c>
      <c r="AT16" s="24">
        <v>48030</v>
      </c>
      <c r="AU16" s="25">
        <v>86.83</v>
      </c>
      <c r="AV16" s="25">
        <v>0.18</v>
      </c>
      <c r="AW16" s="34"/>
      <c r="AX16" s="35"/>
      <c r="AY16" s="25"/>
      <c r="AZ16" s="25"/>
      <c r="BA16" s="34"/>
      <c r="BB16" s="24"/>
      <c r="BC16" s="48"/>
      <c r="BD16" s="49"/>
      <c r="BE16" s="49"/>
      <c r="BF16" s="49"/>
      <c r="BG16" s="49"/>
      <c r="BH16" s="49"/>
      <c r="BI16" s="49"/>
      <c r="BJ16" s="24"/>
      <c r="BK16" s="33"/>
      <c r="BL16" s="25"/>
      <c r="BM16" s="25"/>
      <c r="BN16" s="25"/>
      <c r="BO16" s="25"/>
      <c r="BP16" s="25"/>
      <c r="BQ16" s="25"/>
      <c r="BR16" s="42"/>
      <c r="BS16" s="33"/>
      <c r="BT16" s="25"/>
      <c r="BU16" s="34"/>
      <c r="BV16" s="35"/>
      <c r="BW16" s="25"/>
      <c r="BX16" s="25"/>
      <c r="BY16" s="25"/>
      <c r="BZ16" s="42">
        <v>539230</v>
      </c>
      <c r="CA16" s="48">
        <v>6.3E-2</v>
      </c>
      <c r="CB16" s="49">
        <v>0.04</v>
      </c>
      <c r="CC16" s="50">
        <v>2.1</v>
      </c>
      <c r="CD16" s="51">
        <v>21</v>
      </c>
      <c r="CE16" s="49">
        <v>57.25</v>
      </c>
      <c r="CF16" s="49">
        <v>0.3</v>
      </c>
      <c r="CG16" s="49">
        <v>9</v>
      </c>
      <c r="CH16" s="42"/>
      <c r="CI16" s="48"/>
      <c r="CJ16" s="49"/>
      <c r="CK16" s="50"/>
      <c r="CL16" s="51"/>
      <c r="CM16" s="49"/>
      <c r="CN16" s="49"/>
      <c r="CO16" s="50"/>
      <c r="CP16" s="42">
        <v>403059</v>
      </c>
      <c r="CQ16" s="48">
        <v>5.3999999999999999E-2</v>
      </c>
      <c r="CR16" s="49">
        <v>0.05</v>
      </c>
      <c r="CS16" s="34">
        <v>2.1</v>
      </c>
      <c r="CT16" s="35">
        <v>21</v>
      </c>
      <c r="CU16" s="49">
        <v>51.8</v>
      </c>
      <c r="CV16" s="49">
        <v>0.3</v>
      </c>
      <c r="CW16" s="24">
        <v>675890</v>
      </c>
      <c r="CX16" s="33">
        <v>7.9000000000000001E-2</v>
      </c>
      <c r="CY16" s="25">
        <v>0.03</v>
      </c>
      <c r="CZ16" s="34">
        <v>1.9</v>
      </c>
      <c r="DA16" s="35">
        <v>19</v>
      </c>
      <c r="DB16" s="25">
        <v>35.72</v>
      </c>
      <c r="DC16" s="34">
        <v>54.4</v>
      </c>
      <c r="DD16" s="42"/>
      <c r="DE16" s="49"/>
      <c r="DF16" s="49"/>
      <c r="DG16" s="49"/>
      <c r="DH16" s="49"/>
      <c r="DI16" s="49"/>
      <c r="DJ16" s="49"/>
      <c r="DK16" s="49"/>
      <c r="DL16" s="56"/>
      <c r="DM16" s="24"/>
      <c r="DN16" s="33"/>
      <c r="DO16" s="25"/>
      <c r="DP16" s="25"/>
      <c r="DQ16" s="25"/>
      <c r="DR16" s="25"/>
      <c r="DS16" s="25"/>
      <c r="DT16" s="25"/>
      <c r="DU16" s="57"/>
      <c r="DV16" s="49"/>
      <c r="DW16" s="49"/>
      <c r="DX16" s="49"/>
      <c r="DY16" s="49"/>
      <c r="DZ16" s="49"/>
      <c r="EA16" s="49"/>
      <c r="EB16" s="49"/>
      <c r="EC16" s="49"/>
      <c r="ED16" s="56"/>
      <c r="EE16" s="42"/>
      <c r="EF16" s="49"/>
      <c r="EG16" s="49"/>
      <c r="EH16" s="49"/>
      <c r="EI16" s="49"/>
      <c r="EJ16" s="49"/>
      <c r="EK16" s="49"/>
      <c r="EL16" s="49"/>
      <c r="EM16" s="58"/>
      <c r="EN16" s="39"/>
      <c r="EO16" s="40">
        <f t="shared" si="3"/>
        <v>46153</v>
      </c>
      <c r="EP16" s="40">
        <v>45978</v>
      </c>
      <c r="EQ16" s="40">
        <v>46151</v>
      </c>
      <c r="ER16" s="40" t="s">
        <v>70</v>
      </c>
      <c r="ES16" s="40" t="s">
        <v>77</v>
      </c>
      <c r="ET16" s="40">
        <v>45930</v>
      </c>
      <c r="EU16" s="40">
        <v>46150</v>
      </c>
      <c r="EV16" s="40" t="s">
        <v>105</v>
      </c>
      <c r="EW16" s="40"/>
      <c r="EX16" s="40">
        <v>45992</v>
      </c>
      <c r="EY16" s="40">
        <v>46120</v>
      </c>
      <c r="EZ16" s="40" t="s">
        <v>71</v>
      </c>
      <c r="FA16" s="40"/>
      <c r="FB16" s="40">
        <v>45688</v>
      </c>
      <c r="FC16" s="40">
        <v>46139</v>
      </c>
      <c r="FD16" s="40"/>
      <c r="FE16" s="40">
        <v>46038</v>
      </c>
      <c r="FF16" s="40">
        <v>46055</v>
      </c>
      <c r="FG16" s="40"/>
      <c r="FH16" s="40">
        <v>46055</v>
      </c>
      <c r="FI16" s="40">
        <v>46129</v>
      </c>
      <c r="FJ16" s="40"/>
      <c r="FK16" s="40">
        <v>46150</v>
      </c>
      <c r="FL16" s="40">
        <v>46152</v>
      </c>
      <c r="FM16" s="40"/>
      <c r="FN16" s="40"/>
      <c r="FO16" s="40"/>
      <c r="FP16" s="40" t="s">
        <v>80</v>
      </c>
      <c r="FQ16" s="40"/>
      <c r="FR16" s="40"/>
      <c r="FS16" s="40" t="s">
        <v>80</v>
      </c>
      <c r="FT16" s="40"/>
      <c r="FU16" s="40"/>
      <c r="FV16" s="40" t="s">
        <v>80</v>
      </c>
      <c r="FW16" s="40">
        <v>46149</v>
      </c>
      <c r="FX16" s="40">
        <v>46152</v>
      </c>
      <c r="FY16" s="40"/>
      <c r="FZ16" s="40"/>
      <c r="GA16" s="40"/>
      <c r="GB16" s="40" t="s">
        <v>80</v>
      </c>
      <c r="GC16" s="40">
        <v>46023</v>
      </c>
      <c r="GD16" s="40">
        <v>46152</v>
      </c>
      <c r="GE16" s="40" t="s">
        <v>72</v>
      </c>
      <c r="GF16" s="40">
        <v>46130</v>
      </c>
      <c r="GG16" s="40">
        <v>46152</v>
      </c>
      <c r="GH16" s="40"/>
      <c r="GI16" s="40"/>
      <c r="GJ16" s="40"/>
      <c r="GK16" s="40" t="s">
        <v>80</v>
      </c>
      <c r="GL16" s="40"/>
      <c r="GM16" s="40"/>
      <c r="GN16" s="40" t="s">
        <v>80</v>
      </c>
      <c r="GO16" s="40"/>
      <c r="GP16" s="40"/>
      <c r="GQ16" s="40" t="s">
        <v>80</v>
      </c>
      <c r="GR16" s="40"/>
      <c r="GS16" s="40"/>
      <c r="GT16" s="3" t="s">
        <v>80</v>
      </c>
    </row>
    <row r="17" spans="2:202" x14ac:dyDescent="0.35">
      <c r="B17" s="41">
        <f t="shared" si="4"/>
        <v>46154</v>
      </c>
      <c r="C17" s="24">
        <v>1456333</v>
      </c>
      <c r="D17" s="49">
        <v>5.57</v>
      </c>
      <c r="E17" s="49">
        <v>0.28000000000000003</v>
      </c>
      <c r="F17" s="49">
        <v>1.85</v>
      </c>
      <c r="G17" s="25">
        <v>51.7</v>
      </c>
      <c r="H17" s="25">
        <v>2.84</v>
      </c>
      <c r="I17" s="25">
        <v>2.65</v>
      </c>
      <c r="J17" s="25">
        <f t="shared" si="0"/>
        <v>8.33</v>
      </c>
      <c r="K17" s="42">
        <v>2593880</v>
      </c>
      <c r="L17" s="25">
        <v>4.79</v>
      </c>
      <c r="M17" s="25">
        <v>0.24573296064563424</v>
      </c>
      <c r="N17" s="25">
        <v>1.4165194906326222</v>
      </c>
      <c r="O17" s="25">
        <v>52.845729663118085</v>
      </c>
      <c r="P17" s="25">
        <v>2.0308134984986963</v>
      </c>
      <c r="Q17" s="25">
        <v>2.3830349561142428</v>
      </c>
      <c r="R17" s="25">
        <f t="shared" si="1"/>
        <v>6.4446619531116358</v>
      </c>
      <c r="S17" s="24">
        <v>2632188</v>
      </c>
      <c r="T17" s="25">
        <v>5.7</v>
      </c>
      <c r="U17" s="25">
        <v>0.28000000000000003</v>
      </c>
      <c r="V17" s="25">
        <v>1.82</v>
      </c>
      <c r="W17" s="25">
        <v>51.95</v>
      </c>
      <c r="X17" s="25">
        <v>2.86</v>
      </c>
      <c r="Y17" s="25">
        <v>2.38</v>
      </c>
      <c r="Z17" s="25">
        <f t="shared" si="2"/>
        <v>8.1</v>
      </c>
      <c r="AA17" s="24">
        <v>476862</v>
      </c>
      <c r="AB17" s="25">
        <v>88.74</v>
      </c>
      <c r="AC17" s="25">
        <v>0.25</v>
      </c>
      <c r="AD17" s="24">
        <v>545649</v>
      </c>
      <c r="AE17" s="33">
        <v>0.21299999999999999</v>
      </c>
      <c r="AF17" s="25">
        <v>7.0000000000000007E-2</v>
      </c>
      <c r="AG17" s="34">
        <v>2.2000000000000002</v>
      </c>
      <c r="AH17" s="35">
        <v>22</v>
      </c>
      <c r="AI17" s="25">
        <v>36.6</v>
      </c>
      <c r="AJ17" s="25"/>
      <c r="AK17" s="34">
        <v>50.2</v>
      </c>
      <c r="AL17" s="24">
        <v>554452</v>
      </c>
      <c r="AM17" s="33">
        <v>0.08</v>
      </c>
      <c r="AN17" s="25">
        <v>0.04</v>
      </c>
      <c r="AO17" s="34">
        <v>2</v>
      </c>
      <c r="AP17" s="35">
        <v>20</v>
      </c>
      <c r="AQ17" s="25">
        <v>38.520000000000003</v>
      </c>
      <c r="AR17" s="25"/>
      <c r="AS17" s="25">
        <v>53.4</v>
      </c>
      <c r="AT17" s="24">
        <v>56762</v>
      </c>
      <c r="AU17" s="25">
        <v>87.66</v>
      </c>
      <c r="AV17" s="25">
        <v>0.18</v>
      </c>
      <c r="AW17" s="34"/>
      <c r="AX17" s="35"/>
      <c r="AY17" s="25"/>
      <c r="AZ17" s="25"/>
      <c r="BA17" s="34"/>
      <c r="BB17" s="24"/>
      <c r="BC17" s="48"/>
      <c r="BD17" s="49"/>
      <c r="BE17" s="49"/>
      <c r="BF17" s="49"/>
      <c r="BG17" s="49"/>
      <c r="BH17" s="49"/>
      <c r="BI17" s="49"/>
      <c r="BJ17" s="24"/>
      <c r="BK17" s="33"/>
      <c r="BL17" s="25"/>
      <c r="BM17" s="25"/>
      <c r="BN17" s="25"/>
      <c r="BO17" s="25"/>
      <c r="BP17" s="25"/>
      <c r="BQ17" s="25"/>
      <c r="BR17" s="42"/>
      <c r="BS17" s="33"/>
      <c r="BT17" s="25"/>
      <c r="BU17" s="34"/>
      <c r="BV17" s="35"/>
      <c r="BW17" s="25"/>
      <c r="BX17" s="25"/>
      <c r="BY17" s="25"/>
      <c r="BZ17" s="42">
        <v>261130</v>
      </c>
      <c r="CA17" s="48">
        <v>5.8000000000000003E-2</v>
      </c>
      <c r="CB17" s="49">
        <v>0.03</v>
      </c>
      <c r="CC17" s="50">
        <v>2.1</v>
      </c>
      <c r="CD17" s="51">
        <v>21</v>
      </c>
      <c r="CE17" s="49">
        <v>57.26</v>
      </c>
      <c r="CF17" s="49">
        <v>0.3</v>
      </c>
      <c r="CG17" s="49">
        <v>9</v>
      </c>
      <c r="CH17" s="42">
        <v>200587</v>
      </c>
      <c r="CI17" s="48">
        <v>5.8999999999999997E-2</v>
      </c>
      <c r="CJ17" s="49">
        <v>0.03</v>
      </c>
      <c r="CK17" s="50">
        <v>2.1</v>
      </c>
      <c r="CL17" s="51">
        <v>21</v>
      </c>
      <c r="CM17" s="49">
        <v>57.5</v>
      </c>
      <c r="CN17" s="49">
        <v>0.3</v>
      </c>
      <c r="CO17" s="50">
        <v>8.8000000000000007</v>
      </c>
      <c r="CP17" s="42">
        <v>431091</v>
      </c>
      <c r="CQ17" s="48">
        <v>5.0999999999999997E-2</v>
      </c>
      <c r="CR17" s="49">
        <v>0.04</v>
      </c>
      <c r="CS17" s="34">
        <v>2.1</v>
      </c>
      <c r="CT17" s="35">
        <v>21</v>
      </c>
      <c r="CU17" s="49">
        <v>52.11</v>
      </c>
      <c r="CV17" s="49">
        <v>0.3</v>
      </c>
      <c r="CW17" s="24">
        <v>721463</v>
      </c>
      <c r="CX17" s="33">
        <v>7.6999999999999999E-2</v>
      </c>
      <c r="CY17" s="25">
        <v>0.03</v>
      </c>
      <c r="CZ17" s="34">
        <v>1.9</v>
      </c>
      <c r="DA17" s="35">
        <v>19</v>
      </c>
      <c r="DB17" s="25">
        <v>35.67</v>
      </c>
      <c r="DC17" s="34">
        <v>54.38</v>
      </c>
      <c r="DD17" s="42"/>
      <c r="DE17" s="49"/>
      <c r="DF17" s="49"/>
      <c r="DG17" s="49"/>
      <c r="DH17" s="49"/>
      <c r="DI17" s="49"/>
      <c r="DJ17" s="49"/>
      <c r="DK17" s="49"/>
      <c r="DL17" s="56"/>
      <c r="DM17" s="24"/>
      <c r="DN17" s="33"/>
      <c r="DO17" s="25"/>
      <c r="DP17" s="25"/>
      <c r="DQ17" s="25"/>
      <c r="DR17" s="25"/>
      <c r="DS17" s="25"/>
      <c r="DT17" s="25"/>
      <c r="DU17" s="57"/>
      <c r="DV17" s="49"/>
      <c r="DW17" s="49"/>
      <c r="DX17" s="49"/>
      <c r="DY17" s="49"/>
      <c r="DZ17" s="49"/>
      <c r="EA17" s="49"/>
      <c r="EB17" s="49"/>
      <c r="EC17" s="49"/>
      <c r="ED17" s="56"/>
      <c r="EE17" s="42"/>
      <c r="EF17" s="49"/>
      <c r="EG17" s="49"/>
      <c r="EH17" s="49"/>
      <c r="EI17" s="49"/>
      <c r="EJ17" s="49"/>
      <c r="EK17" s="49"/>
      <c r="EL17" s="49"/>
      <c r="EM17" s="58"/>
      <c r="EN17" s="39"/>
      <c r="EO17" s="40">
        <f t="shared" si="3"/>
        <v>46154</v>
      </c>
      <c r="EP17" s="40">
        <v>45978</v>
      </c>
      <c r="EQ17" s="40">
        <v>46151</v>
      </c>
      <c r="ER17" s="40" t="s">
        <v>70</v>
      </c>
      <c r="ES17" s="40" t="s">
        <v>77</v>
      </c>
      <c r="ET17" s="40">
        <v>45930</v>
      </c>
      <c r="EU17" s="40">
        <v>46150</v>
      </c>
      <c r="EV17" s="40" t="s">
        <v>105</v>
      </c>
      <c r="EW17" s="40"/>
      <c r="EX17" s="40">
        <v>45992</v>
      </c>
      <c r="EY17" s="40">
        <v>46120</v>
      </c>
      <c r="EZ17" s="40" t="s">
        <v>71</v>
      </c>
      <c r="FA17" s="40"/>
      <c r="FB17" s="40">
        <v>45688</v>
      </c>
      <c r="FC17" s="40">
        <v>46139</v>
      </c>
      <c r="FD17" s="40"/>
      <c r="FE17" s="40">
        <v>46038</v>
      </c>
      <c r="FF17" s="40">
        <v>46055</v>
      </c>
      <c r="FG17" s="40"/>
      <c r="FH17" s="40">
        <v>46055</v>
      </c>
      <c r="FI17" s="40">
        <v>46129</v>
      </c>
      <c r="FJ17" s="40"/>
      <c r="FK17" s="40">
        <v>46150</v>
      </c>
      <c r="FL17" s="40">
        <v>46153</v>
      </c>
      <c r="FM17" s="40"/>
      <c r="FN17" s="40"/>
      <c r="FO17" s="40"/>
      <c r="FP17" s="40" t="s">
        <v>80</v>
      </c>
      <c r="FQ17" s="40"/>
      <c r="FR17" s="40"/>
      <c r="FS17" s="40" t="s">
        <v>80</v>
      </c>
      <c r="FT17" s="40"/>
      <c r="FU17" s="40"/>
      <c r="FV17" s="40" t="s">
        <v>80</v>
      </c>
      <c r="FW17" s="40">
        <v>46149</v>
      </c>
      <c r="FX17" s="40">
        <v>46152</v>
      </c>
      <c r="FY17" s="40" t="s">
        <v>112</v>
      </c>
      <c r="FZ17" s="40">
        <v>46153</v>
      </c>
      <c r="GA17" s="40">
        <v>46153</v>
      </c>
      <c r="GB17" s="40"/>
      <c r="GC17" s="40">
        <v>46023</v>
      </c>
      <c r="GD17" s="40">
        <v>46153</v>
      </c>
      <c r="GE17" s="40" t="s">
        <v>72</v>
      </c>
      <c r="GF17" s="40">
        <v>46130</v>
      </c>
      <c r="GG17" s="40">
        <v>46153</v>
      </c>
      <c r="GH17" s="40"/>
      <c r="GI17" s="40"/>
      <c r="GJ17" s="40"/>
      <c r="GK17" s="40" t="s">
        <v>80</v>
      </c>
      <c r="GL17" s="40"/>
      <c r="GM17" s="40"/>
      <c r="GN17" s="40" t="s">
        <v>80</v>
      </c>
      <c r="GO17" s="40"/>
      <c r="GP17" s="40"/>
      <c r="GQ17" s="40" t="s">
        <v>80</v>
      </c>
      <c r="GR17" s="40"/>
      <c r="GS17" s="40"/>
      <c r="GT17" s="3" t="s">
        <v>80</v>
      </c>
    </row>
    <row r="18" spans="2:202" x14ac:dyDescent="0.35">
      <c r="B18" s="41">
        <f t="shared" si="4"/>
        <v>46155</v>
      </c>
      <c r="C18" s="24">
        <v>1140733</v>
      </c>
      <c r="D18" s="49">
        <v>5.6</v>
      </c>
      <c r="E18" s="49">
        <v>0.28000000000000003</v>
      </c>
      <c r="F18" s="49">
        <v>1.85</v>
      </c>
      <c r="G18" s="25">
        <v>51.7</v>
      </c>
      <c r="H18" s="25">
        <v>2.84</v>
      </c>
      <c r="I18" s="25">
        <v>2.65</v>
      </c>
      <c r="J18" s="25">
        <f t="shared" si="0"/>
        <v>8.33</v>
      </c>
      <c r="K18" s="42">
        <v>2593880</v>
      </c>
      <c r="L18" s="25">
        <v>4.8099999999999996</v>
      </c>
      <c r="M18" s="25">
        <v>0.24573296064563424</v>
      </c>
      <c r="N18" s="25">
        <v>1.4165194906326222</v>
      </c>
      <c r="O18" s="25">
        <v>52.845729663118085</v>
      </c>
      <c r="P18" s="25">
        <v>2.0308134984986963</v>
      </c>
      <c r="Q18" s="25">
        <v>2.3830349561142428</v>
      </c>
      <c r="R18" s="25">
        <f t="shared" si="1"/>
        <v>6.4446619531116358</v>
      </c>
      <c r="S18" s="24">
        <v>2632188</v>
      </c>
      <c r="T18" s="25">
        <v>5.72</v>
      </c>
      <c r="U18" s="25">
        <v>0.28000000000000003</v>
      </c>
      <c r="V18" s="25">
        <v>1.82</v>
      </c>
      <c r="W18" s="25">
        <v>51.95</v>
      </c>
      <c r="X18" s="25">
        <v>2.86</v>
      </c>
      <c r="Y18" s="25">
        <v>2.38</v>
      </c>
      <c r="Z18" s="25">
        <f t="shared" si="2"/>
        <v>8.1</v>
      </c>
      <c r="AA18" s="24">
        <v>476862</v>
      </c>
      <c r="AB18" s="25">
        <v>88.74</v>
      </c>
      <c r="AC18" s="25">
        <v>0.25</v>
      </c>
      <c r="AD18" s="24">
        <v>545649</v>
      </c>
      <c r="AE18" s="33">
        <v>0.215</v>
      </c>
      <c r="AF18" s="25">
        <v>7.0000000000000007E-2</v>
      </c>
      <c r="AG18" s="34">
        <v>2.2000000000000002</v>
      </c>
      <c r="AH18" s="35">
        <v>22</v>
      </c>
      <c r="AI18" s="25">
        <v>36.6</v>
      </c>
      <c r="AJ18" s="25"/>
      <c r="AK18" s="34">
        <v>50.2</v>
      </c>
      <c r="AL18" s="24">
        <v>554452</v>
      </c>
      <c r="AM18" s="33">
        <v>8.2000000000000003E-2</v>
      </c>
      <c r="AN18" s="25">
        <v>0.04</v>
      </c>
      <c r="AO18" s="34">
        <v>2</v>
      </c>
      <c r="AP18" s="35">
        <v>20</v>
      </c>
      <c r="AQ18" s="25">
        <v>38.520000000000003</v>
      </c>
      <c r="AR18" s="25"/>
      <c r="AS18" s="25">
        <v>53.4</v>
      </c>
      <c r="AT18" s="24">
        <v>86930</v>
      </c>
      <c r="AU18" s="25">
        <v>89.95</v>
      </c>
      <c r="AV18" s="25">
        <v>0.19</v>
      </c>
      <c r="AW18" s="34"/>
      <c r="AX18" s="35"/>
      <c r="AY18" s="25"/>
      <c r="AZ18" s="25"/>
      <c r="BA18" s="34"/>
      <c r="BB18" s="24"/>
      <c r="BC18" s="48"/>
      <c r="BD18" s="49"/>
      <c r="BE18" s="49"/>
      <c r="BF18" s="49"/>
      <c r="BG18" s="49"/>
      <c r="BH18" s="49"/>
      <c r="BI18" s="49"/>
      <c r="BJ18" s="24"/>
      <c r="BK18" s="33"/>
      <c r="BL18" s="25"/>
      <c r="BM18" s="25"/>
      <c r="BN18" s="25"/>
      <c r="BO18" s="25"/>
      <c r="BP18" s="25"/>
      <c r="BQ18" s="25"/>
      <c r="BR18" s="42"/>
      <c r="BS18" s="33"/>
      <c r="BT18" s="25"/>
      <c r="BU18" s="34"/>
      <c r="BV18" s="35"/>
      <c r="BW18" s="25"/>
      <c r="BX18" s="25"/>
      <c r="BY18" s="25"/>
      <c r="BZ18" s="42">
        <v>150990</v>
      </c>
      <c r="CA18" s="48">
        <v>0.06</v>
      </c>
      <c r="CB18" s="49">
        <v>0.03</v>
      </c>
      <c r="CC18" s="50">
        <v>2.1</v>
      </c>
      <c r="CD18" s="51">
        <v>21</v>
      </c>
      <c r="CE18" s="49">
        <v>57.26</v>
      </c>
      <c r="CF18" s="49">
        <v>0.3</v>
      </c>
      <c r="CG18" s="49">
        <v>9</v>
      </c>
      <c r="CH18" s="42">
        <v>397886</v>
      </c>
      <c r="CI18" s="48">
        <v>5.0999999999999997E-2</v>
      </c>
      <c r="CJ18" s="49">
        <v>0.05</v>
      </c>
      <c r="CK18" s="50">
        <v>2.1</v>
      </c>
      <c r="CL18" s="51">
        <v>21</v>
      </c>
      <c r="CM18" s="49">
        <v>58.06</v>
      </c>
      <c r="CN18" s="49">
        <v>0.3</v>
      </c>
      <c r="CO18" s="50">
        <v>8.1999999999999993</v>
      </c>
      <c r="CP18" s="42">
        <v>470591</v>
      </c>
      <c r="CQ18" s="48">
        <v>0.05</v>
      </c>
      <c r="CR18" s="49">
        <v>0.04</v>
      </c>
      <c r="CS18" s="34">
        <v>2.1</v>
      </c>
      <c r="CT18" s="35">
        <v>21</v>
      </c>
      <c r="CU18" s="49">
        <v>51.61</v>
      </c>
      <c r="CV18" s="49">
        <v>0.3</v>
      </c>
      <c r="CW18" s="24">
        <v>789910</v>
      </c>
      <c r="CX18" s="33">
        <v>7.3999999999999996E-2</v>
      </c>
      <c r="CY18" s="25">
        <v>0.03</v>
      </c>
      <c r="CZ18" s="34">
        <v>1.9</v>
      </c>
      <c r="DA18" s="35">
        <v>19</v>
      </c>
      <c r="DB18" s="25">
        <v>35.44</v>
      </c>
      <c r="DC18" s="34">
        <v>54.38</v>
      </c>
      <c r="DD18" s="42"/>
      <c r="DE18" s="49"/>
      <c r="DF18" s="49"/>
      <c r="DG18" s="49"/>
      <c r="DH18" s="49"/>
      <c r="DI18" s="49"/>
      <c r="DJ18" s="49"/>
      <c r="DK18" s="49"/>
      <c r="DL18" s="56"/>
      <c r="DM18" s="24"/>
      <c r="DN18" s="33"/>
      <c r="DO18" s="25"/>
      <c r="DP18" s="25"/>
      <c r="DQ18" s="25"/>
      <c r="DR18" s="25"/>
      <c r="DS18" s="25"/>
      <c r="DT18" s="25"/>
      <c r="DU18" s="57"/>
      <c r="DV18" s="49"/>
      <c r="DW18" s="49"/>
      <c r="DX18" s="49"/>
      <c r="DY18" s="49"/>
      <c r="DZ18" s="49"/>
      <c r="EA18" s="49"/>
      <c r="EB18" s="49"/>
      <c r="EC18" s="49"/>
      <c r="ED18" s="56"/>
      <c r="EE18" s="42"/>
      <c r="EF18" s="49"/>
      <c r="EG18" s="49"/>
      <c r="EH18" s="49"/>
      <c r="EI18" s="49"/>
      <c r="EJ18" s="49"/>
      <c r="EK18" s="49"/>
      <c r="EL18" s="49"/>
      <c r="EM18" s="58"/>
      <c r="EN18" s="39"/>
      <c r="EO18" s="40">
        <f t="shared" si="3"/>
        <v>46155</v>
      </c>
      <c r="EP18" s="40">
        <v>45978</v>
      </c>
      <c r="EQ18" s="40">
        <v>46151</v>
      </c>
      <c r="ER18" s="40" t="s">
        <v>70</v>
      </c>
      <c r="ES18" s="40" t="s">
        <v>77</v>
      </c>
      <c r="ET18" s="40">
        <v>45930</v>
      </c>
      <c r="EU18" s="40">
        <v>46150</v>
      </c>
      <c r="EV18" s="40" t="s">
        <v>105</v>
      </c>
      <c r="EW18" s="40"/>
      <c r="EX18" s="40">
        <v>45992</v>
      </c>
      <c r="EY18" s="40">
        <v>46120</v>
      </c>
      <c r="EZ18" s="40" t="s">
        <v>71</v>
      </c>
      <c r="FA18" s="40"/>
      <c r="FB18" s="40">
        <v>45688</v>
      </c>
      <c r="FC18" s="40">
        <v>46139</v>
      </c>
      <c r="FD18" s="40"/>
      <c r="FE18" s="40">
        <v>46038</v>
      </c>
      <c r="FF18" s="40">
        <v>46055</v>
      </c>
      <c r="FG18" s="40"/>
      <c r="FH18" s="40">
        <v>46055</v>
      </c>
      <c r="FI18" s="40">
        <v>46129</v>
      </c>
      <c r="FJ18" s="40"/>
      <c r="FK18" s="40">
        <v>46150</v>
      </c>
      <c r="FL18" s="40">
        <v>46154</v>
      </c>
      <c r="FM18" s="40"/>
      <c r="FN18" s="40"/>
      <c r="FO18" s="40"/>
      <c r="FP18" s="40" t="s">
        <v>80</v>
      </c>
      <c r="FQ18" s="40"/>
      <c r="FR18" s="40"/>
      <c r="FS18" s="40" t="s">
        <v>80</v>
      </c>
      <c r="FT18" s="40"/>
      <c r="FU18" s="40"/>
      <c r="FV18" s="40" t="s">
        <v>80</v>
      </c>
      <c r="FW18" s="40">
        <v>46149</v>
      </c>
      <c r="FX18" s="40">
        <v>46152</v>
      </c>
      <c r="FY18" s="40" t="s">
        <v>113</v>
      </c>
      <c r="FZ18" s="40">
        <v>46153</v>
      </c>
      <c r="GA18" s="40">
        <v>46154</v>
      </c>
      <c r="GB18" s="40"/>
      <c r="GC18" s="40">
        <v>46023</v>
      </c>
      <c r="GD18" s="40">
        <v>46154</v>
      </c>
      <c r="GE18" s="40" t="s">
        <v>72</v>
      </c>
      <c r="GF18" s="40">
        <v>46130</v>
      </c>
      <c r="GG18" s="40">
        <v>46154</v>
      </c>
      <c r="GH18" s="40"/>
      <c r="GI18" s="40"/>
      <c r="GJ18" s="40"/>
      <c r="GK18" s="40" t="s">
        <v>80</v>
      </c>
      <c r="GL18" s="40"/>
      <c r="GM18" s="40"/>
      <c r="GN18" s="40" t="s">
        <v>80</v>
      </c>
      <c r="GO18" s="40"/>
      <c r="GP18" s="40"/>
      <c r="GQ18" s="40" t="s">
        <v>80</v>
      </c>
      <c r="GR18" s="40"/>
      <c r="GS18" s="40"/>
      <c r="GT18" s="3" t="s">
        <v>80</v>
      </c>
    </row>
    <row r="19" spans="2:202" x14ac:dyDescent="0.35">
      <c r="B19" s="41">
        <f t="shared" si="4"/>
        <v>46156</v>
      </c>
      <c r="C19" s="24">
        <v>836633</v>
      </c>
      <c r="D19" s="49">
        <v>5.62</v>
      </c>
      <c r="E19" s="49">
        <v>0.28000000000000003</v>
      </c>
      <c r="F19" s="49">
        <v>1.85</v>
      </c>
      <c r="G19" s="25">
        <v>51.7</v>
      </c>
      <c r="H19" s="25">
        <v>2.84</v>
      </c>
      <c r="I19" s="25">
        <v>2.65</v>
      </c>
      <c r="J19" s="25">
        <f t="shared" si="0"/>
        <v>8.33</v>
      </c>
      <c r="K19" s="42">
        <v>2593880</v>
      </c>
      <c r="L19" s="25">
        <v>4.83</v>
      </c>
      <c r="M19" s="25">
        <v>0.24573296064563424</v>
      </c>
      <c r="N19" s="25">
        <v>1.4165194906326222</v>
      </c>
      <c r="O19" s="25">
        <v>52.845729663118085</v>
      </c>
      <c r="P19" s="25">
        <v>2.0308134984986963</v>
      </c>
      <c r="Q19" s="25">
        <v>2.3830349561142428</v>
      </c>
      <c r="R19" s="25">
        <f t="shared" si="1"/>
        <v>6.4446619531116358</v>
      </c>
      <c r="S19" s="24">
        <v>2632188</v>
      </c>
      <c r="T19" s="25">
        <v>5.73</v>
      </c>
      <c r="U19" s="25">
        <v>0.28000000000000003</v>
      </c>
      <c r="V19" s="25">
        <v>1.82</v>
      </c>
      <c r="W19" s="25">
        <v>51.95</v>
      </c>
      <c r="X19" s="25">
        <v>2.86</v>
      </c>
      <c r="Y19" s="25">
        <v>2.38</v>
      </c>
      <c r="Z19" s="25">
        <f t="shared" si="2"/>
        <v>8.1</v>
      </c>
      <c r="AA19" s="24">
        <v>476862</v>
      </c>
      <c r="AB19" s="25">
        <v>88.74</v>
      </c>
      <c r="AC19" s="25">
        <v>0.25</v>
      </c>
      <c r="AD19" s="24">
        <v>545649</v>
      </c>
      <c r="AE19" s="33">
        <v>0.21199999999999999</v>
      </c>
      <c r="AF19" s="25">
        <v>7.0000000000000007E-2</v>
      </c>
      <c r="AG19" s="34">
        <v>2.1</v>
      </c>
      <c r="AH19" s="35">
        <v>21</v>
      </c>
      <c r="AI19" s="25">
        <v>36.04</v>
      </c>
      <c r="AJ19" s="25"/>
      <c r="AK19" s="34">
        <v>50.2</v>
      </c>
      <c r="AL19" s="24">
        <v>554452</v>
      </c>
      <c r="AM19" s="33">
        <v>8.3000000000000004E-2</v>
      </c>
      <c r="AN19" s="25">
        <v>0.04</v>
      </c>
      <c r="AO19" s="34">
        <v>2</v>
      </c>
      <c r="AP19" s="35">
        <v>20</v>
      </c>
      <c r="AQ19" s="25">
        <v>38.520000000000003</v>
      </c>
      <c r="AR19" s="25"/>
      <c r="AS19" s="25">
        <v>53.4</v>
      </c>
      <c r="AT19" s="24">
        <v>105189</v>
      </c>
      <c r="AU19" s="25">
        <v>90.03</v>
      </c>
      <c r="AV19" s="25">
        <v>0.19</v>
      </c>
      <c r="AW19" s="34"/>
      <c r="AX19" s="35"/>
      <c r="AY19" s="25"/>
      <c r="AZ19" s="25"/>
      <c r="BA19" s="34"/>
      <c r="BB19" s="24"/>
      <c r="BC19" s="48"/>
      <c r="BD19" s="49"/>
      <c r="BE19" s="49"/>
      <c r="BF19" s="49"/>
      <c r="BG19" s="49"/>
      <c r="BH19" s="49"/>
      <c r="BI19" s="49"/>
      <c r="BJ19" s="24"/>
      <c r="BK19" s="33"/>
      <c r="BL19" s="25"/>
      <c r="BM19" s="25"/>
      <c r="BN19" s="25"/>
      <c r="BO19" s="25"/>
      <c r="BP19" s="25"/>
      <c r="BQ19" s="25"/>
      <c r="BR19" s="42"/>
      <c r="BS19" s="33"/>
      <c r="BT19" s="25"/>
      <c r="BU19" s="34"/>
      <c r="BV19" s="35"/>
      <c r="BW19" s="25"/>
      <c r="BX19" s="25"/>
      <c r="BY19" s="25"/>
      <c r="BZ19" s="42">
        <v>40494</v>
      </c>
      <c r="CA19" s="48">
        <v>4.9000000000000002E-2</v>
      </c>
      <c r="CB19" s="49">
        <v>0.04</v>
      </c>
      <c r="CC19" s="50">
        <v>2.1</v>
      </c>
      <c r="CD19" s="51">
        <v>21</v>
      </c>
      <c r="CE19" s="49">
        <v>57.85</v>
      </c>
      <c r="CF19" s="49">
        <v>0.3</v>
      </c>
      <c r="CG19" s="49">
        <v>8.6</v>
      </c>
      <c r="CH19" s="42">
        <v>515615</v>
      </c>
      <c r="CI19" s="48">
        <v>4.8000000000000001E-2</v>
      </c>
      <c r="CJ19" s="49">
        <v>0.06</v>
      </c>
      <c r="CK19" s="50">
        <v>2.1</v>
      </c>
      <c r="CL19" s="51">
        <v>21</v>
      </c>
      <c r="CM19" s="49">
        <v>57.28</v>
      </c>
      <c r="CN19" s="49">
        <v>0.3</v>
      </c>
      <c r="CO19" s="50">
        <v>8.8000000000000007</v>
      </c>
      <c r="CP19" s="42">
        <v>513913</v>
      </c>
      <c r="CQ19" s="48">
        <v>4.9000000000000002E-2</v>
      </c>
      <c r="CR19" s="49">
        <v>0.04</v>
      </c>
      <c r="CS19" s="34">
        <v>2.1</v>
      </c>
      <c r="CT19" s="35">
        <v>21</v>
      </c>
      <c r="CU19" s="49">
        <v>51.65</v>
      </c>
      <c r="CV19" s="49">
        <v>0.3</v>
      </c>
      <c r="CW19" s="24">
        <v>843077</v>
      </c>
      <c r="CX19" s="33">
        <v>7.3999999999999996E-2</v>
      </c>
      <c r="CY19" s="25">
        <v>0.03</v>
      </c>
      <c r="CZ19" s="34">
        <v>1.9</v>
      </c>
      <c r="DA19" s="35">
        <v>19</v>
      </c>
      <c r="DB19" s="25">
        <v>35.340000000000003</v>
      </c>
      <c r="DC19" s="34">
        <v>54.3</v>
      </c>
      <c r="DD19" s="42"/>
      <c r="DE19" s="49"/>
      <c r="DF19" s="49"/>
      <c r="DG19" s="49"/>
      <c r="DH19" s="49"/>
      <c r="DI19" s="49"/>
      <c r="DJ19" s="49"/>
      <c r="DK19" s="49"/>
      <c r="DL19" s="56"/>
      <c r="DM19" s="24"/>
      <c r="DN19" s="33"/>
      <c r="DO19" s="25"/>
      <c r="DP19" s="25"/>
      <c r="DQ19" s="25"/>
      <c r="DR19" s="25"/>
      <c r="DS19" s="25"/>
      <c r="DT19" s="25"/>
      <c r="DU19" s="57"/>
      <c r="DV19" s="49"/>
      <c r="DW19" s="49"/>
      <c r="DX19" s="49"/>
      <c r="DY19" s="49"/>
      <c r="DZ19" s="49"/>
      <c r="EA19" s="49"/>
      <c r="EB19" s="49"/>
      <c r="EC19" s="49"/>
      <c r="ED19" s="56"/>
      <c r="EE19" s="42"/>
      <c r="EF19" s="49"/>
      <c r="EG19" s="49"/>
      <c r="EH19" s="49"/>
      <c r="EI19" s="49"/>
      <c r="EJ19" s="49"/>
      <c r="EK19" s="49"/>
      <c r="EL19" s="49"/>
      <c r="EM19" s="58"/>
      <c r="EN19" s="39"/>
      <c r="EO19" s="40">
        <f t="shared" si="3"/>
        <v>46156</v>
      </c>
      <c r="EP19" s="40">
        <v>45978</v>
      </c>
      <c r="EQ19" s="40">
        <v>46151</v>
      </c>
      <c r="ER19" s="40" t="s">
        <v>70</v>
      </c>
      <c r="ES19" s="40" t="s">
        <v>77</v>
      </c>
      <c r="ET19" s="40">
        <v>45930</v>
      </c>
      <c r="EU19" s="40">
        <v>46150</v>
      </c>
      <c r="EV19" s="40" t="s">
        <v>105</v>
      </c>
      <c r="EW19" s="40"/>
      <c r="EX19" s="40">
        <v>45992</v>
      </c>
      <c r="EY19" s="40">
        <v>46120</v>
      </c>
      <c r="EZ19" s="40" t="s">
        <v>71</v>
      </c>
      <c r="FA19" s="40"/>
      <c r="FB19" s="40">
        <v>45688</v>
      </c>
      <c r="FC19" s="40">
        <v>46139</v>
      </c>
      <c r="FD19" s="40"/>
      <c r="FE19" s="40">
        <v>46038</v>
      </c>
      <c r="FF19" s="40">
        <v>46055</v>
      </c>
      <c r="FG19" s="40"/>
      <c r="FH19" s="40">
        <v>46055</v>
      </c>
      <c r="FI19" s="40">
        <v>46129</v>
      </c>
      <c r="FJ19" s="40"/>
      <c r="FK19" s="40">
        <v>46150</v>
      </c>
      <c r="FL19" s="40">
        <v>46155</v>
      </c>
      <c r="FM19" s="40"/>
      <c r="FN19" s="40"/>
      <c r="FO19" s="40"/>
      <c r="FP19" s="40" t="s">
        <v>80</v>
      </c>
      <c r="FQ19" s="40"/>
      <c r="FR19" s="40"/>
      <c r="FS19" s="40" t="s">
        <v>80</v>
      </c>
      <c r="FT19" s="40"/>
      <c r="FU19" s="40"/>
      <c r="FV19" s="40" t="s">
        <v>80</v>
      </c>
      <c r="FW19" s="40">
        <v>46155</v>
      </c>
      <c r="FX19" s="40">
        <v>46155</v>
      </c>
      <c r="FY19" s="40"/>
      <c r="FZ19" s="40">
        <v>46153</v>
      </c>
      <c r="GA19" s="40">
        <v>46155</v>
      </c>
      <c r="GB19" s="40"/>
      <c r="GC19" s="40">
        <v>46023</v>
      </c>
      <c r="GD19" s="40">
        <v>46155</v>
      </c>
      <c r="GE19" s="40" t="s">
        <v>72</v>
      </c>
      <c r="GF19" s="40">
        <v>46130</v>
      </c>
      <c r="GG19" s="40">
        <v>46155</v>
      </c>
      <c r="GH19" s="40"/>
      <c r="GI19" s="40"/>
      <c r="GJ19" s="40"/>
      <c r="GK19" s="40" t="s">
        <v>80</v>
      </c>
      <c r="GL19" s="40"/>
      <c r="GM19" s="40"/>
      <c r="GN19" s="40" t="s">
        <v>80</v>
      </c>
      <c r="GO19" s="40"/>
      <c r="GP19" s="40"/>
      <c r="GQ19" s="40" t="s">
        <v>80</v>
      </c>
      <c r="GR19" s="40"/>
      <c r="GS19" s="40"/>
      <c r="GT19" s="3" t="s">
        <v>80</v>
      </c>
    </row>
    <row r="20" spans="2:202" x14ac:dyDescent="0.35">
      <c r="B20" s="41">
        <f t="shared" si="4"/>
        <v>46157</v>
      </c>
      <c r="C20" s="24">
        <v>524133</v>
      </c>
      <c r="D20" s="49">
        <v>5.64</v>
      </c>
      <c r="E20" s="49">
        <v>0.28000000000000003</v>
      </c>
      <c r="F20" s="49">
        <v>1.83</v>
      </c>
      <c r="G20" s="25">
        <v>51.7</v>
      </c>
      <c r="H20" s="25">
        <v>2.84</v>
      </c>
      <c r="I20" s="25">
        <v>2.65</v>
      </c>
      <c r="J20" s="25">
        <f t="shared" si="0"/>
        <v>8.33</v>
      </c>
      <c r="K20" s="42">
        <v>2593880</v>
      </c>
      <c r="L20" s="25">
        <v>4.8499999999999996</v>
      </c>
      <c r="M20" s="25">
        <v>0.24573296064563424</v>
      </c>
      <c r="N20" s="25">
        <v>1.4165194906326222</v>
      </c>
      <c r="O20" s="25">
        <v>52.845729663118085</v>
      </c>
      <c r="P20" s="25">
        <v>2.0308134984986963</v>
      </c>
      <c r="Q20" s="25">
        <v>2.3830349561142428</v>
      </c>
      <c r="R20" s="25">
        <f t="shared" si="1"/>
        <v>6.4446619531116358</v>
      </c>
      <c r="S20" s="24">
        <v>2632188</v>
      </c>
      <c r="T20" s="25">
        <v>5.75</v>
      </c>
      <c r="U20" s="25">
        <v>0.28000000000000003</v>
      </c>
      <c r="V20" s="25">
        <v>1.82</v>
      </c>
      <c r="W20" s="25">
        <v>51.95</v>
      </c>
      <c r="X20" s="25">
        <v>2.86</v>
      </c>
      <c r="Y20" s="25">
        <v>2.38</v>
      </c>
      <c r="Z20" s="25">
        <f t="shared" si="2"/>
        <v>8.1</v>
      </c>
      <c r="AA20" s="24">
        <v>476862</v>
      </c>
      <c r="AB20" s="25">
        <v>88.74</v>
      </c>
      <c r="AC20" s="25">
        <v>0.25</v>
      </c>
      <c r="AD20" s="24">
        <v>545649</v>
      </c>
      <c r="AE20" s="33">
        <v>0.214</v>
      </c>
      <c r="AF20" s="25">
        <v>7.0000000000000007E-2</v>
      </c>
      <c r="AG20" s="34">
        <v>2.1</v>
      </c>
      <c r="AH20" s="35">
        <v>21</v>
      </c>
      <c r="AI20" s="25">
        <v>36.04</v>
      </c>
      <c r="AJ20" s="25"/>
      <c r="AK20" s="34">
        <v>50.2</v>
      </c>
      <c r="AL20" s="24">
        <v>554452</v>
      </c>
      <c r="AM20" s="33">
        <v>8.5000000000000006E-2</v>
      </c>
      <c r="AN20" s="25">
        <v>0.04</v>
      </c>
      <c r="AO20" s="34">
        <v>2</v>
      </c>
      <c r="AP20" s="35">
        <v>20</v>
      </c>
      <c r="AQ20" s="25">
        <v>38.520000000000003</v>
      </c>
      <c r="AR20" s="25"/>
      <c r="AS20" s="25">
        <v>53.4</v>
      </c>
      <c r="AT20" s="24">
        <v>125433</v>
      </c>
      <c r="AU20" s="25">
        <v>90.56</v>
      </c>
      <c r="AV20" s="25">
        <v>0.2</v>
      </c>
      <c r="AW20" s="34"/>
      <c r="AX20" s="35"/>
      <c r="AY20" s="25"/>
      <c r="AZ20" s="25"/>
      <c r="BA20" s="34"/>
      <c r="BB20" s="24"/>
      <c r="BC20" s="48"/>
      <c r="BD20" s="49"/>
      <c r="BE20" s="49"/>
      <c r="BF20" s="49"/>
      <c r="BG20" s="49"/>
      <c r="BH20" s="49"/>
      <c r="BI20" s="49"/>
      <c r="BJ20" s="24"/>
      <c r="BK20" s="33"/>
      <c r="BL20" s="25"/>
      <c r="BM20" s="25"/>
      <c r="BN20" s="25"/>
      <c r="BO20" s="25"/>
      <c r="BP20" s="25"/>
      <c r="BQ20" s="25"/>
      <c r="BR20" s="42"/>
      <c r="BS20" s="33"/>
      <c r="BT20" s="25"/>
      <c r="BU20" s="34"/>
      <c r="BV20" s="35"/>
      <c r="BW20" s="25"/>
      <c r="BX20" s="25"/>
      <c r="BY20" s="25"/>
      <c r="BZ20" s="42">
        <v>248748</v>
      </c>
      <c r="CA20" s="48">
        <v>4.4999999999999998E-2</v>
      </c>
      <c r="CB20" s="49">
        <v>0.04</v>
      </c>
      <c r="CC20" s="50">
        <v>2.1</v>
      </c>
      <c r="CD20" s="51">
        <v>21</v>
      </c>
      <c r="CE20" s="49">
        <v>57.93</v>
      </c>
      <c r="CF20" s="49">
        <v>0.3</v>
      </c>
      <c r="CG20" s="49">
        <v>8.1999999999999993</v>
      </c>
      <c r="CH20" s="42">
        <v>443475</v>
      </c>
      <c r="CI20" s="48">
        <v>0.05</v>
      </c>
      <c r="CJ20" s="49">
        <v>0.06</v>
      </c>
      <c r="CK20" s="50">
        <v>2.1</v>
      </c>
      <c r="CL20" s="51">
        <v>21</v>
      </c>
      <c r="CM20" s="49">
        <v>57.28</v>
      </c>
      <c r="CN20" s="49">
        <v>0.3</v>
      </c>
      <c r="CO20" s="50">
        <v>8.8000000000000007</v>
      </c>
      <c r="CP20" s="42">
        <v>568066</v>
      </c>
      <c r="CQ20" s="48">
        <v>4.5999999999999999E-2</v>
      </c>
      <c r="CR20" s="49">
        <v>0.04</v>
      </c>
      <c r="CS20" s="34">
        <v>2.1</v>
      </c>
      <c r="CT20" s="35">
        <v>21</v>
      </c>
      <c r="CU20" s="49">
        <v>51.47</v>
      </c>
      <c r="CV20" s="49">
        <v>0.3</v>
      </c>
      <c r="CW20" s="42">
        <v>910169</v>
      </c>
      <c r="CX20" s="33">
        <v>7.1751729623839092E-2</v>
      </c>
      <c r="CY20" s="25">
        <v>3.036856891412474E-2</v>
      </c>
      <c r="CZ20" s="34">
        <v>1.8914000586704225</v>
      </c>
      <c r="DA20" s="35">
        <v>19</v>
      </c>
      <c r="DB20" s="25">
        <v>35.07</v>
      </c>
      <c r="DC20" s="34">
        <v>54.3</v>
      </c>
      <c r="DD20" s="42"/>
      <c r="DE20" s="49"/>
      <c r="DF20" s="49"/>
      <c r="DG20" s="49"/>
      <c r="DH20" s="49"/>
      <c r="DI20" s="49"/>
      <c r="DJ20" s="49"/>
      <c r="DK20" s="49"/>
      <c r="DL20" s="56"/>
      <c r="DM20" s="24"/>
      <c r="DN20" s="33"/>
      <c r="DO20" s="25"/>
      <c r="DP20" s="25"/>
      <c r="DQ20" s="25"/>
      <c r="DR20" s="25"/>
      <c r="DS20" s="25"/>
      <c r="DT20" s="25"/>
      <c r="DU20" s="57"/>
      <c r="DV20" s="49"/>
      <c r="DW20" s="49"/>
      <c r="DX20" s="49"/>
      <c r="DY20" s="49"/>
      <c r="DZ20" s="49"/>
      <c r="EA20" s="49"/>
      <c r="EB20" s="49"/>
      <c r="EC20" s="49"/>
      <c r="ED20" s="56"/>
      <c r="EE20" s="42"/>
      <c r="EF20" s="49"/>
      <c r="EG20" s="49"/>
      <c r="EH20" s="49"/>
      <c r="EI20" s="49"/>
      <c r="EJ20" s="49"/>
      <c r="EK20" s="49"/>
      <c r="EL20" s="49"/>
      <c r="EM20" s="58"/>
      <c r="EN20" s="39"/>
      <c r="EO20" s="40">
        <f t="shared" si="3"/>
        <v>46157</v>
      </c>
      <c r="EP20" s="40">
        <v>45978</v>
      </c>
      <c r="EQ20" s="40">
        <v>46151</v>
      </c>
      <c r="ER20" s="40" t="s">
        <v>70</v>
      </c>
      <c r="ES20" s="40" t="s">
        <v>77</v>
      </c>
      <c r="ET20" s="40">
        <v>45930</v>
      </c>
      <c r="EU20" s="40">
        <v>46150</v>
      </c>
      <c r="EV20" s="40" t="s">
        <v>105</v>
      </c>
      <c r="EW20" s="40"/>
      <c r="EX20" s="40">
        <v>45992</v>
      </c>
      <c r="EY20" s="40">
        <v>46120</v>
      </c>
      <c r="EZ20" s="40" t="s">
        <v>71</v>
      </c>
      <c r="FA20" s="40"/>
      <c r="FB20" s="40">
        <v>45688</v>
      </c>
      <c r="FC20" s="40">
        <v>46139</v>
      </c>
      <c r="FD20" s="40"/>
      <c r="FE20" s="40">
        <v>46038</v>
      </c>
      <c r="FF20" s="40">
        <v>46055</v>
      </c>
      <c r="FG20" s="40"/>
      <c r="FH20" s="40">
        <v>46055</v>
      </c>
      <c r="FI20" s="40">
        <v>46129</v>
      </c>
      <c r="FJ20" s="40"/>
      <c r="FK20" s="40">
        <v>46150</v>
      </c>
      <c r="FL20" s="40">
        <v>46156</v>
      </c>
      <c r="FM20" s="40"/>
      <c r="FN20" s="40"/>
      <c r="FO20" s="40"/>
      <c r="FP20" s="40" t="s">
        <v>80</v>
      </c>
      <c r="FQ20" s="40"/>
      <c r="FR20" s="40"/>
      <c r="FS20" s="40" t="s">
        <v>80</v>
      </c>
      <c r="FT20" s="40"/>
      <c r="FU20" s="40"/>
      <c r="FV20" s="40" t="s">
        <v>80</v>
      </c>
      <c r="FW20" s="40">
        <v>46155</v>
      </c>
      <c r="FX20" s="40">
        <v>46156</v>
      </c>
      <c r="FY20" s="40"/>
      <c r="FZ20" s="40">
        <v>46153</v>
      </c>
      <c r="GA20" s="40">
        <v>46155</v>
      </c>
      <c r="GB20" s="40" t="s">
        <v>114</v>
      </c>
      <c r="GC20" s="40">
        <v>46023</v>
      </c>
      <c r="GD20" s="40">
        <v>46156</v>
      </c>
      <c r="GE20" s="40" t="s">
        <v>72</v>
      </c>
      <c r="GF20" s="40">
        <v>46130</v>
      </c>
      <c r="GG20" s="40">
        <v>46156</v>
      </c>
      <c r="GH20" s="40"/>
      <c r="GI20" s="40"/>
      <c r="GJ20" s="40"/>
      <c r="GK20" s="40" t="s">
        <v>80</v>
      </c>
      <c r="GL20" s="40"/>
      <c r="GM20" s="40"/>
      <c r="GN20" s="40" t="s">
        <v>80</v>
      </c>
      <c r="GO20" s="40"/>
      <c r="GP20" s="40"/>
      <c r="GQ20" s="40" t="s">
        <v>80</v>
      </c>
      <c r="GR20" s="40"/>
      <c r="GS20" s="40"/>
      <c r="GT20" s="3" t="s">
        <v>80</v>
      </c>
    </row>
    <row r="21" spans="2:202" x14ac:dyDescent="0.35">
      <c r="B21" s="41">
        <f t="shared" si="4"/>
        <v>46158</v>
      </c>
      <c r="C21" s="24">
        <v>826510</v>
      </c>
      <c r="D21" s="49">
        <v>4.7</v>
      </c>
      <c r="E21" s="49">
        <v>0.25</v>
      </c>
      <c r="F21" s="49">
        <v>1.55</v>
      </c>
      <c r="G21" s="25">
        <v>50.33</v>
      </c>
      <c r="H21" s="25">
        <v>2.96</v>
      </c>
      <c r="I21" s="25">
        <v>2.78</v>
      </c>
      <c r="J21" s="25">
        <f t="shared" si="0"/>
        <v>8.6999999999999993</v>
      </c>
      <c r="K21" s="42">
        <v>2593880</v>
      </c>
      <c r="L21" s="25">
        <v>4.87</v>
      </c>
      <c r="M21" s="25">
        <v>0.24573296064563424</v>
      </c>
      <c r="N21" s="25">
        <v>1.4165194906326222</v>
      </c>
      <c r="O21" s="25">
        <v>52.845729663118085</v>
      </c>
      <c r="P21" s="25">
        <v>2.0308134984986963</v>
      </c>
      <c r="Q21" s="25">
        <v>2.3830349561142428</v>
      </c>
      <c r="R21" s="25">
        <f t="shared" si="1"/>
        <v>6.4446619531116358</v>
      </c>
      <c r="S21" s="26">
        <v>2311721</v>
      </c>
      <c r="T21" s="25">
        <v>5.43</v>
      </c>
      <c r="U21" s="25">
        <v>0.27</v>
      </c>
      <c r="V21" s="25">
        <v>1.75</v>
      </c>
      <c r="W21" s="25">
        <v>51.02</v>
      </c>
      <c r="X21" s="25">
        <v>2.9</v>
      </c>
      <c r="Y21" s="25">
        <v>2.4</v>
      </c>
      <c r="Z21" s="25">
        <f t="shared" si="2"/>
        <v>8.1999999999999993</v>
      </c>
      <c r="AA21" s="24">
        <v>476862</v>
      </c>
      <c r="AB21" s="25">
        <v>88.74</v>
      </c>
      <c r="AC21" s="25">
        <v>0.25</v>
      </c>
      <c r="AD21" s="24">
        <v>252439</v>
      </c>
      <c r="AE21" s="33">
        <v>0.216</v>
      </c>
      <c r="AF21" s="25">
        <v>7.0000000000000007E-2</v>
      </c>
      <c r="AG21" s="34">
        <v>2.1</v>
      </c>
      <c r="AH21" s="35">
        <v>21</v>
      </c>
      <c r="AI21" s="25">
        <v>36.04</v>
      </c>
      <c r="AJ21" s="25"/>
      <c r="AK21" s="34">
        <v>50.2</v>
      </c>
      <c r="AL21" s="24">
        <v>554452</v>
      </c>
      <c r="AM21" s="33">
        <v>8.6999999999999994E-2</v>
      </c>
      <c r="AN21" s="25">
        <v>0.04</v>
      </c>
      <c r="AO21" s="34">
        <v>2</v>
      </c>
      <c r="AP21" s="35">
        <v>20</v>
      </c>
      <c r="AQ21" s="25">
        <v>38.520000000000003</v>
      </c>
      <c r="AR21" s="25"/>
      <c r="AS21" s="25">
        <v>53.4</v>
      </c>
      <c r="AT21" s="24">
        <v>143693</v>
      </c>
      <c r="AU21" s="25">
        <v>90.22</v>
      </c>
      <c r="AV21" s="25">
        <v>0.2</v>
      </c>
      <c r="AW21" s="34"/>
      <c r="AX21" s="35"/>
      <c r="AY21" s="25"/>
      <c r="AZ21" s="25"/>
      <c r="BA21" s="34"/>
      <c r="BB21" s="24"/>
      <c r="BC21" s="48"/>
      <c r="BD21" s="49"/>
      <c r="BE21" s="49"/>
      <c r="BF21" s="49"/>
      <c r="BG21" s="49"/>
      <c r="BH21" s="49"/>
      <c r="BI21" s="49"/>
      <c r="BJ21" s="24"/>
      <c r="BK21" s="33"/>
      <c r="BL21" s="25"/>
      <c r="BM21" s="25"/>
      <c r="BN21" s="25"/>
      <c r="BO21" s="25"/>
      <c r="BP21" s="25"/>
      <c r="BQ21" s="25"/>
      <c r="BR21" s="42"/>
      <c r="BS21" s="33"/>
      <c r="BT21" s="25"/>
      <c r="BU21" s="34"/>
      <c r="BV21" s="35"/>
      <c r="BW21" s="25"/>
      <c r="BX21" s="25"/>
      <c r="BY21" s="25"/>
      <c r="BZ21" s="42">
        <v>433758</v>
      </c>
      <c r="CA21" s="48">
        <v>5.2999999999999999E-2</v>
      </c>
      <c r="CB21" s="49">
        <v>0.05</v>
      </c>
      <c r="CC21" s="50">
        <v>2.1</v>
      </c>
      <c r="CD21" s="51">
        <v>21</v>
      </c>
      <c r="CE21" s="49">
        <v>58.16</v>
      </c>
      <c r="CF21" s="49">
        <v>0.3</v>
      </c>
      <c r="CG21" s="49">
        <v>7.8</v>
      </c>
      <c r="CH21" s="42">
        <v>335165</v>
      </c>
      <c r="CI21" s="48">
        <v>5.8999999999999997E-2</v>
      </c>
      <c r="CJ21" s="49">
        <v>0.06</v>
      </c>
      <c r="CK21" s="50">
        <v>2.1</v>
      </c>
      <c r="CL21" s="51">
        <v>21</v>
      </c>
      <c r="CM21" s="49">
        <v>57.28</v>
      </c>
      <c r="CN21" s="49">
        <v>0.3</v>
      </c>
      <c r="CO21" s="50">
        <v>8.8000000000000007</v>
      </c>
      <c r="CP21" s="42">
        <v>582719</v>
      </c>
      <c r="CQ21" s="48">
        <v>4.3999999999999997E-2</v>
      </c>
      <c r="CR21" s="49">
        <v>0.04</v>
      </c>
      <c r="CS21" s="34">
        <v>2.1</v>
      </c>
      <c r="CT21" s="35">
        <v>21</v>
      </c>
      <c r="CU21" s="49">
        <v>51.96</v>
      </c>
      <c r="CV21" s="49">
        <v>0.3</v>
      </c>
      <c r="CW21" s="42">
        <v>957640</v>
      </c>
      <c r="CX21" s="33">
        <v>7.0000000000000007E-2</v>
      </c>
      <c r="CY21" s="25">
        <v>0.03</v>
      </c>
      <c r="CZ21" s="34">
        <v>1.9</v>
      </c>
      <c r="DA21" s="35">
        <v>19</v>
      </c>
      <c r="DB21" s="25">
        <v>34.99</v>
      </c>
      <c r="DC21" s="34">
        <v>54.3</v>
      </c>
      <c r="DD21" s="42"/>
      <c r="DE21" s="49"/>
      <c r="DF21" s="49"/>
      <c r="DG21" s="49"/>
      <c r="DH21" s="49"/>
      <c r="DI21" s="49"/>
      <c r="DJ21" s="49"/>
      <c r="DK21" s="49"/>
      <c r="DL21" s="56"/>
      <c r="DM21" s="24"/>
      <c r="DN21" s="33"/>
      <c r="DO21" s="25"/>
      <c r="DP21" s="25"/>
      <c r="DQ21" s="25"/>
      <c r="DR21" s="25"/>
      <c r="DS21" s="25"/>
      <c r="DT21" s="25"/>
      <c r="DU21" s="57"/>
      <c r="DV21" s="49"/>
      <c r="DW21" s="49"/>
      <c r="DX21" s="49"/>
      <c r="DY21" s="49"/>
      <c r="DZ21" s="49"/>
      <c r="EA21" s="49"/>
      <c r="EB21" s="49"/>
      <c r="EC21" s="49"/>
      <c r="ED21" s="56"/>
      <c r="EE21" s="42"/>
      <c r="EF21" s="49"/>
      <c r="EG21" s="49"/>
      <c r="EH21" s="49"/>
      <c r="EI21" s="49"/>
      <c r="EJ21" s="49"/>
      <c r="EK21" s="49"/>
      <c r="EL21" s="49"/>
      <c r="EM21" s="58"/>
      <c r="EN21" s="39"/>
      <c r="EO21" s="40">
        <f t="shared" si="3"/>
        <v>46158</v>
      </c>
      <c r="EP21" s="40">
        <v>45978</v>
      </c>
      <c r="EQ21" s="40">
        <v>46157</v>
      </c>
      <c r="ER21" s="40" t="s">
        <v>115</v>
      </c>
      <c r="ES21" s="40" t="s">
        <v>77</v>
      </c>
      <c r="ET21" s="40">
        <v>45930</v>
      </c>
      <c r="EU21" s="40">
        <v>46150</v>
      </c>
      <c r="EV21" s="40" t="s">
        <v>105</v>
      </c>
      <c r="EW21" s="40"/>
      <c r="EX21" s="40">
        <v>45992</v>
      </c>
      <c r="EY21" s="40">
        <v>46157</v>
      </c>
      <c r="EZ21" s="40" t="s">
        <v>116</v>
      </c>
      <c r="FA21" s="40"/>
      <c r="FB21" s="40">
        <v>45688</v>
      </c>
      <c r="FC21" s="40">
        <v>46139</v>
      </c>
      <c r="FD21" s="40"/>
      <c r="FE21" s="40">
        <v>46038</v>
      </c>
      <c r="FF21" s="40">
        <v>46055</v>
      </c>
      <c r="FG21" s="40"/>
      <c r="FH21" s="40">
        <v>46055</v>
      </c>
      <c r="FI21" s="40">
        <v>46129</v>
      </c>
      <c r="FJ21" s="40"/>
      <c r="FK21" s="40">
        <v>46150</v>
      </c>
      <c r="FL21" s="40">
        <v>46157</v>
      </c>
      <c r="FM21" s="40"/>
      <c r="FN21" s="40"/>
      <c r="FO21" s="40"/>
      <c r="FP21" s="40" t="s">
        <v>80</v>
      </c>
      <c r="FQ21" s="40"/>
      <c r="FR21" s="40"/>
      <c r="FS21" s="40" t="s">
        <v>80</v>
      </c>
      <c r="FT21" s="40"/>
      <c r="FU21" s="40"/>
      <c r="FV21" s="40" t="s">
        <v>80</v>
      </c>
      <c r="FW21" s="40">
        <v>46155</v>
      </c>
      <c r="FX21" s="40">
        <v>46157</v>
      </c>
      <c r="FY21" s="40"/>
      <c r="FZ21" s="40">
        <v>46153</v>
      </c>
      <c r="GA21" s="40">
        <v>46155</v>
      </c>
      <c r="GB21" s="40" t="s">
        <v>117</v>
      </c>
      <c r="GC21" s="40">
        <v>46023</v>
      </c>
      <c r="GD21" s="40">
        <v>46157</v>
      </c>
      <c r="GE21" s="40" t="s">
        <v>72</v>
      </c>
      <c r="GF21" s="40">
        <v>46130</v>
      </c>
      <c r="GG21" s="40">
        <v>46157</v>
      </c>
      <c r="GH21" s="40"/>
      <c r="GI21" s="40"/>
      <c r="GJ21" s="40"/>
      <c r="GK21" s="40" t="s">
        <v>80</v>
      </c>
      <c r="GL21" s="40"/>
      <c r="GM21" s="40"/>
      <c r="GN21" s="40" t="s">
        <v>80</v>
      </c>
      <c r="GO21" s="40"/>
      <c r="GP21" s="40"/>
      <c r="GQ21" s="40" t="s">
        <v>80</v>
      </c>
      <c r="GR21" s="40"/>
      <c r="GS21" s="40"/>
      <c r="GT21" s="3" t="s">
        <v>80</v>
      </c>
    </row>
    <row r="22" spans="2:202" x14ac:dyDescent="0.35">
      <c r="B22" s="41">
        <f t="shared" si="4"/>
        <v>46159</v>
      </c>
      <c r="C22" s="24">
        <v>514910</v>
      </c>
      <c r="D22" s="49">
        <v>4.75</v>
      </c>
      <c r="E22" s="49">
        <v>0.25</v>
      </c>
      <c r="F22" s="49">
        <v>1.55</v>
      </c>
      <c r="G22" s="25">
        <v>50.1</v>
      </c>
      <c r="H22" s="25">
        <v>2.96</v>
      </c>
      <c r="I22" s="25">
        <v>2.78</v>
      </c>
      <c r="J22" s="25">
        <f t="shared" si="0"/>
        <v>8.6999999999999993</v>
      </c>
      <c r="K22" s="42">
        <v>2593880</v>
      </c>
      <c r="L22" s="25">
        <v>4.88</v>
      </c>
      <c r="M22" s="25">
        <v>0.24573296064563424</v>
      </c>
      <c r="N22" s="25">
        <v>1.4165194906326222</v>
      </c>
      <c r="O22" s="25">
        <v>52.845729663118085</v>
      </c>
      <c r="P22" s="25">
        <v>2.0308134984986963</v>
      </c>
      <c r="Q22" s="25">
        <v>2.3830349561142428</v>
      </c>
      <c r="R22" s="25">
        <f t="shared" si="1"/>
        <v>6.4446619531116358</v>
      </c>
      <c r="S22" s="26">
        <v>2311721</v>
      </c>
      <c r="T22" s="25">
        <v>5.44</v>
      </c>
      <c r="U22" s="25">
        <v>0.27</v>
      </c>
      <c r="V22" s="25">
        <v>1.75</v>
      </c>
      <c r="W22" s="25">
        <v>51.02</v>
      </c>
      <c r="X22" s="25">
        <v>2.9</v>
      </c>
      <c r="Y22" s="25">
        <v>2.4</v>
      </c>
      <c r="Z22" s="25">
        <f t="shared" si="2"/>
        <v>8.1999999999999993</v>
      </c>
      <c r="AA22" s="24">
        <v>476862</v>
      </c>
      <c r="AB22" s="25">
        <v>88.74</v>
      </c>
      <c r="AC22" s="25">
        <v>0.25</v>
      </c>
      <c r="AD22" s="24">
        <v>252439</v>
      </c>
      <c r="AE22" s="33">
        <v>0.217</v>
      </c>
      <c r="AF22" s="25">
        <v>7.0000000000000007E-2</v>
      </c>
      <c r="AG22" s="34">
        <v>2.1</v>
      </c>
      <c r="AH22" s="35">
        <v>21</v>
      </c>
      <c r="AI22" s="25">
        <v>36.04</v>
      </c>
      <c r="AJ22" s="25"/>
      <c r="AK22" s="34">
        <v>50.2</v>
      </c>
      <c r="AL22" s="24">
        <v>554452</v>
      </c>
      <c r="AM22" s="33">
        <v>8.7999999999999995E-2</v>
      </c>
      <c r="AN22" s="25">
        <v>0.04</v>
      </c>
      <c r="AO22" s="34">
        <v>2</v>
      </c>
      <c r="AP22" s="35">
        <v>20</v>
      </c>
      <c r="AQ22" s="25">
        <v>38.520000000000003</v>
      </c>
      <c r="AR22" s="25"/>
      <c r="AS22" s="25">
        <v>53.4</v>
      </c>
      <c r="AT22" s="24">
        <v>151631</v>
      </c>
      <c r="AU22" s="25">
        <v>90.34</v>
      </c>
      <c r="AV22" s="25">
        <v>0.2</v>
      </c>
      <c r="AW22" s="34"/>
      <c r="AX22" s="35"/>
      <c r="AY22" s="25"/>
      <c r="AZ22" s="25"/>
      <c r="BA22" s="34"/>
      <c r="BB22" s="24"/>
      <c r="BC22" s="48"/>
      <c r="BD22" s="49"/>
      <c r="BE22" s="49"/>
      <c r="BF22" s="49"/>
      <c r="BG22" s="49"/>
      <c r="BH22" s="49"/>
      <c r="BI22" s="49"/>
      <c r="BJ22" s="24"/>
      <c r="BK22" s="33"/>
      <c r="BL22" s="25"/>
      <c r="BM22" s="25"/>
      <c r="BN22" s="25"/>
      <c r="BO22" s="25"/>
      <c r="BP22" s="25"/>
      <c r="BQ22" s="25"/>
      <c r="BR22" s="42">
        <v>57736</v>
      </c>
      <c r="BS22" s="33">
        <v>4.5500000000000006E-2</v>
      </c>
      <c r="BT22" s="25">
        <v>0.04</v>
      </c>
      <c r="BU22" s="34">
        <v>2.1</v>
      </c>
      <c r="BV22" s="35">
        <v>21</v>
      </c>
      <c r="BW22" s="25">
        <v>57.51</v>
      </c>
      <c r="BX22" s="25">
        <v>0.3</v>
      </c>
      <c r="BY22" s="25">
        <v>8.6999999999999993</v>
      </c>
      <c r="BZ22" s="42">
        <v>542782</v>
      </c>
      <c r="CA22" s="48">
        <v>4.9000000000000002E-2</v>
      </c>
      <c r="CB22" s="49">
        <v>0.06</v>
      </c>
      <c r="CC22" s="50">
        <v>2.1</v>
      </c>
      <c r="CD22" s="51">
        <v>21</v>
      </c>
      <c r="CE22" s="49">
        <v>58.11</v>
      </c>
      <c r="CF22" s="49">
        <v>0.3</v>
      </c>
      <c r="CG22" s="49">
        <v>7.8</v>
      </c>
      <c r="CH22" s="42">
        <v>232375</v>
      </c>
      <c r="CI22" s="48">
        <v>6.0999999999999999E-2</v>
      </c>
      <c r="CJ22" s="49">
        <v>0.06</v>
      </c>
      <c r="CK22" s="50">
        <v>2.1</v>
      </c>
      <c r="CL22" s="51">
        <v>21</v>
      </c>
      <c r="CM22" s="49">
        <v>57.28</v>
      </c>
      <c r="CN22" s="49">
        <v>0.3</v>
      </c>
      <c r="CO22" s="50">
        <v>8.8000000000000007</v>
      </c>
      <c r="CP22" s="42">
        <v>645790</v>
      </c>
      <c r="CQ22" s="48">
        <v>4.4999999999999998E-2</v>
      </c>
      <c r="CR22" s="49">
        <v>0.04</v>
      </c>
      <c r="CS22" s="50">
        <v>2.1</v>
      </c>
      <c r="CT22" s="51">
        <v>21</v>
      </c>
      <c r="CU22" s="49">
        <v>51.18</v>
      </c>
      <c r="CV22" s="49">
        <v>0.3</v>
      </c>
      <c r="CW22" s="42">
        <v>1020933</v>
      </c>
      <c r="CX22" s="33">
        <v>6.8000000000000005E-2</v>
      </c>
      <c r="CY22" s="25">
        <v>0.03</v>
      </c>
      <c r="CZ22" s="34">
        <v>1.9</v>
      </c>
      <c r="DA22" s="35">
        <v>19</v>
      </c>
      <c r="DB22" s="25">
        <v>34.92</v>
      </c>
      <c r="DC22" s="34">
        <v>54.3</v>
      </c>
      <c r="DD22" s="42"/>
      <c r="DE22" s="49"/>
      <c r="DF22" s="49"/>
      <c r="DG22" s="49"/>
      <c r="DH22" s="49"/>
      <c r="DI22" s="49"/>
      <c r="DJ22" s="49"/>
      <c r="DK22" s="49"/>
      <c r="DL22" s="56"/>
      <c r="DM22" s="24"/>
      <c r="DN22" s="33"/>
      <c r="DO22" s="25"/>
      <c r="DP22" s="25"/>
      <c r="DQ22" s="25"/>
      <c r="DR22" s="25"/>
      <c r="DS22" s="25"/>
      <c r="DT22" s="25"/>
      <c r="DU22" s="57"/>
      <c r="DV22" s="49"/>
      <c r="DW22" s="49"/>
      <c r="DX22" s="49"/>
      <c r="DY22" s="49"/>
      <c r="DZ22" s="49"/>
      <c r="EA22" s="49"/>
      <c r="EB22" s="49"/>
      <c r="EC22" s="49"/>
      <c r="ED22" s="56"/>
      <c r="EE22" s="42"/>
      <c r="EF22" s="49"/>
      <c r="EG22" s="49"/>
      <c r="EH22" s="49"/>
      <c r="EI22" s="49"/>
      <c r="EJ22" s="49"/>
      <c r="EK22" s="49"/>
      <c r="EL22" s="49"/>
      <c r="EM22" s="58"/>
      <c r="EN22" s="39"/>
      <c r="EO22" s="40">
        <f t="shared" si="3"/>
        <v>46159</v>
      </c>
      <c r="EP22" s="40">
        <v>45978</v>
      </c>
      <c r="EQ22" s="40">
        <v>46157</v>
      </c>
      <c r="ER22" s="40" t="s">
        <v>115</v>
      </c>
      <c r="ES22" s="40" t="s">
        <v>77</v>
      </c>
      <c r="ET22" s="40">
        <v>45930</v>
      </c>
      <c r="EU22" s="40">
        <v>46150</v>
      </c>
      <c r="EV22" s="40" t="s">
        <v>105</v>
      </c>
      <c r="EW22" s="40"/>
      <c r="EX22" s="40">
        <v>45992</v>
      </c>
      <c r="EY22" s="40">
        <v>46157</v>
      </c>
      <c r="EZ22" s="40" t="s">
        <v>116</v>
      </c>
      <c r="FA22" s="40"/>
      <c r="FB22" s="40">
        <v>45688</v>
      </c>
      <c r="FC22" s="40">
        <v>46139</v>
      </c>
      <c r="FD22" s="40"/>
      <c r="FE22" s="40">
        <v>46038</v>
      </c>
      <c r="FF22" s="40">
        <v>46055</v>
      </c>
      <c r="FG22" s="40"/>
      <c r="FH22" s="40">
        <v>46055</v>
      </c>
      <c r="FI22" s="40">
        <v>46129</v>
      </c>
      <c r="FJ22" s="40"/>
      <c r="FK22" s="40">
        <v>46150</v>
      </c>
      <c r="FL22" s="40">
        <v>46158</v>
      </c>
      <c r="FM22" s="40"/>
      <c r="FN22" s="40"/>
      <c r="FO22" s="40"/>
      <c r="FP22" s="40" t="s">
        <v>80</v>
      </c>
      <c r="FQ22" s="40"/>
      <c r="FR22" s="40"/>
      <c r="FS22" s="40" t="s">
        <v>80</v>
      </c>
      <c r="FT22" s="40">
        <v>46158</v>
      </c>
      <c r="FU22" s="40">
        <v>46158</v>
      </c>
      <c r="FV22" s="40"/>
      <c r="FW22" s="40">
        <v>46155</v>
      </c>
      <c r="FX22" s="40">
        <v>46158</v>
      </c>
      <c r="FY22" s="40"/>
      <c r="FZ22" s="40">
        <v>46153</v>
      </c>
      <c r="GA22" s="40">
        <v>46155</v>
      </c>
      <c r="GB22" s="40" t="s">
        <v>118</v>
      </c>
      <c r="GC22" s="40">
        <v>46023</v>
      </c>
      <c r="GD22" s="40">
        <v>46158</v>
      </c>
      <c r="GE22" s="40" t="s">
        <v>72</v>
      </c>
      <c r="GF22" s="40">
        <v>46130</v>
      </c>
      <c r="GG22" s="40">
        <v>46158</v>
      </c>
      <c r="GH22" s="40"/>
      <c r="GI22" s="40"/>
      <c r="GJ22" s="40"/>
      <c r="GK22" s="40" t="s">
        <v>80</v>
      </c>
      <c r="GL22" s="40"/>
      <c r="GM22" s="40"/>
      <c r="GN22" s="40" t="s">
        <v>80</v>
      </c>
      <c r="GO22" s="40"/>
      <c r="GP22" s="40"/>
      <c r="GQ22" s="40" t="s">
        <v>80</v>
      </c>
      <c r="GR22" s="40"/>
      <c r="GS22" s="40"/>
      <c r="GT22" s="3" t="s">
        <v>80</v>
      </c>
    </row>
    <row r="23" spans="2:202" x14ac:dyDescent="0.35">
      <c r="B23" s="41">
        <f t="shared" si="4"/>
        <v>46160</v>
      </c>
      <c r="C23" s="24">
        <v>202310</v>
      </c>
      <c r="D23" s="49">
        <v>4.8</v>
      </c>
      <c r="E23" s="49">
        <v>0.25</v>
      </c>
      <c r="F23" s="49">
        <v>1.55</v>
      </c>
      <c r="G23" s="25">
        <v>50.1</v>
      </c>
      <c r="H23" s="25">
        <v>2.96</v>
      </c>
      <c r="I23" s="25">
        <v>2.78</v>
      </c>
      <c r="J23" s="25">
        <f t="shared" si="0"/>
        <v>8.6999999999999993</v>
      </c>
      <c r="K23" s="42">
        <v>2593880</v>
      </c>
      <c r="L23" s="25">
        <v>4.9000000000000004</v>
      </c>
      <c r="M23" s="25">
        <v>0.24573296064563424</v>
      </c>
      <c r="N23" s="25">
        <v>1.4165194906326222</v>
      </c>
      <c r="O23" s="25">
        <v>52.845729663118085</v>
      </c>
      <c r="P23" s="25">
        <v>2.0308134984986963</v>
      </c>
      <c r="Q23" s="25">
        <v>2.3830349561142428</v>
      </c>
      <c r="R23" s="25">
        <f t="shared" si="1"/>
        <v>6.4446619531116358</v>
      </c>
      <c r="S23" s="26">
        <v>2311721</v>
      </c>
      <c r="T23" s="25">
        <v>5.46</v>
      </c>
      <c r="U23" s="25">
        <v>0.27</v>
      </c>
      <c r="V23" s="25">
        <v>1.75</v>
      </c>
      <c r="W23" s="25">
        <v>51.02</v>
      </c>
      <c r="X23" s="25">
        <v>2.9</v>
      </c>
      <c r="Y23" s="25">
        <v>2.4</v>
      </c>
      <c r="Z23" s="25">
        <f t="shared" si="2"/>
        <v>8.1999999999999993</v>
      </c>
      <c r="AA23" s="24">
        <v>476862</v>
      </c>
      <c r="AB23" s="25">
        <v>88.74</v>
      </c>
      <c r="AC23" s="25">
        <v>0.25</v>
      </c>
      <c r="AD23" s="24">
        <v>319163</v>
      </c>
      <c r="AE23" s="33">
        <v>0.17199999999999999</v>
      </c>
      <c r="AF23" s="25">
        <v>0.06</v>
      </c>
      <c r="AG23" s="34">
        <v>2</v>
      </c>
      <c r="AH23" s="35">
        <v>20</v>
      </c>
      <c r="AI23" s="25">
        <v>35.29</v>
      </c>
      <c r="AJ23" s="25"/>
      <c r="AK23" s="34">
        <v>50.2</v>
      </c>
      <c r="AL23" s="24">
        <v>554452</v>
      </c>
      <c r="AM23" s="33">
        <v>0.09</v>
      </c>
      <c r="AN23" s="25">
        <v>0.04</v>
      </c>
      <c r="AO23" s="34">
        <v>2</v>
      </c>
      <c r="AP23" s="35">
        <v>20</v>
      </c>
      <c r="AQ23" s="25">
        <v>38.520000000000003</v>
      </c>
      <c r="AR23" s="25"/>
      <c r="AS23" s="25">
        <v>53.4</v>
      </c>
      <c r="AT23" s="24">
        <v>177433</v>
      </c>
      <c r="AU23" s="25">
        <v>90.4</v>
      </c>
      <c r="AV23" s="25">
        <v>0.21</v>
      </c>
      <c r="AW23" s="34"/>
      <c r="AX23" s="35"/>
      <c r="AY23" s="25"/>
      <c r="AZ23" s="25"/>
      <c r="BA23" s="34"/>
      <c r="BB23" s="24"/>
      <c r="BC23" s="48"/>
      <c r="BD23" s="49"/>
      <c r="BE23" s="49"/>
      <c r="BF23" s="49"/>
      <c r="BG23" s="49"/>
      <c r="BH23" s="49"/>
      <c r="BI23" s="49"/>
      <c r="BJ23" s="24"/>
      <c r="BK23" s="33"/>
      <c r="BL23" s="25"/>
      <c r="BM23" s="25"/>
      <c r="BN23" s="25"/>
      <c r="BO23" s="25"/>
      <c r="BP23" s="25"/>
      <c r="BQ23" s="25"/>
      <c r="BR23" s="42">
        <v>230531</v>
      </c>
      <c r="BS23" s="33">
        <v>4.5999999999999999E-2</v>
      </c>
      <c r="BT23" s="25">
        <v>0.06</v>
      </c>
      <c r="BU23" s="34">
        <v>2.1</v>
      </c>
      <c r="BV23" s="35">
        <v>21</v>
      </c>
      <c r="BW23" s="25">
        <v>57.58</v>
      </c>
      <c r="BX23" s="25">
        <v>0.3</v>
      </c>
      <c r="BY23" s="25">
        <v>8.3000000000000007</v>
      </c>
      <c r="BZ23" s="42">
        <v>542782</v>
      </c>
      <c r="CA23" s="48">
        <v>0.05</v>
      </c>
      <c r="CB23" s="49">
        <v>0.06</v>
      </c>
      <c r="CC23" s="50">
        <v>2.1</v>
      </c>
      <c r="CD23" s="51">
        <v>21</v>
      </c>
      <c r="CE23" s="49">
        <v>58.11</v>
      </c>
      <c r="CF23" s="49">
        <v>0.3</v>
      </c>
      <c r="CG23" s="49">
        <v>7.8</v>
      </c>
      <c r="CH23" s="42">
        <v>232375</v>
      </c>
      <c r="CI23" s="48">
        <v>6.3E-2</v>
      </c>
      <c r="CJ23" s="49">
        <v>0.06</v>
      </c>
      <c r="CK23" s="50">
        <v>2.1</v>
      </c>
      <c r="CL23" s="51">
        <v>21</v>
      </c>
      <c r="CM23" s="49">
        <v>57.28</v>
      </c>
      <c r="CN23" s="49">
        <v>0.3</v>
      </c>
      <c r="CO23" s="50">
        <v>8.8000000000000007</v>
      </c>
      <c r="CP23" s="42">
        <v>695483</v>
      </c>
      <c r="CQ23" s="48">
        <v>4.3999999999999997E-2</v>
      </c>
      <c r="CR23" s="49">
        <v>0.04</v>
      </c>
      <c r="CS23" s="50">
        <v>2.1</v>
      </c>
      <c r="CT23" s="51">
        <v>21</v>
      </c>
      <c r="CU23" s="49">
        <v>50.8</v>
      </c>
      <c r="CV23" s="49">
        <v>0.3</v>
      </c>
      <c r="CW23" s="42">
        <v>1040379</v>
      </c>
      <c r="CX23" s="33">
        <v>6.6000000000000003E-2</v>
      </c>
      <c r="CY23" s="25">
        <v>0.03</v>
      </c>
      <c r="CZ23" s="34">
        <v>1.9</v>
      </c>
      <c r="DA23" s="35">
        <v>19</v>
      </c>
      <c r="DB23" s="25">
        <v>34.78</v>
      </c>
      <c r="DC23" s="34">
        <v>54.3</v>
      </c>
      <c r="DD23" s="42"/>
      <c r="DE23" s="49"/>
      <c r="DF23" s="49"/>
      <c r="DG23" s="49"/>
      <c r="DH23" s="49"/>
      <c r="DI23" s="49"/>
      <c r="DJ23" s="49"/>
      <c r="DK23" s="49"/>
      <c r="DL23" s="56"/>
      <c r="DM23" s="24"/>
      <c r="DN23" s="33"/>
      <c r="DO23" s="25"/>
      <c r="DP23" s="25"/>
      <c r="DQ23" s="25"/>
      <c r="DR23" s="25"/>
      <c r="DS23" s="25"/>
      <c r="DT23" s="25"/>
      <c r="DU23" s="57"/>
      <c r="DV23" s="49"/>
      <c r="DW23" s="49"/>
      <c r="DX23" s="49"/>
      <c r="DY23" s="49"/>
      <c r="DZ23" s="49"/>
      <c r="EA23" s="49"/>
      <c r="EB23" s="49"/>
      <c r="EC23" s="49"/>
      <c r="ED23" s="56"/>
      <c r="EE23" s="42"/>
      <c r="EF23" s="49"/>
      <c r="EG23" s="49"/>
      <c r="EH23" s="49"/>
      <c r="EI23" s="49"/>
      <c r="EJ23" s="49"/>
      <c r="EK23" s="49"/>
      <c r="EL23" s="49"/>
      <c r="EM23" s="58"/>
      <c r="EN23" s="39"/>
      <c r="EO23" s="40">
        <f t="shared" si="3"/>
        <v>46160</v>
      </c>
      <c r="EP23" s="40">
        <v>45978</v>
      </c>
      <c r="EQ23" s="40">
        <v>46157</v>
      </c>
      <c r="ER23" s="40" t="s">
        <v>115</v>
      </c>
      <c r="ES23" s="40" t="s">
        <v>77</v>
      </c>
      <c r="ET23" s="40">
        <v>45930</v>
      </c>
      <c r="EU23" s="40">
        <v>46150</v>
      </c>
      <c r="EV23" s="40" t="s">
        <v>105</v>
      </c>
      <c r="EW23" s="40"/>
      <c r="EX23" s="40">
        <v>45992</v>
      </c>
      <c r="EY23" s="40">
        <v>46157</v>
      </c>
      <c r="EZ23" s="40" t="s">
        <v>116</v>
      </c>
      <c r="FA23" s="40"/>
      <c r="FB23" s="40">
        <v>45688</v>
      </c>
      <c r="FC23" s="40">
        <v>46139</v>
      </c>
      <c r="FD23" s="40"/>
      <c r="FE23" s="40">
        <v>46038</v>
      </c>
      <c r="FF23" s="40">
        <v>46159</v>
      </c>
      <c r="FG23" s="40"/>
      <c r="FH23" s="40">
        <v>46055</v>
      </c>
      <c r="FI23" s="40">
        <v>46129</v>
      </c>
      <c r="FJ23" s="40"/>
      <c r="FK23" s="40">
        <v>46150</v>
      </c>
      <c r="FL23" s="40">
        <v>46159</v>
      </c>
      <c r="FM23" s="40"/>
      <c r="FN23" s="40"/>
      <c r="FO23" s="40"/>
      <c r="FP23" s="40" t="s">
        <v>80</v>
      </c>
      <c r="FQ23" s="40"/>
      <c r="FR23" s="40"/>
      <c r="FS23" s="40" t="s">
        <v>80</v>
      </c>
      <c r="FT23" s="40">
        <v>46158</v>
      </c>
      <c r="FU23" s="40">
        <v>46159</v>
      </c>
      <c r="FV23" s="40"/>
      <c r="FW23" s="40">
        <v>46155</v>
      </c>
      <c r="FX23" s="40">
        <v>46158</v>
      </c>
      <c r="FY23" s="40"/>
      <c r="FZ23" s="40">
        <v>46153</v>
      </c>
      <c r="GA23" s="40">
        <v>46155</v>
      </c>
      <c r="GB23" s="40"/>
      <c r="GC23" s="40">
        <v>46023</v>
      </c>
      <c r="GD23" s="40">
        <v>46159</v>
      </c>
      <c r="GE23" s="40" t="s">
        <v>72</v>
      </c>
      <c r="GF23" s="40">
        <v>46130</v>
      </c>
      <c r="GG23" s="40">
        <v>46159</v>
      </c>
      <c r="GH23" s="40"/>
      <c r="GI23" s="40"/>
      <c r="GJ23" s="40"/>
      <c r="GK23" s="40" t="s">
        <v>80</v>
      </c>
      <c r="GL23" s="40"/>
      <c r="GM23" s="40"/>
      <c r="GN23" s="40" t="s">
        <v>80</v>
      </c>
      <c r="GO23" s="40"/>
      <c r="GP23" s="40"/>
      <c r="GQ23" s="40" t="s">
        <v>80</v>
      </c>
      <c r="GR23" s="40"/>
      <c r="GS23" s="40"/>
      <c r="GT23" s="3" t="s">
        <v>80</v>
      </c>
    </row>
    <row r="24" spans="2:202" x14ac:dyDescent="0.35">
      <c r="B24" s="41">
        <f t="shared" si="4"/>
        <v>46161</v>
      </c>
      <c r="C24" s="24">
        <v>26924</v>
      </c>
      <c r="D24" s="49">
        <v>4.83</v>
      </c>
      <c r="E24" s="49">
        <v>0.25</v>
      </c>
      <c r="F24" s="49">
        <v>1.5</v>
      </c>
      <c r="G24" s="25">
        <v>50.1</v>
      </c>
      <c r="H24" s="25">
        <v>2.96</v>
      </c>
      <c r="I24" s="25">
        <v>2.78</v>
      </c>
      <c r="J24" s="25">
        <f t="shared" si="0"/>
        <v>8.6999999999999993</v>
      </c>
      <c r="K24" s="42">
        <v>2593880</v>
      </c>
      <c r="L24" s="25">
        <v>4.91</v>
      </c>
      <c r="M24" s="25">
        <v>0.24573296064563424</v>
      </c>
      <c r="N24" s="25">
        <v>1.4165194906326222</v>
      </c>
      <c r="O24" s="25">
        <v>52.845729663118085</v>
      </c>
      <c r="P24" s="25">
        <v>2.0308134984986963</v>
      </c>
      <c r="Q24" s="25">
        <v>2.3830349561142428</v>
      </c>
      <c r="R24" s="25">
        <f t="shared" si="1"/>
        <v>6.4446619531116358</v>
      </c>
      <c r="S24" s="26">
        <v>2230247</v>
      </c>
      <c r="T24" s="25">
        <v>5.48</v>
      </c>
      <c r="U24" s="25">
        <v>0.27</v>
      </c>
      <c r="V24" s="25">
        <v>1.58</v>
      </c>
      <c r="W24" s="25">
        <v>51.02</v>
      </c>
      <c r="X24" s="25">
        <v>2.9</v>
      </c>
      <c r="Y24" s="25">
        <v>2.4</v>
      </c>
      <c r="Z24" s="25">
        <f t="shared" si="2"/>
        <v>8.1999999999999993</v>
      </c>
      <c r="AA24" s="24">
        <v>476862</v>
      </c>
      <c r="AB24" s="25">
        <v>88.74</v>
      </c>
      <c r="AC24" s="25">
        <v>0.25</v>
      </c>
      <c r="AD24" s="24">
        <v>387035</v>
      </c>
      <c r="AE24" s="33">
        <v>0.13500000000000001</v>
      </c>
      <c r="AF24" s="25">
        <v>0.03</v>
      </c>
      <c r="AG24" s="34">
        <v>2.1</v>
      </c>
      <c r="AH24" s="35">
        <v>21</v>
      </c>
      <c r="AI24" s="25">
        <v>37.99</v>
      </c>
      <c r="AJ24" s="25"/>
      <c r="AK24" s="34">
        <v>50.2</v>
      </c>
      <c r="AL24" s="24">
        <v>554452</v>
      </c>
      <c r="AM24" s="33">
        <v>9.1999999999999998E-2</v>
      </c>
      <c r="AN24" s="25">
        <v>0.04</v>
      </c>
      <c r="AO24" s="34">
        <v>2</v>
      </c>
      <c r="AP24" s="35">
        <v>20</v>
      </c>
      <c r="AQ24" s="25">
        <v>38.520000000000003</v>
      </c>
      <c r="AR24" s="25"/>
      <c r="AS24" s="25">
        <v>53.4</v>
      </c>
      <c r="AT24" s="24">
        <v>184577</v>
      </c>
      <c r="AU24" s="25">
        <v>90.22</v>
      </c>
      <c r="AV24" s="25">
        <v>0.21</v>
      </c>
      <c r="AW24" s="34"/>
      <c r="AX24" s="35"/>
      <c r="AY24" s="25"/>
      <c r="AZ24" s="25"/>
      <c r="BA24" s="34"/>
      <c r="BB24" s="24"/>
      <c r="BC24" s="48"/>
      <c r="BD24" s="49"/>
      <c r="BE24" s="49"/>
      <c r="BF24" s="49"/>
      <c r="BG24" s="49"/>
      <c r="BH24" s="49"/>
      <c r="BI24" s="49"/>
      <c r="BJ24" s="24"/>
      <c r="BK24" s="33"/>
      <c r="BL24" s="25"/>
      <c r="BM24" s="25"/>
      <c r="BN24" s="25"/>
      <c r="BO24" s="25"/>
      <c r="BP24" s="25"/>
      <c r="BQ24" s="25"/>
      <c r="BR24" s="42">
        <v>401249</v>
      </c>
      <c r="BS24" s="33">
        <v>4.5999999999999999E-2</v>
      </c>
      <c r="BT24" s="25">
        <v>0.05</v>
      </c>
      <c r="BU24" s="34">
        <v>2.1</v>
      </c>
      <c r="BV24" s="35">
        <v>21</v>
      </c>
      <c r="BW24" s="25">
        <v>57.44</v>
      </c>
      <c r="BX24" s="25">
        <v>0.3</v>
      </c>
      <c r="BY24" s="25">
        <v>8.6</v>
      </c>
      <c r="BZ24" s="42">
        <v>542782</v>
      </c>
      <c r="CA24" s="48">
        <v>5.1999999999999998E-2</v>
      </c>
      <c r="CB24" s="49">
        <v>0.06</v>
      </c>
      <c r="CC24" s="50">
        <v>2.1</v>
      </c>
      <c r="CD24" s="51">
        <v>21</v>
      </c>
      <c r="CE24" s="49">
        <v>58.11</v>
      </c>
      <c r="CF24" s="49">
        <v>0.3</v>
      </c>
      <c r="CG24" s="49">
        <v>7.8</v>
      </c>
      <c r="CH24" s="42"/>
      <c r="CI24" s="48"/>
      <c r="CJ24" s="49"/>
      <c r="CK24" s="50"/>
      <c r="CL24" s="51"/>
      <c r="CM24" s="49"/>
      <c r="CN24" s="49"/>
      <c r="CO24" s="50"/>
      <c r="CP24" s="42">
        <v>727976</v>
      </c>
      <c r="CQ24" s="48">
        <v>4.4999999999999998E-2</v>
      </c>
      <c r="CR24" s="49">
        <v>0.04</v>
      </c>
      <c r="CS24" s="50">
        <v>2.1</v>
      </c>
      <c r="CT24" s="51">
        <v>21</v>
      </c>
      <c r="CU24" s="49">
        <v>50.1</v>
      </c>
      <c r="CV24" s="49">
        <v>0.3</v>
      </c>
      <c r="CW24" s="42">
        <v>1040379</v>
      </c>
      <c r="CX24" s="33">
        <v>6.7000000000000004E-2</v>
      </c>
      <c r="CY24" s="25">
        <v>0.03</v>
      </c>
      <c r="CZ24" s="34">
        <v>1.9</v>
      </c>
      <c r="DA24" s="35">
        <v>19</v>
      </c>
      <c r="DB24" s="25">
        <v>34.78</v>
      </c>
      <c r="DC24" s="34">
        <v>54.3</v>
      </c>
      <c r="DD24" s="42"/>
      <c r="DE24" s="49"/>
      <c r="DF24" s="49"/>
      <c r="DG24" s="49"/>
      <c r="DH24" s="49"/>
      <c r="DI24" s="49"/>
      <c r="DJ24" s="49"/>
      <c r="DK24" s="49"/>
      <c r="DL24" s="56"/>
      <c r="DM24" s="24"/>
      <c r="DN24" s="33"/>
      <c r="DO24" s="25"/>
      <c r="DP24" s="25"/>
      <c r="DQ24" s="25"/>
      <c r="DR24" s="25"/>
      <c r="DS24" s="25"/>
      <c r="DT24" s="25"/>
      <c r="DU24" s="57"/>
      <c r="DV24" s="49"/>
      <c r="DW24" s="49"/>
      <c r="DX24" s="49"/>
      <c r="DY24" s="49"/>
      <c r="DZ24" s="49"/>
      <c r="EA24" s="49"/>
      <c r="EB24" s="49"/>
      <c r="EC24" s="49"/>
      <c r="ED24" s="56"/>
      <c r="EE24" s="42"/>
      <c r="EF24" s="49"/>
      <c r="EG24" s="49"/>
      <c r="EH24" s="49"/>
      <c r="EI24" s="49"/>
      <c r="EJ24" s="49"/>
      <c r="EK24" s="49"/>
      <c r="EL24" s="49"/>
      <c r="EM24" s="58"/>
      <c r="EN24" s="39"/>
      <c r="EO24" s="40">
        <f t="shared" si="3"/>
        <v>46161</v>
      </c>
      <c r="EP24" s="40">
        <v>45978</v>
      </c>
      <c r="EQ24" s="40">
        <v>46157</v>
      </c>
      <c r="ER24" s="40" t="s">
        <v>115</v>
      </c>
      <c r="ES24" s="40" t="s">
        <v>77</v>
      </c>
      <c r="ET24" s="40">
        <v>45930</v>
      </c>
      <c r="EU24" s="40">
        <v>46150</v>
      </c>
      <c r="EV24" s="40" t="s">
        <v>105</v>
      </c>
      <c r="EW24" s="40"/>
      <c r="EX24" s="40">
        <v>45992</v>
      </c>
      <c r="EY24" s="40">
        <v>46160</v>
      </c>
      <c r="EZ24" s="40" t="s">
        <v>116</v>
      </c>
      <c r="FA24" s="40" t="s">
        <v>77</v>
      </c>
      <c r="FB24" s="40">
        <v>45688</v>
      </c>
      <c r="FC24" s="40">
        <v>46139</v>
      </c>
      <c r="FD24" s="40"/>
      <c r="FE24" s="40">
        <v>46038</v>
      </c>
      <c r="FF24" s="40">
        <v>46160</v>
      </c>
      <c r="FG24" s="40"/>
      <c r="FH24" s="40">
        <v>46055</v>
      </c>
      <c r="FI24" s="40">
        <v>46129</v>
      </c>
      <c r="FJ24" s="40"/>
      <c r="FK24" s="40">
        <v>46150</v>
      </c>
      <c r="FL24" s="40">
        <v>46160</v>
      </c>
      <c r="FM24" s="40"/>
      <c r="FN24" s="40"/>
      <c r="FO24" s="40"/>
      <c r="FP24" s="40" t="s">
        <v>80</v>
      </c>
      <c r="FQ24" s="40"/>
      <c r="FR24" s="40"/>
      <c r="FS24" s="40" t="s">
        <v>80</v>
      </c>
      <c r="FT24" s="40">
        <v>46158</v>
      </c>
      <c r="FU24" s="40">
        <v>46160</v>
      </c>
      <c r="FV24" s="40"/>
      <c r="FW24" s="40">
        <v>46155</v>
      </c>
      <c r="FX24" s="40">
        <v>46158</v>
      </c>
      <c r="FY24" s="40" t="s">
        <v>90</v>
      </c>
      <c r="FZ24" s="40">
        <v>46153</v>
      </c>
      <c r="GA24" s="40">
        <v>46155</v>
      </c>
      <c r="GB24" s="40" t="s">
        <v>119</v>
      </c>
      <c r="GC24" s="40">
        <v>46023</v>
      </c>
      <c r="GD24" s="40">
        <v>46160</v>
      </c>
      <c r="GE24" s="40" t="s">
        <v>72</v>
      </c>
      <c r="GF24" s="40">
        <v>46130</v>
      </c>
      <c r="GG24" s="40">
        <v>46159</v>
      </c>
      <c r="GH24" s="40"/>
      <c r="GI24" s="40"/>
      <c r="GJ24" s="40"/>
      <c r="GK24" s="40" t="s">
        <v>80</v>
      </c>
      <c r="GL24" s="40"/>
      <c r="GM24" s="40"/>
      <c r="GN24" s="40" t="s">
        <v>80</v>
      </c>
      <c r="GO24" s="40"/>
      <c r="GP24" s="40"/>
      <c r="GQ24" s="40" t="s">
        <v>80</v>
      </c>
      <c r="GR24" s="40"/>
      <c r="GS24" s="40"/>
      <c r="GT24" s="3" t="s">
        <v>80</v>
      </c>
    </row>
    <row r="25" spans="2:202" x14ac:dyDescent="0.35">
      <c r="B25" s="41">
        <f t="shared" si="4"/>
        <v>46162</v>
      </c>
      <c r="C25" s="24">
        <v>26924</v>
      </c>
      <c r="D25" s="49">
        <v>4.8499999999999996</v>
      </c>
      <c r="E25" s="49">
        <v>0.25</v>
      </c>
      <c r="F25" s="49">
        <v>1.5</v>
      </c>
      <c r="G25" s="25">
        <v>50.1</v>
      </c>
      <c r="H25" s="25">
        <v>2.96</v>
      </c>
      <c r="I25" s="25">
        <v>2.78</v>
      </c>
      <c r="J25" s="25">
        <f t="shared" si="0"/>
        <v>8.6999999999999993</v>
      </c>
      <c r="K25" s="42">
        <v>2593880</v>
      </c>
      <c r="L25" s="25">
        <v>4.92</v>
      </c>
      <c r="M25" s="25">
        <v>0.24573296064563424</v>
      </c>
      <c r="N25" s="25">
        <v>1.4165194906326222</v>
      </c>
      <c r="O25" s="25">
        <v>52.845729663118085</v>
      </c>
      <c r="P25" s="25">
        <v>2.0308134984986963</v>
      </c>
      <c r="Q25" s="25">
        <v>2.3830349561142428</v>
      </c>
      <c r="R25" s="25">
        <f t="shared" si="1"/>
        <v>6.4446619531116358</v>
      </c>
      <c r="S25" s="26">
        <v>2014377</v>
      </c>
      <c r="T25" s="25">
        <v>5.5</v>
      </c>
      <c r="U25" s="25">
        <v>0.28999999999999998</v>
      </c>
      <c r="V25" s="25">
        <v>1.56</v>
      </c>
      <c r="W25" s="27">
        <v>50.87</v>
      </c>
      <c r="X25" s="25">
        <v>2.7</v>
      </c>
      <c r="Y25" s="25">
        <v>2.35</v>
      </c>
      <c r="Z25" s="25">
        <f t="shared" si="2"/>
        <v>7.75</v>
      </c>
      <c r="AA25" s="24">
        <v>476862</v>
      </c>
      <c r="AB25" s="25">
        <v>85.87</v>
      </c>
      <c r="AC25" s="25">
        <v>0.25</v>
      </c>
      <c r="AD25" s="24">
        <v>470318</v>
      </c>
      <c r="AE25" s="33">
        <v>0.11888589635097956</v>
      </c>
      <c r="AF25" s="25">
        <v>3.1475650517309564E-2</v>
      </c>
      <c r="AG25" s="34">
        <v>2.0409739793076174</v>
      </c>
      <c r="AH25" s="35">
        <v>20</v>
      </c>
      <c r="AI25" s="25">
        <v>36.97</v>
      </c>
      <c r="AJ25" s="25"/>
      <c r="AK25" s="34">
        <v>53.8</v>
      </c>
      <c r="AL25" s="24">
        <v>554452</v>
      </c>
      <c r="AM25" s="33">
        <v>9.0999999999999998E-2</v>
      </c>
      <c r="AN25" s="25">
        <v>0.04</v>
      </c>
      <c r="AO25" s="34">
        <v>2</v>
      </c>
      <c r="AP25" s="35">
        <v>20</v>
      </c>
      <c r="AQ25" s="25">
        <v>38.520000000000003</v>
      </c>
      <c r="AR25" s="25"/>
      <c r="AS25" s="25">
        <v>53.4</v>
      </c>
      <c r="AT25" s="24">
        <v>214343</v>
      </c>
      <c r="AU25" s="25">
        <v>90.24</v>
      </c>
      <c r="AV25" s="25">
        <v>0.21</v>
      </c>
      <c r="AW25" s="34"/>
      <c r="AX25" s="35"/>
      <c r="AY25" s="25"/>
      <c r="AZ25" s="25"/>
      <c r="BA25" s="34"/>
      <c r="BB25" s="24"/>
      <c r="BC25" s="48"/>
      <c r="BD25" s="49"/>
      <c r="BE25" s="49"/>
      <c r="BF25" s="49"/>
      <c r="BG25" s="49"/>
      <c r="BH25" s="49"/>
      <c r="BI25" s="49"/>
      <c r="BJ25" s="24"/>
      <c r="BK25" s="33"/>
      <c r="BL25" s="25"/>
      <c r="BM25" s="25"/>
      <c r="BN25" s="25"/>
      <c r="BO25" s="25"/>
      <c r="BP25" s="25"/>
      <c r="BQ25" s="25"/>
      <c r="BR25" s="42">
        <v>547045</v>
      </c>
      <c r="BS25" s="33">
        <v>4.7E-2</v>
      </c>
      <c r="BT25" s="25">
        <v>0.05</v>
      </c>
      <c r="BU25" s="34">
        <v>2.1</v>
      </c>
      <c r="BV25" s="35">
        <v>21</v>
      </c>
      <c r="BW25" s="25">
        <v>57.43</v>
      </c>
      <c r="BX25" s="25">
        <v>0.3</v>
      </c>
      <c r="BY25" s="25">
        <v>8.6</v>
      </c>
      <c r="BZ25" s="42">
        <v>474867</v>
      </c>
      <c r="CA25" s="48">
        <v>5.3999999999999999E-2</v>
      </c>
      <c r="CB25" s="49">
        <v>0.06</v>
      </c>
      <c r="CC25" s="50">
        <v>2.1</v>
      </c>
      <c r="CD25" s="51">
        <v>21</v>
      </c>
      <c r="CE25" s="49">
        <v>58.11</v>
      </c>
      <c r="CF25" s="49">
        <v>0.3</v>
      </c>
      <c r="CG25" s="49">
        <v>7.8</v>
      </c>
      <c r="CH25" s="42">
        <v>31650</v>
      </c>
      <c r="CI25" s="48">
        <v>4.7999999999999994E-2</v>
      </c>
      <c r="CJ25" s="49">
        <v>4.1666666666666664E-2</v>
      </c>
      <c r="CK25" s="50">
        <v>2.1333333333333333</v>
      </c>
      <c r="CL25" s="51">
        <v>21</v>
      </c>
      <c r="CM25" s="49">
        <v>57.4</v>
      </c>
      <c r="CN25" s="49">
        <v>0.3</v>
      </c>
      <c r="CO25" s="50">
        <v>8.8000000000000007</v>
      </c>
      <c r="CP25" s="42">
        <v>769385</v>
      </c>
      <c r="CQ25" s="48">
        <v>4.5999999999999999E-2</v>
      </c>
      <c r="CR25" s="49">
        <v>0.04</v>
      </c>
      <c r="CS25" s="50">
        <v>2.1</v>
      </c>
      <c r="CT25" s="51">
        <v>21</v>
      </c>
      <c r="CU25" s="49">
        <v>50.21</v>
      </c>
      <c r="CV25" s="49">
        <v>0.3</v>
      </c>
      <c r="CW25" s="42">
        <v>1040379</v>
      </c>
      <c r="CX25" s="33">
        <v>6.8000000000000005E-2</v>
      </c>
      <c r="CY25" s="25">
        <v>0.03</v>
      </c>
      <c r="CZ25" s="34">
        <v>1.9</v>
      </c>
      <c r="DA25" s="35">
        <v>19</v>
      </c>
      <c r="DB25" s="25">
        <v>34.78</v>
      </c>
      <c r="DC25" s="34">
        <v>54.3</v>
      </c>
      <c r="DD25" s="42"/>
      <c r="DE25" s="49"/>
      <c r="DF25" s="49"/>
      <c r="DG25" s="49"/>
      <c r="DH25" s="49"/>
      <c r="DI25" s="49"/>
      <c r="DJ25" s="49"/>
      <c r="DK25" s="49"/>
      <c r="DL25" s="56"/>
      <c r="DM25" s="24"/>
      <c r="DN25" s="33"/>
      <c r="DO25" s="25"/>
      <c r="DP25" s="25"/>
      <c r="DQ25" s="25"/>
      <c r="DR25" s="25"/>
      <c r="DS25" s="25"/>
      <c r="DT25" s="25"/>
      <c r="DU25" s="57"/>
      <c r="DV25" s="49"/>
      <c r="DW25" s="49"/>
      <c r="DX25" s="49"/>
      <c r="DY25" s="49"/>
      <c r="DZ25" s="49"/>
      <c r="EA25" s="49"/>
      <c r="EB25" s="49"/>
      <c r="EC25" s="49"/>
      <c r="ED25" s="56"/>
      <c r="EE25" s="42"/>
      <c r="EF25" s="49"/>
      <c r="EG25" s="49"/>
      <c r="EH25" s="49"/>
      <c r="EI25" s="49"/>
      <c r="EJ25" s="49"/>
      <c r="EK25" s="49"/>
      <c r="EL25" s="49"/>
      <c r="EM25" s="58"/>
      <c r="EN25" s="39"/>
      <c r="EO25" s="40">
        <f t="shared" si="3"/>
        <v>46162</v>
      </c>
      <c r="EP25" s="40">
        <v>45978</v>
      </c>
      <c r="EQ25" s="40">
        <v>46157</v>
      </c>
      <c r="ER25" s="40" t="s">
        <v>115</v>
      </c>
      <c r="ES25" s="40" t="s">
        <v>78</v>
      </c>
      <c r="ET25" s="40">
        <v>45930</v>
      </c>
      <c r="EU25" s="40">
        <v>46150</v>
      </c>
      <c r="EV25" s="40" t="s">
        <v>105</v>
      </c>
      <c r="EW25" s="40"/>
      <c r="EX25" s="40">
        <v>45992</v>
      </c>
      <c r="EY25" s="40">
        <v>46161</v>
      </c>
      <c r="EZ25" s="40" t="s">
        <v>116</v>
      </c>
      <c r="FA25" s="40" t="s">
        <v>77</v>
      </c>
      <c r="FB25" s="40">
        <v>45688</v>
      </c>
      <c r="FC25" s="40">
        <v>46139</v>
      </c>
      <c r="FD25" s="40"/>
      <c r="FE25" s="40">
        <v>46038</v>
      </c>
      <c r="FF25" s="40">
        <v>46161</v>
      </c>
      <c r="FG25" s="40"/>
      <c r="FH25" s="40">
        <v>46055</v>
      </c>
      <c r="FI25" s="40">
        <v>46129</v>
      </c>
      <c r="FJ25" s="40"/>
      <c r="FK25" s="40">
        <v>46150</v>
      </c>
      <c r="FL25" s="40">
        <v>46161</v>
      </c>
      <c r="FM25" s="40"/>
      <c r="FN25" s="40"/>
      <c r="FO25" s="40"/>
      <c r="FP25" s="40" t="s">
        <v>80</v>
      </c>
      <c r="FQ25" s="40"/>
      <c r="FR25" s="40"/>
      <c r="FS25" s="40" t="s">
        <v>80</v>
      </c>
      <c r="FT25" s="40">
        <v>46158</v>
      </c>
      <c r="FU25" s="40">
        <v>46161</v>
      </c>
      <c r="FV25" s="40"/>
      <c r="FW25" s="40">
        <v>46155</v>
      </c>
      <c r="FX25" s="40">
        <v>46158</v>
      </c>
      <c r="FY25" s="40" t="s">
        <v>106</v>
      </c>
      <c r="FZ25" s="40">
        <v>46153</v>
      </c>
      <c r="GA25" s="40">
        <v>46161</v>
      </c>
      <c r="GB25" s="40"/>
      <c r="GC25" s="40">
        <v>46023</v>
      </c>
      <c r="GD25" s="40">
        <v>46161</v>
      </c>
      <c r="GE25" s="40" t="s">
        <v>72</v>
      </c>
      <c r="GF25" s="40">
        <v>46130</v>
      </c>
      <c r="GG25" s="40">
        <v>46159</v>
      </c>
      <c r="GH25" s="40"/>
      <c r="GI25" s="40"/>
      <c r="GJ25" s="40"/>
      <c r="GK25" s="40" t="s">
        <v>80</v>
      </c>
      <c r="GL25" s="40"/>
      <c r="GM25" s="40"/>
      <c r="GN25" s="40" t="s">
        <v>80</v>
      </c>
      <c r="GO25" s="40"/>
      <c r="GP25" s="40"/>
      <c r="GQ25" s="40" t="s">
        <v>80</v>
      </c>
      <c r="GR25" s="40"/>
      <c r="GS25" s="40"/>
      <c r="GT25" s="3" t="s">
        <v>80</v>
      </c>
    </row>
    <row r="26" spans="2:202" x14ac:dyDescent="0.35">
      <c r="B26" s="41">
        <f t="shared" si="4"/>
        <v>46163</v>
      </c>
      <c r="C26" s="24">
        <v>26924</v>
      </c>
      <c r="D26" s="49">
        <v>4.87</v>
      </c>
      <c r="E26" s="49">
        <v>0.25</v>
      </c>
      <c r="F26" s="49">
        <v>1.5</v>
      </c>
      <c r="G26" s="25">
        <v>50.1</v>
      </c>
      <c r="H26" s="25">
        <v>2.96</v>
      </c>
      <c r="I26" s="25">
        <v>2.78</v>
      </c>
      <c r="J26" s="25">
        <f t="shared" si="0"/>
        <v>8.6999999999999993</v>
      </c>
      <c r="K26" s="42">
        <v>2593880</v>
      </c>
      <c r="L26" s="25">
        <v>4.93</v>
      </c>
      <c r="M26" s="25">
        <v>0.24573296064563424</v>
      </c>
      <c r="N26" s="25">
        <v>1.4165194906326222</v>
      </c>
      <c r="O26" s="25">
        <v>52.845729663118085</v>
      </c>
      <c r="P26" s="25">
        <v>2.0308134984986963</v>
      </c>
      <c r="Q26" s="25">
        <v>2.3830349561142428</v>
      </c>
      <c r="R26" s="25">
        <f t="shared" si="1"/>
        <v>6.4446619531116358</v>
      </c>
      <c r="S26" s="26">
        <v>2087377</v>
      </c>
      <c r="T26" s="25">
        <v>5.52</v>
      </c>
      <c r="U26" s="25">
        <v>0.28999999999999998</v>
      </c>
      <c r="V26" s="25">
        <v>1.57</v>
      </c>
      <c r="W26" s="27">
        <v>50.98</v>
      </c>
      <c r="X26" s="25">
        <v>2.67</v>
      </c>
      <c r="Y26" s="25">
        <v>2.33</v>
      </c>
      <c r="Z26" s="25">
        <f t="shared" si="2"/>
        <v>7.67</v>
      </c>
      <c r="AA26" s="24">
        <v>476862</v>
      </c>
      <c r="AB26" s="25">
        <v>85.87</v>
      </c>
      <c r="AC26" s="25">
        <v>0.25</v>
      </c>
      <c r="AD26" s="24">
        <v>464031</v>
      </c>
      <c r="AE26" s="33">
        <v>8.5000000000000006E-2</v>
      </c>
      <c r="AF26" s="25">
        <v>0.03</v>
      </c>
      <c r="AG26" s="34">
        <v>2</v>
      </c>
      <c r="AH26" s="35">
        <v>20</v>
      </c>
      <c r="AI26" s="25">
        <v>36.49</v>
      </c>
      <c r="AJ26" s="25"/>
      <c r="AK26" s="34">
        <v>53.8</v>
      </c>
      <c r="AL26" s="24">
        <v>554452</v>
      </c>
      <c r="AM26" s="33">
        <v>9.1999999999999998E-2</v>
      </c>
      <c r="AN26" s="25">
        <v>0.04</v>
      </c>
      <c r="AO26" s="34">
        <v>2</v>
      </c>
      <c r="AP26" s="35">
        <v>20</v>
      </c>
      <c r="AQ26" s="25">
        <v>38.520000000000003</v>
      </c>
      <c r="AR26" s="25"/>
      <c r="AS26" s="25">
        <v>53.4</v>
      </c>
      <c r="AT26" s="24">
        <v>217126</v>
      </c>
      <c r="AU26" s="25">
        <v>90.1</v>
      </c>
      <c r="AV26" s="25">
        <v>0.22</v>
      </c>
      <c r="AW26" s="34"/>
      <c r="AX26" s="35"/>
      <c r="AY26" s="25"/>
      <c r="AZ26" s="25"/>
      <c r="BA26" s="34"/>
      <c r="BB26" s="24"/>
      <c r="BC26" s="48"/>
      <c r="BD26" s="49"/>
      <c r="BE26" s="49"/>
      <c r="BF26" s="49"/>
      <c r="BG26" s="49"/>
      <c r="BH26" s="49"/>
      <c r="BI26" s="49"/>
      <c r="BJ26" s="24"/>
      <c r="BK26" s="33"/>
      <c r="BL26" s="25"/>
      <c r="BM26" s="25"/>
      <c r="BN26" s="25"/>
      <c r="BO26" s="25"/>
      <c r="BP26" s="25"/>
      <c r="BQ26" s="25"/>
      <c r="BR26" s="42">
        <v>547045</v>
      </c>
      <c r="BS26" s="33">
        <v>4.8000000000000001E-2</v>
      </c>
      <c r="BT26" s="25">
        <v>0.05</v>
      </c>
      <c r="BU26" s="34">
        <v>2.1</v>
      </c>
      <c r="BV26" s="35">
        <v>21</v>
      </c>
      <c r="BW26" s="25">
        <v>57.43</v>
      </c>
      <c r="BX26" s="25">
        <v>0.3</v>
      </c>
      <c r="BY26" s="25">
        <v>8.6</v>
      </c>
      <c r="BZ26" s="42">
        <v>354377</v>
      </c>
      <c r="CA26" s="48">
        <v>5.6000000000000001E-2</v>
      </c>
      <c r="CB26" s="49">
        <v>0.06</v>
      </c>
      <c r="CC26" s="50">
        <v>2.1</v>
      </c>
      <c r="CD26" s="51">
        <v>21</v>
      </c>
      <c r="CE26" s="49">
        <v>58.11</v>
      </c>
      <c r="CF26" s="49">
        <v>0.3</v>
      </c>
      <c r="CG26" s="49">
        <v>7.8</v>
      </c>
      <c r="CH26" s="42">
        <v>181680</v>
      </c>
      <c r="CI26" s="48">
        <v>4.8000000000000001E-2</v>
      </c>
      <c r="CJ26" s="49">
        <v>0.04</v>
      </c>
      <c r="CK26" s="50">
        <v>2.1</v>
      </c>
      <c r="CL26" s="51">
        <v>21</v>
      </c>
      <c r="CM26" s="49">
        <v>57.37</v>
      </c>
      <c r="CN26" s="49">
        <v>0.3</v>
      </c>
      <c r="CO26" s="50">
        <v>8.8000000000000007</v>
      </c>
      <c r="CP26" s="42">
        <v>570614</v>
      </c>
      <c r="CQ26" s="48">
        <v>4.5999999999999999E-2</v>
      </c>
      <c r="CR26" s="49">
        <v>0.04</v>
      </c>
      <c r="CS26" s="50">
        <v>2.1</v>
      </c>
      <c r="CT26" s="51">
        <v>21</v>
      </c>
      <c r="CU26" s="49">
        <v>50.23</v>
      </c>
      <c r="CV26" s="49">
        <v>0.3</v>
      </c>
      <c r="CW26" s="42">
        <v>1040379</v>
      </c>
      <c r="CX26" s="33">
        <v>7.0000000000000007E-2</v>
      </c>
      <c r="CY26" s="25">
        <v>0.03</v>
      </c>
      <c r="CZ26" s="34">
        <v>1.9</v>
      </c>
      <c r="DA26" s="35">
        <v>19</v>
      </c>
      <c r="DB26" s="25">
        <v>34.78</v>
      </c>
      <c r="DC26" s="34">
        <v>54.3</v>
      </c>
      <c r="DD26" s="42"/>
      <c r="DE26" s="49"/>
      <c r="DF26" s="49"/>
      <c r="DG26" s="49"/>
      <c r="DH26" s="49"/>
      <c r="DI26" s="49"/>
      <c r="DJ26" s="49"/>
      <c r="DK26" s="49"/>
      <c r="DL26" s="56"/>
      <c r="DM26" s="24"/>
      <c r="DN26" s="33"/>
      <c r="DO26" s="25"/>
      <c r="DP26" s="25"/>
      <c r="DQ26" s="25"/>
      <c r="DR26" s="25"/>
      <c r="DS26" s="25"/>
      <c r="DT26" s="25"/>
      <c r="DU26" s="57"/>
      <c r="DV26" s="49"/>
      <c r="DW26" s="49"/>
      <c r="DX26" s="49"/>
      <c r="DY26" s="49"/>
      <c r="DZ26" s="49"/>
      <c r="EA26" s="49"/>
      <c r="EB26" s="49"/>
      <c r="EC26" s="49"/>
      <c r="ED26" s="56"/>
      <c r="EE26" s="42"/>
      <c r="EF26" s="49"/>
      <c r="EG26" s="49"/>
      <c r="EH26" s="49"/>
      <c r="EI26" s="49"/>
      <c r="EJ26" s="49"/>
      <c r="EK26" s="49"/>
      <c r="EL26" s="49"/>
      <c r="EM26" s="58"/>
      <c r="EN26" s="39"/>
      <c r="EO26" s="40">
        <f t="shared" si="3"/>
        <v>46163</v>
      </c>
      <c r="EP26" s="40"/>
      <c r="EQ26" s="40"/>
      <c r="ER26" s="40"/>
      <c r="ES26" s="40" t="s">
        <v>78</v>
      </c>
      <c r="ET26" s="40">
        <v>45930</v>
      </c>
      <c r="EU26" s="40">
        <v>46150</v>
      </c>
      <c r="EV26" s="40" t="s">
        <v>105</v>
      </c>
      <c r="EW26" s="40"/>
      <c r="EX26" s="40">
        <v>45992</v>
      </c>
      <c r="EY26" s="40">
        <v>46162</v>
      </c>
      <c r="EZ26" s="40" t="s">
        <v>116</v>
      </c>
      <c r="FA26" s="40" t="s">
        <v>77</v>
      </c>
      <c r="FB26" s="40">
        <v>45688</v>
      </c>
      <c r="FC26" s="40">
        <v>46139</v>
      </c>
      <c r="FD26" s="40"/>
      <c r="FE26" s="40">
        <v>46038</v>
      </c>
      <c r="FF26" s="40">
        <v>46162</v>
      </c>
      <c r="FG26" s="40" t="s">
        <v>120</v>
      </c>
      <c r="FH26" s="40">
        <v>46055</v>
      </c>
      <c r="FI26" s="40">
        <v>46129</v>
      </c>
      <c r="FJ26" s="40"/>
      <c r="FK26" s="40">
        <v>46150</v>
      </c>
      <c r="FL26" s="40">
        <v>46162</v>
      </c>
      <c r="FM26" s="40"/>
      <c r="FN26" s="40"/>
      <c r="FO26" s="40"/>
      <c r="FP26" s="40" t="s">
        <v>80</v>
      </c>
      <c r="FQ26" s="40"/>
      <c r="FR26" s="40"/>
      <c r="FS26" s="40" t="s">
        <v>80</v>
      </c>
      <c r="FT26" s="40">
        <v>46158</v>
      </c>
      <c r="FU26" s="40">
        <v>46161</v>
      </c>
      <c r="FV26" s="40"/>
      <c r="FW26" s="40">
        <v>46155</v>
      </c>
      <c r="FX26" s="40">
        <v>46158</v>
      </c>
      <c r="FY26" s="40" t="s">
        <v>121</v>
      </c>
      <c r="FZ26" s="40">
        <v>46153</v>
      </c>
      <c r="GA26" s="40">
        <v>46162</v>
      </c>
      <c r="GB26" s="40"/>
      <c r="GC26" s="40">
        <v>46023</v>
      </c>
      <c r="GD26" s="40">
        <v>46162</v>
      </c>
      <c r="GE26" s="40" t="s">
        <v>72</v>
      </c>
      <c r="GF26" s="40">
        <v>46130</v>
      </c>
      <c r="GG26" s="40">
        <v>46159</v>
      </c>
      <c r="GH26" s="40"/>
      <c r="GI26" s="40"/>
      <c r="GJ26" s="40"/>
      <c r="GK26" s="40" t="s">
        <v>80</v>
      </c>
      <c r="GL26" s="40"/>
      <c r="GM26" s="40"/>
      <c r="GN26" s="40" t="s">
        <v>80</v>
      </c>
      <c r="GO26" s="40"/>
      <c r="GP26" s="40"/>
      <c r="GQ26" s="40" t="s">
        <v>80</v>
      </c>
      <c r="GR26" s="40"/>
      <c r="GS26" s="40"/>
      <c r="GT26" s="3" t="s">
        <v>80</v>
      </c>
    </row>
    <row r="27" spans="2:202" x14ac:dyDescent="0.35">
      <c r="B27" s="41">
        <f t="shared" si="4"/>
        <v>46164</v>
      </c>
      <c r="C27" s="24">
        <v>318680</v>
      </c>
      <c r="D27" s="49">
        <v>5.7930576034999595</v>
      </c>
      <c r="E27" s="49">
        <v>0.33169812849388319</v>
      </c>
      <c r="F27" s="49">
        <v>1.7228515873658869</v>
      </c>
      <c r="G27" s="25">
        <v>51.669369567481858</v>
      </c>
      <c r="H27" s="25">
        <v>2.2476633372298935</v>
      </c>
      <c r="I27" s="25">
        <v>2.1060957627805235</v>
      </c>
      <c r="J27" s="25">
        <f t="shared" si="0"/>
        <v>6.601422437240311</v>
      </c>
      <c r="K27" s="42">
        <v>2593880</v>
      </c>
      <c r="L27" s="25">
        <v>4.9400000000000004</v>
      </c>
      <c r="M27" s="25">
        <v>0.24573296064563424</v>
      </c>
      <c r="N27" s="25">
        <v>1.4165194906326222</v>
      </c>
      <c r="O27" s="25">
        <v>52.845729663118085</v>
      </c>
      <c r="P27" s="25">
        <v>2.0308134984986963</v>
      </c>
      <c r="Q27" s="25">
        <v>2.3830349561142428</v>
      </c>
      <c r="R27" s="25">
        <f t="shared" si="1"/>
        <v>6.4446619531116358</v>
      </c>
      <c r="S27" s="26">
        <v>2087377</v>
      </c>
      <c r="T27" s="25">
        <v>5.53</v>
      </c>
      <c r="U27" s="25">
        <v>0.28999999999999998</v>
      </c>
      <c r="V27" s="25">
        <v>1.57</v>
      </c>
      <c r="W27" s="27">
        <v>50.98</v>
      </c>
      <c r="X27" s="25">
        <v>2.67</v>
      </c>
      <c r="Y27" s="25">
        <v>2.33</v>
      </c>
      <c r="Z27" s="25">
        <f t="shared" si="2"/>
        <v>7.67</v>
      </c>
      <c r="AA27" s="24">
        <v>476862</v>
      </c>
      <c r="AB27" s="25">
        <v>85.87</v>
      </c>
      <c r="AC27" s="25">
        <v>0.25</v>
      </c>
      <c r="AD27" s="24">
        <v>510720</v>
      </c>
      <c r="AE27" s="33">
        <v>7.9873018191183309E-2</v>
      </c>
      <c r="AF27" s="25">
        <v>3.1255587381751028E-2</v>
      </c>
      <c r="AG27" s="34">
        <v>1.9769808980012311</v>
      </c>
      <c r="AH27" s="35">
        <v>20</v>
      </c>
      <c r="AI27" s="25">
        <v>35.99</v>
      </c>
      <c r="AJ27" s="25"/>
      <c r="AK27" s="34">
        <v>53.9</v>
      </c>
      <c r="AL27" s="24">
        <v>554452</v>
      </c>
      <c r="AM27" s="33">
        <v>9.2999999999999999E-2</v>
      </c>
      <c r="AN27" s="25">
        <v>0.04</v>
      </c>
      <c r="AO27" s="34">
        <v>2</v>
      </c>
      <c r="AP27" s="35">
        <v>20</v>
      </c>
      <c r="AQ27" s="25">
        <v>38.520000000000003</v>
      </c>
      <c r="AR27" s="25"/>
      <c r="AS27" s="25">
        <v>53.4</v>
      </c>
      <c r="AT27" s="42">
        <v>219111</v>
      </c>
      <c r="AU27" s="25">
        <v>84.87</v>
      </c>
      <c r="AV27" s="25">
        <v>0.25</v>
      </c>
      <c r="AW27" s="34"/>
      <c r="AX27" s="35"/>
      <c r="AY27" s="25"/>
      <c r="AZ27" s="25"/>
      <c r="BA27" s="34"/>
      <c r="BB27" s="24"/>
      <c r="BC27" s="48"/>
      <c r="BD27" s="49"/>
      <c r="BE27" s="49"/>
      <c r="BF27" s="49"/>
      <c r="BG27" s="49"/>
      <c r="BH27" s="49"/>
      <c r="BI27" s="49"/>
      <c r="BJ27" s="24"/>
      <c r="BK27" s="33"/>
      <c r="BL27" s="25"/>
      <c r="BM27" s="25"/>
      <c r="BN27" s="25"/>
      <c r="BO27" s="25"/>
      <c r="BP27" s="25"/>
      <c r="BQ27" s="25"/>
      <c r="BR27" s="42">
        <v>547045</v>
      </c>
      <c r="BS27" s="33">
        <v>0.05</v>
      </c>
      <c r="BT27" s="25">
        <v>0.05</v>
      </c>
      <c r="BU27" s="34">
        <v>2.1</v>
      </c>
      <c r="BV27" s="35">
        <v>21</v>
      </c>
      <c r="BW27" s="25">
        <v>57.43</v>
      </c>
      <c r="BX27" s="25">
        <v>0.3</v>
      </c>
      <c r="BY27" s="25">
        <v>8.6</v>
      </c>
      <c r="BZ27" s="42">
        <v>287827</v>
      </c>
      <c r="CA27" s="48">
        <v>5.7000000000000002E-2</v>
      </c>
      <c r="CB27" s="49">
        <v>0.06</v>
      </c>
      <c r="CC27" s="50">
        <v>2.1</v>
      </c>
      <c r="CD27" s="51">
        <v>21</v>
      </c>
      <c r="CE27" s="49">
        <v>58.11</v>
      </c>
      <c r="CF27" s="49">
        <v>0.45</v>
      </c>
      <c r="CG27" s="49">
        <v>7.8</v>
      </c>
      <c r="CH27" s="42">
        <v>353494</v>
      </c>
      <c r="CI27" s="48">
        <v>5.0999999999999997E-2</v>
      </c>
      <c r="CJ27" s="49">
        <v>0.05</v>
      </c>
      <c r="CK27" s="50">
        <v>2.1</v>
      </c>
      <c r="CL27" s="51">
        <v>21</v>
      </c>
      <c r="CM27" s="49">
        <v>57.04</v>
      </c>
      <c r="CN27" s="49">
        <v>0.3</v>
      </c>
      <c r="CO27" s="50">
        <v>9</v>
      </c>
      <c r="CP27" s="42">
        <v>341899</v>
      </c>
      <c r="CQ27" s="48">
        <v>0.05</v>
      </c>
      <c r="CR27" s="49">
        <v>0.04</v>
      </c>
      <c r="CS27" s="50">
        <v>2.1</v>
      </c>
      <c r="CT27" s="51">
        <v>21</v>
      </c>
      <c r="CU27" s="49">
        <v>50.23</v>
      </c>
      <c r="CV27" s="49">
        <v>0.3</v>
      </c>
      <c r="CW27" s="42">
        <v>1040379</v>
      </c>
      <c r="CX27" s="33">
        <v>7.0999999999999994E-2</v>
      </c>
      <c r="CY27" s="25">
        <v>0.03</v>
      </c>
      <c r="CZ27" s="34">
        <v>1.9</v>
      </c>
      <c r="DA27" s="35">
        <v>19</v>
      </c>
      <c r="DB27" s="25">
        <v>34.78</v>
      </c>
      <c r="DC27" s="34">
        <v>54.3</v>
      </c>
      <c r="DD27" s="42"/>
      <c r="DE27" s="49"/>
      <c r="DF27" s="49"/>
      <c r="DG27" s="49"/>
      <c r="DH27" s="49"/>
      <c r="DI27" s="49"/>
      <c r="DJ27" s="49"/>
      <c r="DK27" s="49"/>
      <c r="DL27" s="56"/>
      <c r="DM27" s="24"/>
      <c r="DN27" s="33"/>
      <c r="DO27" s="25"/>
      <c r="DP27" s="25"/>
      <c r="DQ27" s="25"/>
      <c r="DR27" s="25"/>
      <c r="DS27" s="25"/>
      <c r="DT27" s="25"/>
      <c r="DU27" s="57"/>
      <c r="DV27" s="49"/>
      <c r="DW27" s="49"/>
      <c r="DX27" s="49"/>
      <c r="DY27" s="49"/>
      <c r="DZ27" s="49"/>
      <c r="EA27" s="49"/>
      <c r="EB27" s="49"/>
      <c r="EC27" s="49"/>
      <c r="ED27" s="56"/>
      <c r="EE27" s="42"/>
      <c r="EF27" s="49"/>
      <c r="EG27" s="49"/>
      <c r="EH27" s="49"/>
      <c r="EI27" s="49"/>
      <c r="EJ27" s="49"/>
      <c r="EK27" s="49"/>
      <c r="EL27" s="49"/>
      <c r="EM27" s="58"/>
      <c r="EN27" s="39"/>
      <c r="EO27" s="40">
        <f t="shared" si="3"/>
        <v>46164</v>
      </c>
      <c r="EP27" s="40">
        <v>46163</v>
      </c>
      <c r="EQ27" s="40">
        <v>46163</v>
      </c>
      <c r="ER27" s="40" t="s">
        <v>122</v>
      </c>
      <c r="ES27" s="40"/>
      <c r="ET27" s="40">
        <v>45930</v>
      </c>
      <c r="EU27" s="40">
        <v>46150</v>
      </c>
      <c r="EV27" s="40" t="s">
        <v>105</v>
      </c>
      <c r="EW27" s="40"/>
      <c r="EX27" s="40">
        <v>45992</v>
      </c>
      <c r="EY27" s="40">
        <v>46162</v>
      </c>
      <c r="EZ27" s="40" t="s">
        <v>116</v>
      </c>
      <c r="FA27" s="40"/>
      <c r="FB27" s="40">
        <v>45688</v>
      </c>
      <c r="FC27" s="40">
        <v>46139</v>
      </c>
      <c r="FD27" s="40"/>
      <c r="FE27" s="40">
        <v>46038</v>
      </c>
      <c r="FF27" s="40">
        <v>46163</v>
      </c>
      <c r="FG27" s="40" t="s">
        <v>120</v>
      </c>
      <c r="FH27" s="40">
        <v>46055</v>
      </c>
      <c r="FI27" s="40">
        <v>46129</v>
      </c>
      <c r="FJ27" s="40"/>
      <c r="FK27" s="40">
        <v>46150</v>
      </c>
      <c r="FL27" s="40">
        <v>46162</v>
      </c>
      <c r="FM27" s="40"/>
      <c r="FN27" s="40"/>
      <c r="FO27" s="40"/>
      <c r="FP27" s="40" t="s">
        <v>80</v>
      </c>
      <c r="FQ27" s="40"/>
      <c r="FR27" s="40"/>
      <c r="FS27" s="40" t="s">
        <v>80</v>
      </c>
      <c r="FT27" s="40">
        <v>46158</v>
      </c>
      <c r="FU27" s="40">
        <v>46161</v>
      </c>
      <c r="FV27" s="40"/>
      <c r="FW27" s="40">
        <v>46155</v>
      </c>
      <c r="FX27" s="40">
        <v>46158</v>
      </c>
      <c r="FY27" s="40" t="s">
        <v>123</v>
      </c>
      <c r="FZ27" s="40">
        <v>46153</v>
      </c>
      <c r="GA27" s="40">
        <v>46163</v>
      </c>
      <c r="GB27" s="40"/>
      <c r="GC27" s="40">
        <v>46023</v>
      </c>
      <c r="GD27" s="40">
        <v>46162</v>
      </c>
      <c r="GE27" s="40" t="s">
        <v>72</v>
      </c>
      <c r="GF27" s="40">
        <v>46130</v>
      </c>
      <c r="GG27" s="40">
        <v>46159</v>
      </c>
      <c r="GH27" s="40"/>
      <c r="GI27" s="40"/>
      <c r="GJ27" s="40"/>
      <c r="GK27" s="40" t="s">
        <v>80</v>
      </c>
      <c r="GL27" s="40"/>
      <c r="GM27" s="40"/>
      <c r="GN27" s="40" t="s">
        <v>80</v>
      </c>
      <c r="GO27" s="40"/>
      <c r="GP27" s="40"/>
      <c r="GQ27" s="40" t="s">
        <v>80</v>
      </c>
      <c r="GR27" s="40"/>
      <c r="GS27" s="40"/>
      <c r="GT27" s="3" t="s">
        <v>80</v>
      </c>
    </row>
    <row r="28" spans="2:202" x14ac:dyDescent="0.35">
      <c r="B28" s="41">
        <f t="shared" si="4"/>
        <v>46165</v>
      </c>
      <c r="C28" s="24">
        <v>475400</v>
      </c>
      <c r="D28" s="49">
        <v>5.7788632668981226</v>
      </c>
      <c r="E28" s="49">
        <v>0.33443491709808731</v>
      </c>
      <c r="F28" s="49">
        <v>1.7383944969746756</v>
      </c>
      <c r="G28" s="25">
        <v>51.722322872875729</v>
      </c>
      <c r="H28" s="25">
        <v>2.2154677162566729</v>
      </c>
      <c r="I28" s="25">
        <v>2.0645271301701666</v>
      </c>
      <c r="J28" s="25">
        <f t="shared" si="0"/>
        <v>6.4954625626835121</v>
      </c>
      <c r="K28" s="42">
        <v>2593880</v>
      </c>
      <c r="L28" s="25">
        <v>4.9800000000000004</v>
      </c>
      <c r="M28" s="25">
        <v>0.24573296064563424</v>
      </c>
      <c r="N28" s="25">
        <v>1.4165194906326222</v>
      </c>
      <c r="O28" s="25">
        <v>52.845729663118085</v>
      </c>
      <c r="P28" s="25">
        <v>2.0308134984986963</v>
      </c>
      <c r="Q28" s="25">
        <v>2.3830349561142428</v>
      </c>
      <c r="R28" s="25">
        <f t="shared" si="1"/>
        <v>6.4446619531116358</v>
      </c>
      <c r="S28" s="26">
        <v>2087377</v>
      </c>
      <c r="T28" s="25">
        <v>5.55</v>
      </c>
      <c r="U28" s="25">
        <v>0.28999999999999998</v>
      </c>
      <c r="V28" s="25">
        <v>1.57</v>
      </c>
      <c r="W28" s="27">
        <v>50.98</v>
      </c>
      <c r="X28" s="25">
        <v>2.67</v>
      </c>
      <c r="Y28" s="25">
        <v>2.33</v>
      </c>
      <c r="Z28" s="25">
        <f t="shared" si="2"/>
        <v>7.67</v>
      </c>
      <c r="AA28" s="24">
        <v>476862</v>
      </c>
      <c r="AB28" s="25">
        <v>85.87</v>
      </c>
      <c r="AC28" s="25">
        <v>0.25</v>
      </c>
      <c r="AD28" s="24">
        <v>525607</v>
      </c>
      <c r="AE28" s="33">
        <v>7.8805044486218417E-2</v>
      </c>
      <c r="AF28" s="25">
        <v>3.1503259255694624E-2</v>
      </c>
      <c r="AG28" s="34">
        <v>1.9696079026608386</v>
      </c>
      <c r="AH28" s="35">
        <v>20</v>
      </c>
      <c r="AI28" s="25">
        <v>35.9</v>
      </c>
      <c r="AJ28" s="25"/>
      <c r="AK28" s="34">
        <v>53.9</v>
      </c>
      <c r="AL28" s="24">
        <v>554452</v>
      </c>
      <c r="AM28" s="33">
        <v>9.4E-2</v>
      </c>
      <c r="AN28" s="25">
        <v>0.04</v>
      </c>
      <c r="AO28" s="34">
        <v>2</v>
      </c>
      <c r="AP28" s="35">
        <v>20</v>
      </c>
      <c r="AQ28" s="25">
        <v>38.520000000000003</v>
      </c>
      <c r="AR28" s="25"/>
      <c r="AS28" s="25">
        <v>53.4</v>
      </c>
      <c r="AT28" s="42">
        <v>219111</v>
      </c>
      <c r="AU28" s="25">
        <v>84.87</v>
      </c>
      <c r="AV28" s="25">
        <v>0.25</v>
      </c>
      <c r="AW28" s="34"/>
      <c r="AX28" s="35"/>
      <c r="AY28" s="25"/>
      <c r="AZ28" s="25"/>
      <c r="BA28" s="34"/>
      <c r="BB28" s="24"/>
      <c r="BC28" s="48"/>
      <c r="BD28" s="49"/>
      <c r="BE28" s="49"/>
      <c r="BF28" s="49"/>
      <c r="BG28" s="49"/>
      <c r="BH28" s="49"/>
      <c r="BI28" s="49"/>
      <c r="BJ28" s="24"/>
      <c r="BK28" s="33"/>
      <c r="BL28" s="25"/>
      <c r="BM28" s="25"/>
      <c r="BN28" s="25"/>
      <c r="BO28" s="25"/>
      <c r="BP28" s="25"/>
      <c r="BQ28" s="25"/>
      <c r="BR28" s="42">
        <v>547045</v>
      </c>
      <c r="BS28" s="33">
        <v>5.1999999999999998E-2</v>
      </c>
      <c r="BT28" s="25">
        <v>0.05</v>
      </c>
      <c r="BU28" s="34">
        <v>2.1</v>
      </c>
      <c r="BV28" s="35">
        <v>21</v>
      </c>
      <c r="BW28" s="25">
        <v>57.43</v>
      </c>
      <c r="BX28" s="25">
        <v>0.3</v>
      </c>
      <c r="BY28" s="25">
        <v>8.6</v>
      </c>
      <c r="BZ28" s="42">
        <v>164507</v>
      </c>
      <c r="CA28" s="48">
        <v>5.7000000000000002E-2</v>
      </c>
      <c r="CB28" s="49">
        <v>0.06</v>
      </c>
      <c r="CC28" s="50">
        <v>2.1</v>
      </c>
      <c r="CD28" s="51">
        <v>21</v>
      </c>
      <c r="CE28" s="49">
        <v>58.11</v>
      </c>
      <c r="CF28" s="49">
        <v>0.45</v>
      </c>
      <c r="CG28" s="49">
        <v>7.8</v>
      </c>
      <c r="CH28" s="42">
        <v>505315</v>
      </c>
      <c r="CI28" s="48">
        <v>4.9948431176592811E-2</v>
      </c>
      <c r="CJ28" s="49">
        <v>4.5994023529877408E-2</v>
      </c>
      <c r="CK28" s="50">
        <v>2.1200298823506127</v>
      </c>
      <c r="CL28" s="51">
        <v>21</v>
      </c>
      <c r="CM28" s="49">
        <v>57.02</v>
      </c>
      <c r="CN28" s="49">
        <v>0.3</v>
      </c>
      <c r="CO28" s="50">
        <v>9</v>
      </c>
      <c r="CP28" s="42">
        <v>121713</v>
      </c>
      <c r="CQ28" s="48">
        <v>5.2999999999999999E-2</v>
      </c>
      <c r="CR28" s="49">
        <v>0.04</v>
      </c>
      <c r="CS28" s="50">
        <v>2.1</v>
      </c>
      <c r="CT28" s="51">
        <v>21</v>
      </c>
      <c r="CU28" s="49">
        <v>50.23</v>
      </c>
      <c r="CV28" s="49">
        <v>0.3</v>
      </c>
      <c r="CW28" s="42">
        <v>1084861</v>
      </c>
      <c r="CX28" s="33">
        <v>6.9817761599565903E-2</v>
      </c>
      <c r="CY28" s="25">
        <v>3.0410024878763271E-2</v>
      </c>
      <c r="CZ28" s="34">
        <v>1.8924828772226732</v>
      </c>
      <c r="DA28" s="35">
        <v>19</v>
      </c>
      <c r="DB28" s="25">
        <v>34.69</v>
      </c>
      <c r="DC28" s="34">
        <v>54.3</v>
      </c>
      <c r="DD28" s="42"/>
      <c r="DE28" s="49"/>
      <c r="DF28" s="49"/>
      <c r="DG28" s="49"/>
      <c r="DH28" s="49"/>
      <c r="DI28" s="49"/>
      <c r="DJ28" s="49"/>
      <c r="DK28" s="49"/>
      <c r="DL28" s="56"/>
      <c r="DM28" s="24"/>
      <c r="DN28" s="33"/>
      <c r="DO28" s="25"/>
      <c r="DP28" s="25"/>
      <c r="DQ28" s="25"/>
      <c r="DR28" s="25"/>
      <c r="DS28" s="25"/>
      <c r="DT28" s="25"/>
      <c r="DU28" s="57"/>
      <c r="DV28" s="49"/>
      <c r="DW28" s="49"/>
      <c r="DX28" s="49"/>
      <c r="DY28" s="49"/>
      <c r="DZ28" s="49"/>
      <c r="EA28" s="49"/>
      <c r="EB28" s="49"/>
      <c r="EC28" s="49"/>
      <c r="ED28" s="56"/>
      <c r="EE28" s="42"/>
      <c r="EF28" s="49"/>
      <c r="EG28" s="49"/>
      <c r="EH28" s="49"/>
      <c r="EI28" s="49"/>
      <c r="EJ28" s="49"/>
      <c r="EK28" s="49"/>
      <c r="EL28" s="49"/>
      <c r="EM28" s="58"/>
      <c r="EN28" s="39"/>
      <c r="EO28" s="40">
        <f t="shared" si="3"/>
        <v>46165</v>
      </c>
      <c r="EP28" s="40">
        <v>46163</v>
      </c>
      <c r="EQ28" s="40">
        <v>46164</v>
      </c>
      <c r="ER28" s="40" t="s">
        <v>122</v>
      </c>
      <c r="ES28" s="40"/>
      <c r="ET28" s="40">
        <v>45930</v>
      </c>
      <c r="EU28" s="40">
        <v>46150</v>
      </c>
      <c r="EV28" s="40" t="s">
        <v>105</v>
      </c>
      <c r="EW28" s="40"/>
      <c r="EX28" s="40">
        <v>45992</v>
      </c>
      <c r="EY28" s="40">
        <v>46162</v>
      </c>
      <c r="EZ28" s="40" t="s">
        <v>116</v>
      </c>
      <c r="FA28" s="40"/>
      <c r="FB28" s="40">
        <v>45688</v>
      </c>
      <c r="FC28" s="40">
        <v>46139</v>
      </c>
      <c r="FD28" s="40"/>
      <c r="FE28" s="40">
        <v>46038</v>
      </c>
      <c r="FF28" s="40">
        <v>46164</v>
      </c>
      <c r="FG28" s="40"/>
      <c r="FH28" s="40">
        <v>46055</v>
      </c>
      <c r="FI28" s="40">
        <v>46129</v>
      </c>
      <c r="FJ28" s="40"/>
      <c r="FK28" s="40">
        <v>46150</v>
      </c>
      <c r="FL28" s="40">
        <v>46162</v>
      </c>
      <c r="FM28" s="40"/>
      <c r="FN28" s="40"/>
      <c r="FO28" s="40"/>
      <c r="FP28" s="40" t="s">
        <v>80</v>
      </c>
      <c r="FQ28" s="40"/>
      <c r="FR28" s="40"/>
      <c r="FS28" s="40" t="s">
        <v>80</v>
      </c>
      <c r="FT28" s="40">
        <v>46158</v>
      </c>
      <c r="FU28" s="40">
        <v>46161</v>
      </c>
      <c r="FV28" s="40"/>
      <c r="FW28" s="40">
        <v>46155</v>
      </c>
      <c r="FX28" s="40">
        <v>46158</v>
      </c>
      <c r="FY28" s="40" t="s">
        <v>124</v>
      </c>
      <c r="FZ28" s="40">
        <v>46153</v>
      </c>
      <c r="GA28" s="40">
        <v>46164</v>
      </c>
      <c r="GB28" s="40"/>
      <c r="GC28" s="40">
        <v>46023</v>
      </c>
      <c r="GD28" s="40">
        <v>46162</v>
      </c>
      <c r="GE28" s="40" t="s">
        <v>72</v>
      </c>
      <c r="GF28" s="40">
        <v>46130</v>
      </c>
      <c r="GG28" s="40">
        <v>46164</v>
      </c>
      <c r="GH28" s="40"/>
      <c r="GI28" s="40"/>
      <c r="GJ28" s="40"/>
      <c r="GK28" s="40" t="s">
        <v>80</v>
      </c>
      <c r="GL28" s="40"/>
      <c r="GM28" s="40"/>
      <c r="GN28" s="40" t="s">
        <v>80</v>
      </c>
      <c r="GO28" s="40"/>
      <c r="GP28" s="40"/>
      <c r="GQ28" s="40" t="s">
        <v>80</v>
      </c>
      <c r="GR28" s="40"/>
      <c r="GS28" s="40"/>
      <c r="GT28" s="3" t="s">
        <v>80</v>
      </c>
    </row>
    <row r="29" spans="2:202" x14ac:dyDescent="0.35">
      <c r="B29" s="41">
        <f t="shared" si="4"/>
        <v>46166</v>
      </c>
      <c r="C29" s="24">
        <v>541254</v>
      </c>
      <c r="D29" s="49">
        <v>5.7925736338214131</v>
      </c>
      <c r="E29" s="49">
        <v>0.3378837703195044</v>
      </c>
      <c r="F29" s="49">
        <v>1.7392729256737129</v>
      </c>
      <c r="G29" s="25">
        <v>51.728202309344432</v>
      </c>
      <c r="H29" s="25">
        <v>2.2127831398293356</v>
      </c>
      <c r="I29" s="25">
        <v>2.0596430262339296</v>
      </c>
      <c r="J29" s="25">
        <f t="shared" si="0"/>
        <v>6.4852093058926013</v>
      </c>
      <c r="K29" s="42">
        <v>2593880</v>
      </c>
      <c r="L29" s="25">
        <v>5</v>
      </c>
      <c r="M29" s="25">
        <v>0.24573296064563424</v>
      </c>
      <c r="N29" s="25">
        <v>1.4165194906326222</v>
      </c>
      <c r="O29" s="25">
        <v>52.845729663118085</v>
      </c>
      <c r="P29" s="25">
        <v>2.0308134984986963</v>
      </c>
      <c r="Q29" s="25">
        <v>2.3830349561142428</v>
      </c>
      <c r="R29" s="25">
        <f t="shared" si="1"/>
        <v>6.4446619531116358</v>
      </c>
      <c r="S29" s="26">
        <v>2087377</v>
      </c>
      <c r="T29" s="25">
        <v>5.57</v>
      </c>
      <c r="U29" s="25">
        <v>0.28999999999999998</v>
      </c>
      <c r="V29" s="25">
        <v>1.57</v>
      </c>
      <c r="W29" s="27">
        <v>50.98</v>
      </c>
      <c r="X29" s="25">
        <v>2.67</v>
      </c>
      <c r="Y29" s="25">
        <v>2.33</v>
      </c>
      <c r="Z29" s="25">
        <f t="shared" si="2"/>
        <v>7.67</v>
      </c>
      <c r="AA29" s="24">
        <v>476862</v>
      </c>
      <c r="AB29" s="25">
        <v>85.87</v>
      </c>
      <c r="AC29" s="25">
        <v>0.25</v>
      </c>
      <c r="AD29" s="24">
        <v>478637</v>
      </c>
      <c r="AE29" s="33">
        <v>7.4129870066649312E-2</v>
      </c>
      <c r="AF29" s="25">
        <v>3.2222921952609139E-2</v>
      </c>
      <c r="AG29" s="34">
        <v>1.966328149948287</v>
      </c>
      <c r="AH29" s="35">
        <v>20</v>
      </c>
      <c r="AI29" s="25">
        <v>35.630000000000003</v>
      </c>
      <c r="AJ29" s="25"/>
      <c r="AK29" s="34">
        <v>53.9</v>
      </c>
      <c r="AL29" s="24">
        <v>554452</v>
      </c>
      <c r="AM29" s="33">
        <v>9.5000000000000001E-2</v>
      </c>
      <c r="AN29" s="25">
        <v>0.04</v>
      </c>
      <c r="AO29" s="34">
        <v>2</v>
      </c>
      <c r="AP29" s="35">
        <v>20</v>
      </c>
      <c r="AQ29" s="25">
        <v>38.520000000000003</v>
      </c>
      <c r="AR29" s="25"/>
      <c r="AS29" s="25">
        <v>53.4</v>
      </c>
      <c r="AT29" s="42">
        <v>219111</v>
      </c>
      <c r="AU29" s="25">
        <v>84.87</v>
      </c>
      <c r="AV29" s="25">
        <v>0.25</v>
      </c>
      <c r="AW29" s="34"/>
      <c r="AX29" s="35"/>
      <c r="AY29" s="25"/>
      <c r="AZ29" s="25"/>
      <c r="BA29" s="34"/>
      <c r="BB29" s="24"/>
      <c r="BC29" s="48"/>
      <c r="BD29" s="49"/>
      <c r="BE29" s="49"/>
      <c r="BF29" s="49"/>
      <c r="BG29" s="49"/>
      <c r="BH29" s="49"/>
      <c r="BI29" s="49"/>
      <c r="BJ29" s="24"/>
      <c r="BK29" s="33"/>
      <c r="BL29" s="25"/>
      <c r="BM29" s="25"/>
      <c r="BN29" s="25"/>
      <c r="BO29" s="25"/>
      <c r="BP29" s="25"/>
      <c r="BQ29" s="25"/>
      <c r="BR29" s="42">
        <v>547045</v>
      </c>
      <c r="BS29" s="33">
        <v>5.3999999999999999E-2</v>
      </c>
      <c r="BT29" s="25">
        <v>0.05</v>
      </c>
      <c r="BU29" s="34">
        <v>2.1</v>
      </c>
      <c r="BV29" s="35">
        <v>21</v>
      </c>
      <c r="BW29" s="25">
        <v>57.43</v>
      </c>
      <c r="BX29" s="25">
        <v>0.3</v>
      </c>
      <c r="BY29" s="25">
        <v>8.6</v>
      </c>
      <c r="BZ29" s="42">
        <v>119055</v>
      </c>
      <c r="CA29" s="48">
        <v>5.120686210312464E-2</v>
      </c>
      <c r="CB29" s="49">
        <v>4.6758541949999163E-2</v>
      </c>
      <c r="CC29" s="50">
        <v>2.1827591128125055</v>
      </c>
      <c r="CD29" s="51">
        <v>22</v>
      </c>
      <c r="CE29" s="49">
        <v>57.49</v>
      </c>
      <c r="CF29" s="49">
        <v>0.3</v>
      </c>
      <c r="CG29" s="49">
        <v>8.4</v>
      </c>
      <c r="CH29" s="42">
        <v>526953</v>
      </c>
      <c r="CI29" s="48">
        <v>4.9950548720663887E-2</v>
      </c>
      <c r="CJ29" s="49">
        <v>4.5912143967298792E-2</v>
      </c>
      <c r="CK29" s="50">
        <v>2.1233136541589097</v>
      </c>
      <c r="CL29" s="51">
        <v>21</v>
      </c>
      <c r="CM29" s="49">
        <v>57.04</v>
      </c>
      <c r="CN29" s="49">
        <v>0.3</v>
      </c>
      <c r="CO29" s="50">
        <v>9</v>
      </c>
      <c r="CP29" s="42">
        <v>43247</v>
      </c>
      <c r="CQ29" s="48">
        <v>5.5E-2</v>
      </c>
      <c r="CR29" s="49">
        <v>0.04</v>
      </c>
      <c r="CS29" s="50">
        <v>2.1</v>
      </c>
      <c r="CT29" s="51">
        <v>21</v>
      </c>
      <c r="CU29" s="49">
        <v>50.23</v>
      </c>
      <c r="CV29" s="49">
        <v>0.3</v>
      </c>
      <c r="CW29" s="42">
        <v>1084861</v>
      </c>
      <c r="CX29" s="33">
        <v>7.0999999999999994E-2</v>
      </c>
      <c r="CY29" s="25">
        <v>3.0410024878763271E-2</v>
      </c>
      <c r="CZ29" s="34">
        <v>1.8924828772226732</v>
      </c>
      <c r="DA29" s="35">
        <v>19</v>
      </c>
      <c r="DB29" s="25">
        <v>34.69</v>
      </c>
      <c r="DC29" s="34">
        <v>54.3</v>
      </c>
      <c r="DD29" s="42"/>
      <c r="DE29" s="49"/>
      <c r="DF29" s="49"/>
      <c r="DG29" s="49"/>
      <c r="DH29" s="49"/>
      <c r="DI29" s="49"/>
      <c r="DJ29" s="49"/>
      <c r="DK29" s="49"/>
      <c r="DL29" s="56"/>
      <c r="DM29" s="24"/>
      <c r="DN29" s="33"/>
      <c r="DO29" s="25"/>
      <c r="DP29" s="25"/>
      <c r="DQ29" s="25"/>
      <c r="DR29" s="25"/>
      <c r="DS29" s="25"/>
      <c r="DT29" s="25"/>
      <c r="DU29" s="57"/>
      <c r="DV29" s="49"/>
      <c r="DW29" s="49"/>
      <c r="DX29" s="49"/>
      <c r="DY29" s="49"/>
      <c r="DZ29" s="49"/>
      <c r="EA29" s="49"/>
      <c r="EB29" s="49"/>
      <c r="EC29" s="49"/>
      <c r="ED29" s="56"/>
      <c r="EE29" s="42"/>
      <c r="EF29" s="49"/>
      <c r="EG29" s="49"/>
      <c r="EH29" s="49"/>
      <c r="EI29" s="49"/>
      <c r="EJ29" s="49"/>
      <c r="EK29" s="49"/>
      <c r="EL29" s="49"/>
      <c r="EM29" s="58"/>
      <c r="EN29" s="39"/>
      <c r="EO29" s="40">
        <f t="shared" si="3"/>
        <v>46166</v>
      </c>
      <c r="EP29" s="40">
        <v>46163</v>
      </c>
      <c r="EQ29" s="40">
        <v>46165</v>
      </c>
      <c r="ER29" s="40" t="s">
        <v>122</v>
      </c>
      <c r="ES29" s="40"/>
      <c r="ET29" s="40">
        <v>45930</v>
      </c>
      <c r="EU29" s="40">
        <v>46150</v>
      </c>
      <c r="EV29" s="40" t="s">
        <v>105</v>
      </c>
      <c r="EW29" s="40"/>
      <c r="EX29" s="40">
        <v>45992</v>
      </c>
      <c r="EY29" s="40">
        <v>46162</v>
      </c>
      <c r="EZ29" s="40" t="s">
        <v>116</v>
      </c>
      <c r="FA29" s="40"/>
      <c r="FB29" s="40">
        <v>45688</v>
      </c>
      <c r="FC29" s="40">
        <v>46139</v>
      </c>
      <c r="FD29" s="40"/>
      <c r="FE29" s="40">
        <v>46038</v>
      </c>
      <c r="FF29" s="40">
        <v>46165</v>
      </c>
      <c r="FG29" s="40" t="s">
        <v>120</v>
      </c>
      <c r="FH29" s="40">
        <v>46055</v>
      </c>
      <c r="FI29" s="40">
        <v>46129</v>
      </c>
      <c r="FJ29" s="40"/>
      <c r="FK29" s="40">
        <v>46150</v>
      </c>
      <c r="FL29" s="40">
        <v>46162</v>
      </c>
      <c r="FM29" s="40"/>
      <c r="FN29" s="40"/>
      <c r="FO29" s="40"/>
      <c r="FP29" s="40" t="s">
        <v>80</v>
      </c>
      <c r="FQ29" s="40"/>
      <c r="FR29" s="40"/>
      <c r="FS29" s="40" t="s">
        <v>80</v>
      </c>
      <c r="FT29" s="40">
        <v>46158</v>
      </c>
      <c r="FU29" s="40">
        <v>46161</v>
      </c>
      <c r="FV29" s="40"/>
      <c r="FW29" s="40">
        <v>46155</v>
      </c>
      <c r="FX29" s="40">
        <v>46165</v>
      </c>
      <c r="FY29" s="40" t="s">
        <v>125</v>
      </c>
      <c r="FZ29" s="40">
        <v>46153</v>
      </c>
      <c r="GA29" s="40">
        <v>46165</v>
      </c>
      <c r="GB29" s="40"/>
      <c r="GC29" s="40">
        <v>46023</v>
      </c>
      <c r="GD29" s="40">
        <v>46162</v>
      </c>
      <c r="GE29" s="40" t="s">
        <v>72</v>
      </c>
      <c r="GF29" s="40">
        <v>46130</v>
      </c>
      <c r="GG29" s="40">
        <v>46164</v>
      </c>
      <c r="GH29" s="40"/>
      <c r="GI29" s="40"/>
      <c r="GJ29" s="40"/>
      <c r="GK29" s="40" t="s">
        <v>80</v>
      </c>
      <c r="GL29" s="40"/>
      <c r="GM29" s="40"/>
      <c r="GN29" s="40" t="s">
        <v>80</v>
      </c>
      <c r="GO29" s="40"/>
      <c r="GP29" s="40"/>
      <c r="GQ29" s="40" t="s">
        <v>80</v>
      </c>
      <c r="GR29" s="40"/>
      <c r="GS29" s="40"/>
      <c r="GT29" s="3" t="s">
        <v>80</v>
      </c>
    </row>
    <row r="30" spans="2:202" x14ac:dyDescent="0.35">
      <c r="B30" s="41">
        <f t="shared" si="4"/>
        <v>46167</v>
      </c>
      <c r="C30" s="24">
        <v>541254</v>
      </c>
      <c r="D30" s="49">
        <v>5.8</v>
      </c>
      <c r="E30" s="49">
        <v>0.3378837703195044</v>
      </c>
      <c r="F30" s="49">
        <v>1.7392729256737129</v>
      </c>
      <c r="G30" s="25">
        <v>51.728202309344432</v>
      </c>
      <c r="H30" s="25">
        <v>2.2127831398293356</v>
      </c>
      <c r="I30" s="25">
        <v>2.0596430262339296</v>
      </c>
      <c r="J30" s="25">
        <f t="shared" si="0"/>
        <v>6.4852093058926013</v>
      </c>
      <c r="K30" s="42">
        <v>2593880</v>
      </c>
      <c r="L30" s="25">
        <v>5.04</v>
      </c>
      <c r="M30" s="25">
        <v>0.24573296064563424</v>
      </c>
      <c r="N30" s="25">
        <v>1.4165194906326222</v>
      </c>
      <c r="O30" s="25">
        <v>52.845729663118085</v>
      </c>
      <c r="P30" s="25">
        <v>2.0308134984986963</v>
      </c>
      <c r="Q30" s="25">
        <v>2.3830349561142428</v>
      </c>
      <c r="R30" s="25">
        <f t="shared" si="1"/>
        <v>6.4446619531116358</v>
      </c>
      <c r="S30" s="26">
        <v>2087377</v>
      </c>
      <c r="T30" s="25">
        <v>5.59</v>
      </c>
      <c r="U30" s="25">
        <v>0.28999999999999998</v>
      </c>
      <c r="V30" s="25">
        <v>1.57</v>
      </c>
      <c r="W30" s="27">
        <v>50.98</v>
      </c>
      <c r="X30" s="25">
        <v>2.67</v>
      </c>
      <c r="Y30" s="25">
        <v>2.33</v>
      </c>
      <c r="Z30" s="25">
        <f t="shared" si="2"/>
        <v>7.67</v>
      </c>
      <c r="AA30" s="24">
        <v>476862</v>
      </c>
      <c r="AB30" s="25">
        <v>85.87</v>
      </c>
      <c r="AC30" s="25">
        <v>0.25</v>
      </c>
      <c r="AD30" s="24">
        <v>504204</v>
      </c>
      <c r="AE30" s="33">
        <v>7.2226818547831487E-2</v>
      </c>
      <c r="AF30" s="25">
        <v>3.2515864004710356E-2</v>
      </c>
      <c r="AG30" s="34">
        <v>1.9649931113335044</v>
      </c>
      <c r="AH30" s="35">
        <v>20</v>
      </c>
      <c r="AI30" s="25">
        <v>35.520000000000003</v>
      </c>
      <c r="AJ30" s="25"/>
      <c r="AK30" s="34">
        <v>53.9</v>
      </c>
      <c r="AL30" s="24">
        <v>554452</v>
      </c>
      <c r="AM30" s="33">
        <v>9.7000000000000003E-2</v>
      </c>
      <c r="AN30" s="25">
        <v>0.04</v>
      </c>
      <c r="AO30" s="34">
        <v>2</v>
      </c>
      <c r="AP30" s="35">
        <v>20</v>
      </c>
      <c r="AQ30" s="25">
        <v>38.520000000000003</v>
      </c>
      <c r="AR30" s="25"/>
      <c r="AS30" s="25">
        <v>53.4</v>
      </c>
      <c r="AT30" s="42">
        <v>219111</v>
      </c>
      <c r="AU30" s="25">
        <v>84.87</v>
      </c>
      <c r="AV30" s="25">
        <v>0.25</v>
      </c>
      <c r="AW30" s="34"/>
      <c r="AX30" s="35"/>
      <c r="AY30" s="25"/>
      <c r="AZ30" s="25"/>
      <c r="BA30" s="34"/>
      <c r="BB30" s="24"/>
      <c r="BC30" s="48"/>
      <c r="BD30" s="49"/>
      <c r="BE30" s="49"/>
      <c r="BF30" s="49"/>
      <c r="BG30" s="49"/>
      <c r="BH30" s="49"/>
      <c r="BI30" s="49"/>
      <c r="BJ30" s="24"/>
      <c r="BK30" s="33"/>
      <c r="BL30" s="25"/>
      <c r="BM30" s="25"/>
      <c r="BN30" s="25"/>
      <c r="BO30" s="25"/>
      <c r="BP30" s="25"/>
      <c r="BQ30" s="25"/>
      <c r="BR30" s="42">
        <v>547045</v>
      </c>
      <c r="BS30" s="33">
        <v>5.5E-2</v>
      </c>
      <c r="BT30" s="25">
        <v>0.05</v>
      </c>
      <c r="BU30" s="34">
        <v>2.1</v>
      </c>
      <c r="BV30" s="35">
        <v>21</v>
      </c>
      <c r="BW30" s="25">
        <v>57.43</v>
      </c>
      <c r="BX30" s="25">
        <v>0.3</v>
      </c>
      <c r="BY30" s="25">
        <v>8.6</v>
      </c>
      <c r="BZ30" s="42">
        <v>135583</v>
      </c>
      <c r="CA30" s="48">
        <v>5.1059741764730854E-2</v>
      </c>
      <c r="CB30" s="49">
        <v>4.6422266890813385E-2</v>
      </c>
      <c r="CC30" s="50">
        <v>2.1848608319324168</v>
      </c>
      <c r="CD30" s="51">
        <v>22</v>
      </c>
      <c r="CE30" s="49">
        <v>57.47</v>
      </c>
      <c r="CF30" s="49">
        <v>0.3</v>
      </c>
      <c r="CG30" s="49">
        <v>8.4</v>
      </c>
      <c r="CH30" s="42">
        <v>526953</v>
      </c>
      <c r="CI30" s="48">
        <v>5.1999999999999998E-2</v>
      </c>
      <c r="CJ30" s="49">
        <v>4.5912143967298792E-2</v>
      </c>
      <c r="CK30" s="50">
        <v>2.1233136541589097</v>
      </c>
      <c r="CL30" s="51">
        <v>21</v>
      </c>
      <c r="CM30" s="49">
        <v>57.04</v>
      </c>
      <c r="CN30" s="49">
        <v>0.3</v>
      </c>
      <c r="CO30" s="50">
        <v>9</v>
      </c>
      <c r="CP30" s="42">
        <v>43247</v>
      </c>
      <c r="CQ30" s="48">
        <v>5.7000000000000002E-2</v>
      </c>
      <c r="CR30" s="49">
        <v>0.04</v>
      </c>
      <c r="CS30" s="50">
        <v>2.1</v>
      </c>
      <c r="CT30" s="51">
        <v>21</v>
      </c>
      <c r="CU30" s="49">
        <v>50.23</v>
      </c>
      <c r="CV30" s="49">
        <v>0.3</v>
      </c>
      <c r="CW30" s="42">
        <v>1084861</v>
      </c>
      <c r="CX30" s="33">
        <v>7.2182238400434098E-2</v>
      </c>
      <c r="CY30" s="25">
        <v>3.0410024878763299E-2</v>
      </c>
      <c r="CZ30" s="34">
        <v>1.8924828772226701</v>
      </c>
      <c r="DA30" s="35">
        <v>19</v>
      </c>
      <c r="DB30" s="25">
        <v>34.69</v>
      </c>
      <c r="DC30" s="34">
        <v>54.3</v>
      </c>
      <c r="DD30" s="42"/>
      <c r="DE30" s="49"/>
      <c r="DF30" s="49"/>
      <c r="DG30" s="49"/>
      <c r="DH30" s="49"/>
      <c r="DI30" s="49"/>
      <c r="DJ30" s="49"/>
      <c r="DK30" s="49"/>
      <c r="DL30" s="56"/>
      <c r="DM30" s="24"/>
      <c r="DN30" s="33"/>
      <c r="DO30" s="25"/>
      <c r="DP30" s="25"/>
      <c r="DQ30" s="25"/>
      <c r="DR30" s="25"/>
      <c r="DS30" s="25"/>
      <c r="DT30" s="25"/>
      <c r="DU30" s="57"/>
      <c r="DV30" s="49"/>
      <c r="DW30" s="49"/>
      <c r="DX30" s="49"/>
      <c r="DY30" s="49"/>
      <c r="DZ30" s="49"/>
      <c r="EA30" s="49"/>
      <c r="EB30" s="49"/>
      <c r="EC30" s="49"/>
      <c r="ED30" s="56"/>
      <c r="EE30" s="42"/>
      <c r="EF30" s="49"/>
      <c r="EG30" s="49"/>
      <c r="EH30" s="49"/>
      <c r="EI30" s="49"/>
      <c r="EJ30" s="49"/>
      <c r="EK30" s="49"/>
      <c r="EL30" s="49"/>
      <c r="EM30" s="58"/>
      <c r="EN30" s="39"/>
      <c r="EO30" s="40">
        <f t="shared" si="3"/>
        <v>46167</v>
      </c>
      <c r="EP30" s="40">
        <v>46163</v>
      </c>
      <c r="EQ30" s="40">
        <v>46165</v>
      </c>
      <c r="ER30" s="40" t="s">
        <v>122</v>
      </c>
      <c r="ES30" s="40"/>
      <c r="ET30" s="40">
        <v>45930</v>
      </c>
      <c r="EU30" s="40">
        <v>46150</v>
      </c>
      <c r="EV30" s="40" t="s">
        <v>105</v>
      </c>
      <c r="EW30" s="40"/>
      <c r="EX30" s="40">
        <v>45992</v>
      </c>
      <c r="EY30" s="40">
        <v>46162</v>
      </c>
      <c r="EZ30" s="40" t="s">
        <v>116</v>
      </c>
      <c r="FA30" s="40"/>
      <c r="FB30" s="40">
        <v>45688</v>
      </c>
      <c r="FC30" s="40">
        <v>46139</v>
      </c>
      <c r="FD30" s="40"/>
      <c r="FE30" s="40">
        <v>46038</v>
      </c>
      <c r="FF30" s="40">
        <v>46166</v>
      </c>
      <c r="FG30" s="40"/>
      <c r="FH30" s="40">
        <v>46055</v>
      </c>
      <c r="FI30" s="40">
        <v>46129</v>
      </c>
      <c r="FJ30" s="40"/>
      <c r="FK30" s="40">
        <v>46150</v>
      </c>
      <c r="FL30" s="40">
        <v>46162</v>
      </c>
      <c r="FM30" s="40"/>
      <c r="FN30" s="40"/>
      <c r="FO30" s="40"/>
      <c r="FP30" s="40" t="s">
        <v>80</v>
      </c>
      <c r="FQ30" s="40"/>
      <c r="FR30" s="40"/>
      <c r="FS30" s="40" t="s">
        <v>80</v>
      </c>
      <c r="FT30" s="40">
        <v>46158</v>
      </c>
      <c r="FU30" s="40">
        <v>46161</v>
      </c>
      <c r="FV30" s="40"/>
      <c r="FW30" s="40">
        <v>46155</v>
      </c>
      <c r="FX30" s="40">
        <v>46166</v>
      </c>
      <c r="FY30" s="40"/>
      <c r="FZ30" s="40">
        <v>46153</v>
      </c>
      <c r="GA30" s="40">
        <v>46165</v>
      </c>
      <c r="GB30" s="40"/>
      <c r="GC30" s="40">
        <v>46023</v>
      </c>
      <c r="GD30" s="40">
        <v>46162</v>
      </c>
      <c r="GE30" s="40"/>
      <c r="GF30" s="40">
        <v>46130</v>
      </c>
      <c r="GG30" s="40">
        <v>46164</v>
      </c>
      <c r="GH30" s="40"/>
      <c r="GI30" s="40"/>
      <c r="GJ30" s="40"/>
      <c r="GK30" s="40" t="s">
        <v>80</v>
      </c>
      <c r="GL30" s="40"/>
      <c r="GM30" s="40"/>
      <c r="GN30" s="40" t="s">
        <v>80</v>
      </c>
      <c r="GO30" s="40"/>
      <c r="GP30" s="40"/>
      <c r="GQ30" s="40" t="s">
        <v>80</v>
      </c>
      <c r="GR30" s="40"/>
      <c r="GS30" s="40"/>
      <c r="GT30" s="3" t="s">
        <v>80</v>
      </c>
    </row>
    <row r="31" spans="2:202" x14ac:dyDescent="0.35">
      <c r="B31" s="41">
        <f t="shared" si="4"/>
        <v>46168</v>
      </c>
      <c r="C31" s="24">
        <v>541254</v>
      </c>
      <c r="D31" s="49">
        <v>5.85</v>
      </c>
      <c r="E31" s="49">
        <v>0.3378837703195044</v>
      </c>
      <c r="F31" s="49">
        <v>1.7392729256737129</v>
      </c>
      <c r="G31" s="25">
        <v>51.728202309344432</v>
      </c>
      <c r="H31" s="25">
        <v>2.2127831398293356</v>
      </c>
      <c r="I31" s="25">
        <v>2.0596430262339296</v>
      </c>
      <c r="J31" s="25">
        <f t="shared" si="0"/>
        <v>6.4852093058926013</v>
      </c>
      <c r="K31" s="42">
        <v>2593880</v>
      </c>
      <c r="L31" s="25">
        <v>5.07</v>
      </c>
      <c r="M31" s="25">
        <v>0.24573296064563424</v>
      </c>
      <c r="N31" s="25">
        <v>1.4165194906326222</v>
      </c>
      <c r="O31" s="25">
        <v>52.845729663118085</v>
      </c>
      <c r="P31" s="25">
        <v>2.0308134984986963</v>
      </c>
      <c r="Q31" s="25">
        <v>2.3830349561142428</v>
      </c>
      <c r="R31" s="25">
        <f t="shared" si="1"/>
        <v>6.4446619531116358</v>
      </c>
      <c r="S31" s="26">
        <v>2087377</v>
      </c>
      <c r="T31" s="25">
        <v>5.6</v>
      </c>
      <c r="U31" s="25">
        <v>0.28999999999999998</v>
      </c>
      <c r="V31" s="25">
        <v>1.57</v>
      </c>
      <c r="W31" s="27">
        <v>50.98</v>
      </c>
      <c r="X31" s="25">
        <v>2.67</v>
      </c>
      <c r="Y31" s="25">
        <v>2.33</v>
      </c>
      <c r="Z31" s="25">
        <f t="shared" si="2"/>
        <v>7.67</v>
      </c>
      <c r="AA31" s="24">
        <v>476862</v>
      </c>
      <c r="AB31" s="25">
        <v>85.87</v>
      </c>
      <c r="AC31" s="25">
        <v>0.25</v>
      </c>
      <c r="AD31" s="24">
        <v>504204</v>
      </c>
      <c r="AE31" s="33">
        <v>7.3999999999999996E-2</v>
      </c>
      <c r="AF31" s="25">
        <v>3.2515864004710356E-2</v>
      </c>
      <c r="AG31" s="34">
        <v>1.9649931113335044</v>
      </c>
      <c r="AH31" s="35">
        <v>20</v>
      </c>
      <c r="AI31" s="25">
        <v>35.520000000000003</v>
      </c>
      <c r="AJ31" s="25"/>
      <c r="AK31" s="34">
        <v>53.9</v>
      </c>
      <c r="AL31" s="24">
        <v>554452</v>
      </c>
      <c r="AM31" s="33">
        <v>9.8000000000000004E-2</v>
      </c>
      <c r="AN31" s="25">
        <v>0.04</v>
      </c>
      <c r="AO31" s="34">
        <v>2</v>
      </c>
      <c r="AP31" s="35">
        <v>20</v>
      </c>
      <c r="AQ31" s="25">
        <v>38.520000000000003</v>
      </c>
      <c r="AR31" s="25"/>
      <c r="AS31" s="25">
        <v>53.4</v>
      </c>
      <c r="AT31" s="42">
        <v>219111</v>
      </c>
      <c r="AU31" s="25">
        <v>84.87</v>
      </c>
      <c r="AV31" s="25">
        <v>0.25</v>
      </c>
      <c r="AW31" s="34"/>
      <c r="AX31" s="35"/>
      <c r="AY31" s="25"/>
      <c r="AZ31" s="25"/>
      <c r="BA31" s="34"/>
      <c r="BB31" s="24"/>
      <c r="BC31" s="48"/>
      <c r="BD31" s="49"/>
      <c r="BE31" s="49"/>
      <c r="BF31" s="49"/>
      <c r="BG31" s="49"/>
      <c r="BH31" s="49"/>
      <c r="BI31" s="49"/>
      <c r="BJ31" s="24"/>
      <c r="BK31" s="33"/>
      <c r="BL31" s="25"/>
      <c r="BM31" s="25"/>
      <c r="BN31" s="25"/>
      <c r="BO31" s="25"/>
      <c r="BP31" s="25"/>
      <c r="BQ31" s="25"/>
      <c r="BR31" s="42">
        <v>547045</v>
      </c>
      <c r="BS31" s="33">
        <v>5.6000000000000001E-2</v>
      </c>
      <c r="BT31" s="25">
        <v>0.05</v>
      </c>
      <c r="BU31" s="34">
        <v>2.1</v>
      </c>
      <c r="BV31" s="35">
        <v>21</v>
      </c>
      <c r="BW31" s="25">
        <v>57.43</v>
      </c>
      <c r="BX31" s="25">
        <v>0.3</v>
      </c>
      <c r="BY31" s="25">
        <v>8.6</v>
      </c>
      <c r="BZ31" s="42">
        <v>6073</v>
      </c>
      <c r="CA31" s="48"/>
      <c r="CB31" s="49"/>
      <c r="CC31" s="50"/>
      <c r="CD31" s="51"/>
      <c r="CE31" s="49"/>
      <c r="CF31" s="49"/>
      <c r="CG31" s="49"/>
      <c r="CH31" s="42">
        <v>526953</v>
      </c>
      <c r="CI31" s="48">
        <v>5.2999999999999999E-2</v>
      </c>
      <c r="CJ31" s="49">
        <v>4.5912143967298792E-2</v>
      </c>
      <c r="CK31" s="50">
        <v>2.1233136541589097</v>
      </c>
      <c r="CL31" s="51">
        <v>21</v>
      </c>
      <c r="CM31" s="49">
        <v>57.04</v>
      </c>
      <c r="CN31" s="49">
        <v>0.3</v>
      </c>
      <c r="CO31" s="50">
        <v>9</v>
      </c>
      <c r="CP31" s="42">
        <v>43247</v>
      </c>
      <c r="CQ31" s="48">
        <v>6.0999999999999999E-2</v>
      </c>
      <c r="CR31" s="49">
        <v>0.04</v>
      </c>
      <c r="CS31" s="50">
        <v>2.1</v>
      </c>
      <c r="CT31" s="51">
        <v>21</v>
      </c>
      <c r="CU31" s="49">
        <v>50.23</v>
      </c>
      <c r="CV31" s="49">
        <v>0.3</v>
      </c>
      <c r="CW31" s="42">
        <v>1084861</v>
      </c>
      <c r="CX31" s="33">
        <v>7.3364476800868203E-2</v>
      </c>
      <c r="CY31" s="25">
        <v>3.0410024878763299E-2</v>
      </c>
      <c r="CZ31" s="34">
        <v>1.8924828772226701</v>
      </c>
      <c r="DA31" s="35">
        <v>19</v>
      </c>
      <c r="DB31" s="25">
        <v>34.69</v>
      </c>
      <c r="DC31" s="34">
        <v>54.3</v>
      </c>
      <c r="DD31" s="42"/>
      <c r="DE31" s="49"/>
      <c r="DF31" s="49"/>
      <c r="DG31" s="49"/>
      <c r="DH31" s="49"/>
      <c r="DI31" s="49"/>
      <c r="DJ31" s="49"/>
      <c r="DK31" s="49"/>
      <c r="DL31" s="56"/>
      <c r="DM31" s="24"/>
      <c r="DN31" s="33"/>
      <c r="DO31" s="25"/>
      <c r="DP31" s="25"/>
      <c r="DQ31" s="25"/>
      <c r="DR31" s="25"/>
      <c r="DS31" s="25"/>
      <c r="DT31" s="25"/>
      <c r="DU31" s="57"/>
      <c r="DV31" s="49"/>
      <c r="DW31" s="49"/>
      <c r="DX31" s="49"/>
      <c r="DY31" s="49"/>
      <c r="DZ31" s="49"/>
      <c r="EA31" s="49"/>
      <c r="EB31" s="49"/>
      <c r="EC31" s="49"/>
      <c r="ED31" s="56"/>
      <c r="EE31" s="42"/>
      <c r="EF31" s="49"/>
      <c r="EG31" s="49"/>
      <c r="EH31" s="49"/>
      <c r="EI31" s="49"/>
      <c r="EJ31" s="49"/>
      <c r="EK31" s="49"/>
      <c r="EL31" s="49"/>
      <c r="EM31" s="58"/>
      <c r="EN31" s="39"/>
      <c r="EO31" s="40">
        <f t="shared" si="3"/>
        <v>46168</v>
      </c>
      <c r="EP31" s="40">
        <v>46163</v>
      </c>
      <c r="EQ31" s="40">
        <v>46165</v>
      </c>
      <c r="ER31" s="40" t="s">
        <v>122</v>
      </c>
      <c r="ES31" s="40"/>
      <c r="ET31" s="40">
        <v>45930</v>
      </c>
      <c r="EU31" s="40">
        <v>46150</v>
      </c>
      <c r="EV31" s="40" t="s">
        <v>105</v>
      </c>
      <c r="EW31" s="40"/>
      <c r="EX31" s="40">
        <v>45992</v>
      </c>
      <c r="EY31" s="40">
        <v>46162</v>
      </c>
      <c r="EZ31" s="40" t="s">
        <v>116</v>
      </c>
      <c r="FA31" s="40"/>
      <c r="FB31" s="40">
        <v>45688</v>
      </c>
      <c r="FC31" s="40">
        <v>46139</v>
      </c>
      <c r="FD31" s="40"/>
      <c r="FE31" s="40">
        <v>46038</v>
      </c>
      <c r="FF31" s="40">
        <v>46166</v>
      </c>
      <c r="FG31" s="40"/>
      <c r="FH31" s="40">
        <v>46055</v>
      </c>
      <c r="FI31" s="40">
        <v>46129</v>
      </c>
      <c r="FJ31" s="40"/>
      <c r="FK31" s="40">
        <v>46150</v>
      </c>
      <c r="FL31" s="40">
        <v>46162</v>
      </c>
      <c r="FM31" s="40"/>
      <c r="FN31" s="40"/>
      <c r="FO31" s="40"/>
      <c r="FP31" s="40" t="s">
        <v>80</v>
      </c>
      <c r="FQ31" s="40"/>
      <c r="FR31" s="40"/>
      <c r="FS31" s="40" t="s">
        <v>80</v>
      </c>
      <c r="FT31" s="40">
        <v>46158</v>
      </c>
      <c r="FU31" s="40">
        <v>46161</v>
      </c>
      <c r="FV31" s="40"/>
      <c r="FW31" s="40">
        <v>46155</v>
      </c>
      <c r="FX31" s="40">
        <v>46166</v>
      </c>
      <c r="FY31" s="40" t="s">
        <v>126</v>
      </c>
      <c r="FZ31" s="40">
        <v>46153</v>
      </c>
      <c r="GA31" s="40">
        <v>46165</v>
      </c>
      <c r="GB31" s="40"/>
      <c r="GC31" s="40">
        <v>46023</v>
      </c>
      <c r="GD31" s="40">
        <v>46162</v>
      </c>
      <c r="GE31" s="40" t="s">
        <v>78</v>
      </c>
      <c r="GF31" s="40">
        <v>46130</v>
      </c>
      <c r="GG31" s="40">
        <v>46164</v>
      </c>
      <c r="GH31" s="40"/>
      <c r="GI31" s="40"/>
      <c r="GJ31" s="40"/>
      <c r="GK31" s="40" t="s">
        <v>80</v>
      </c>
      <c r="GL31" s="40"/>
      <c r="GM31" s="40"/>
      <c r="GN31" s="40" t="s">
        <v>80</v>
      </c>
      <c r="GO31" s="40"/>
      <c r="GP31" s="40"/>
      <c r="GQ31" s="40" t="s">
        <v>80</v>
      </c>
      <c r="GR31" s="40"/>
      <c r="GS31" s="40"/>
      <c r="GT31" s="3" t="s">
        <v>80</v>
      </c>
    </row>
    <row r="32" spans="2:202" x14ac:dyDescent="0.35">
      <c r="B32" s="41">
        <f t="shared" si="4"/>
        <v>46169</v>
      </c>
      <c r="C32" s="24">
        <v>541254</v>
      </c>
      <c r="D32" s="49">
        <v>5.87</v>
      </c>
      <c r="E32" s="49">
        <v>0.3378837703195044</v>
      </c>
      <c r="F32" s="49">
        <v>1.7392729256737129</v>
      </c>
      <c r="G32" s="25">
        <v>51.728202309344432</v>
      </c>
      <c r="H32" s="25">
        <v>2.2127831398293356</v>
      </c>
      <c r="I32" s="25">
        <v>2.0596430262339296</v>
      </c>
      <c r="J32" s="25">
        <f t="shared" si="0"/>
        <v>6.4852093058926013</v>
      </c>
      <c r="K32" s="42">
        <v>2593880</v>
      </c>
      <c r="L32" s="25">
        <v>5.0999999999999996</v>
      </c>
      <c r="M32" s="25">
        <v>0.24573296064563424</v>
      </c>
      <c r="N32" s="25">
        <v>1.4165194906326222</v>
      </c>
      <c r="O32" s="25">
        <v>52.845729663118085</v>
      </c>
      <c r="P32" s="25">
        <v>2.0308134984986963</v>
      </c>
      <c r="Q32" s="25">
        <v>2.3830349561142428</v>
      </c>
      <c r="R32" s="25">
        <f t="shared" si="1"/>
        <v>6.4446619531116358</v>
      </c>
      <c r="S32" s="26">
        <v>2087377</v>
      </c>
      <c r="T32" s="25">
        <v>5.61</v>
      </c>
      <c r="U32" s="25">
        <v>0.28999999999999998</v>
      </c>
      <c r="V32" s="25">
        <v>1.57</v>
      </c>
      <c r="W32" s="27">
        <v>50.98</v>
      </c>
      <c r="X32" s="25">
        <v>2.67</v>
      </c>
      <c r="Y32" s="25">
        <v>2.33</v>
      </c>
      <c r="Z32" s="25">
        <f t="shared" si="2"/>
        <v>7.67</v>
      </c>
      <c r="AA32" s="24">
        <v>476862</v>
      </c>
      <c r="AB32" s="25">
        <v>85.87</v>
      </c>
      <c r="AC32" s="25">
        <v>0.25</v>
      </c>
      <c r="AD32" s="24">
        <v>504204</v>
      </c>
      <c r="AE32" s="33">
        <v>7.5773181452168506E-2</v>
      </c>
      <c r="AF32" s="25">
        <v>3.2515864004710397E-2</v>
      </c>
      <c r="AG32" s="34">
        <v>1.9649931113335</v>
      </c>
      <c r="AH32" s="35">
        <v>20</v>
      </c>
      <c r="AI32" s="25">
        <v>35.520000000000003</v>
      </c>
      <c r="AJ32" s="25"/>
      <c r="AK32" s="34">
        <v>53.9</v>
      </c>
      <c r="AL32" s="24">
        <v>554452</v>
      </c>
      <c r="AM32" s="33">
        <v>9.9000000000000005E-2</v>
      </c>
      <c r="AN32" s="25">
        <v>0.04</v>
      </c>
      <c r="AO32" s="34">
        <v>2</v>
      </c>
      <c r="AP32" s="35">
        <v>20</v>
      </c>
      <c r="AQ32" s="25">
        <v>38.520000000000003</v>
      </c>
      <c r="AR32" s="25"/>
      <c r="AS32" s="25">
        <v>53.4</v>
      </c>
      <c r="AT32" s="42">
        <v>219111</v>
      </c>
      <c r="AU32" s="25">
        <v>84.87</v>
      </c>
      <c r="AV32" s="25">
        <v>0.25</v>
      </c>
      <c r="AW32" s="34"/>
      <c r="AX32" s="35"/>
      <c r="AY32" s="25"/>
      <c r="AZ32" s="25"/>
      <c r="BA32" s="34"/>
      <c r="BB32" s="24"/>
      <c r="BC32" s="48"/>
      <c r="BD32" s="49"/>
      <c r="BE32" s="49"/>
      <c r="BF32" s="49"/>
      <c r="BG32" s="49"/>
      <c r="BH32" s="49"/>
      <c r="BI32" s="49"/>
      <c r="BJ32" s="24"/>
      <c r="BK32" s="33"/>
      <c r="BL32" s="25"/>
      <c r="BM32" s="25"/>
      <c r="BN32" s="25"/>
      <c r="BO32" s="25"/>
      <c r="BP32" s="25"/>
      <c r="BQ32" s="25"/>
      <c r="BR32" s="42">
        <v>524548</v>
      </c>
      <c r="BS32" s="33">
        <v>5.8000000000000003E-2</v>
      </c>
      <c r="BT32" s="25">
        <v>0.05</v>
      </c>
      <c r="BU32" s="34">
        <v>2.1</v>
      </c>
      <c r="BV32" s="35">
        <v>21</v>
      </c>
      <c r="BW32" s="25">
        <v>57.43</v>
      </c>
      <c r="BX32" s="25">
        <v>0.3</v>
      </c>
      <c r="BY32" s="25">
        <v>8.6</v>
      </c>
      <c r="BZ32" s="42"/>
      <c r="CA32" s="48"/>
      <c r="CB32" s="49"/>
      <c r="CC32" s="50"/>
      <c r="CD32" s="51"/>
      <c r="CE32" s="49"/>
      <c r="CF32" s="49"/>
      <c r="CG32" s="49"/>
      <c r="CH32" s="42">
        <v>526953</v>
      </c>
      <c r="CI32" s="48">
        <v>5.5E-2</v>
      </c>
      <c r="CJ32" s="49">
        <v>4.5912143967298799E-2</v>
      </c>
      <c r="CK32" s="50">
        <v>2.1233136541589102</v>
      </c>
      <c r="CL32" s="51">
        <v>21</v>
      </c>
      <c r="CM32" s="49">
        <v>57.04</v>
      </c>
      <c r="CN32" s="49">
        <v>0.3</v>
      </c>
      <c r="CO32" s="50">
        <v>9</v>
      </c>
      <c r="CP32" s="42">
        <v>43247</v>
      </c>
      <c r="CQ32" s="48">
        <v>6.5000000000000002E-2</v>
      </c>
      <c r="CR32" s="49">
        <v>0.04</v>
      </c>
      <c r="CS32" s="50">
        <v>2.1</v>
      </c>
      <c r="CT32" s="51">
        <v>21</v>
      </c>
      <c r="CU32" s="49">
        <v>50.23</v>
      </c>
      <c r="CV32" s="49">
        <v>0.3</v>
      </c>
      <c r="CW32" s="42">
        <v>1084861</v>
      </c>
      <c r="CX32" s="33">
        <v>7.4546715201302294E-2</v>
      </c>
      <c r="CY32" s="25">
        <v>3.0410024878763299E-2</v>
      </c>
      <c r="CZ32" s="34">
        <v>1.8924828772226701</v>
      </c>
      <c r="DA32" s="35">
        <v>19</v>
      </c>
      <c r="DB32" s="25">
        <v>34.69</v>
      </c>
      <c r="DC32" s="34">
        <v>54.3</v>
      </c>
      <c r="DD32" s="42"/>
      <c r="DE32" s="49"/>
      <c r="DF32" s="49"/>
      <c r="DG32" s="49"/>
      <c r="DH32" s="49"/>
      <c r="DI32" s="49"/>
      <c r="DJ32" s="49"/>
      <c r="DK32" s="49"/>
      <c r="DL32" s="56"/>
      <c r="DM32" s="24"/>
      <c r="DN32" s="33"/>
      <c r="DO32" s="25"/>
      <c r="DP32" s="25"/>
      <c r="DQ32" s="25"/>
      <c r="DR32" s="25"/>
      <c r="DS32" s="25"/>
      <c r="DT32" s="25"/>
      <c r="DU32" s="57"/>
      <c r="DV32" s="49"/>
      <c r="DW32" s="49"/>
      <c r="DX32" s="49"/>
      <c r="DY32" s="49"/>
      <c r="DZ32" s="49"/>
      <c r="EA32" s="49"/>
      <c r="EB32" s="49"/>
      <c r="EC32" s="49"/>
      <c r="ED32" s="56"/>
      <c r="EE32" s="42"/>
      <c r="EF32" s="49"/>
      <c r="EG32" s="49"/>
      <c r="EH32" s="49"/>
      <c r="EI32" s="49"/>
      <c r="EJ32" s="49"/>
      <c r="EK32" s="49"/>
      <c r="EL32" s="49"/>
      <c r="EM32" s="58"/>
      <c r="EN32" s="39"/>
      <c r="EO32" s="40">
        <f t="shared" si="3"/>
        <v>46169</v>
      </c>
      <c r="EP32" s="40">
        <v>46163</v>
      </c>
      <c r="EQ32" s="40">
        <v>46165</v>
      </c>
      <c r="ER32" s="40" t="s">
        <v>122</v>
      </c>
      <c r="ES32" s="40"/>
      <c r="ET32" s="40">
        <v>45930</v>
      </c>
      <c r="EU32" s="40">
        <v>46150</v>
      </c>
      <c r="EV32" s="40" t="s">
        <v>105</v>
      </c>
      <c r="EW32" s="40"/>
      <c r="EX32" s="40">
        <v>45992</v>
      </c>
      <c r="EY32" s="40">
        <v>46162</v>
      </c>
      <c r="EZ32" s="40" t="s">
        <v>116</v>
      </c>
      <c r="FA32" s="40"/>
      <c r="FB32" s="40">
        <v>45688</v>
      </c>
      <c r="FC32" s="40">
        <v>46139</v>
      </c>
      <c r="FD32" s="40"/>
      <c r="FE32" s="40">
        <v>46038</v>
      </c>
      <c r="FF32" s="40">
        <v>46166</v>
      </c>
      <c r="FG32" s="40"/>
      <c r="FH32" s="40">
        <v>46055</v>
      </c>
      <c r="FI32" s="40">
        <v>46129</v>
      </c>
      <c r="FJ32" s="40"/>
      <c r="FK32" s="40">
        <v>46150</v>
      </c>
      <c r="FL32" s="40">
        <v>46162</v>
      </c>
      <c r="FM32" s="40"/>
      <c r="FN32" s="40"/>
      <c r="FO32" s="40"/>
      <c r="FP32" s="40" t="s">
        <v>80</v>
      </c>
      <c r="FQ32" s="40"/>
      <c r="FR32" s="40"/>
      <c r="FS32" s="40" t="s">
        <v>80</v>
      </c>
      <c r="FT32" s="40">
        <v>46158</v>
      </c>
      <c r="FU32" s="40">
        <v>46161</v>
      </c>
      <c r="FV32" s="40" t="s">
        <v>127</v>
      </c>
      <c r="FW32" s="40">
        <v>46155</v>
      </c>
      <c r="FX32" s="40">
        <v>46166</v>
      </c>
      <c r="FY32" s="40" t="s">
        <v>127</v>
      </c>
      <c r="FZ32" s="40">
        <v>46153</v>
      </c>
      <c r="GA32" s="40">
        <v>46165</v>
      </c>
      <c r="GB32" s="40"/>
      <c r="GC32" s="40">
        <v>46023</v>
      </c>
      <c r="GD32" s="40">
        <v>46162</v>
      </c>
      <c r="GE32" s="40" t="s">
        <v>78</v>
      </c>
      <c r="GF32" s="40">
        <v>46130</v>
      </c>
      <c r="GG32" s="40">
        <v>46164</v>
      </c>
      <c r="GH32" s="40"/>
      <c r="GI32" s="40"/>
      <c r="GJ32" s="40"/>
      <c r="GK32" s="40" t="s">
        <v>80</v>
      </c>
      <c r="GL32" s="40"/>
      <c r="GM32" s="40"/>
      <c r="GN32" s="40" t="s">
        <v>80</v>
      </c>
      <c r="GO32" s="40"/>
      <c r="GP32" s="40"/>
      <c r="GQ32" s="40" t="s">
        <v>80</v>
      </c>
      <c r="GR32" s="40"/>
      <c r="GS32" s="40"/>
      <c r="GT32" s="3" t="s">
        <v>80</v>
      </c>
    </row>
    <row r="33" spans="1:202" x14ac:dyDescent="0.35">
      <c r="B33" s="41">
        <f t="shared" si="4"/>
        <v>46170</v>
      </c>
      <c r="C33" s="24">
        <v>541254</v>
      </c>
      <c r="D33" s="49">
        <v>5.88</v>
      </c>
      <c r="E33" s="49">
        <v>0.3378837703195044</v>
      </c>
      <c r="F33" s="49">
        <v>1.7392729256737129</v>
      </c>
      <c r="G33" s="25">
        <v>51.728202309344432</v>
      </c>
      <c r="H33" s="25">
        <v>2.2127831398293356</v>
      </c>
      <c r="I33" s="25">
        <v>2.0596430262339296</v>
      </c>
      <c r="J33" s="25">
        <f t="shared" si="0"/>
        <v>6.4852093058926013</v>
      </c>
      <c r="K33" s="42">
        <v>2593880</v>
      </c>
      <c r="L33" s="25">
        <v>5.12</v>
      </c>
      <c r="M33" s="25">
        <v>0.24573296064563424</v>
      </c>
      <c r="N33" s="25">
        <v>1.4165194906326222</v>
      </c>
      <c r="O33" s="25">
        <v>52.845729663118085</v>
      </c>
      <c r="P33" s="25">
        <v>2.0308134984986963</v>
      </c>
      <c r="Q33" s="25">
        <v>2.3830349561142428</v>
      </c>
      <c r="R33" s="25">
        <f t="shared" si="1"/>
        <v>6.4446619531116358</v>
      </c>
      <c r="S33" s="26">
        <v>2087377</v>
      </c>
      <c r="T33" s="25">
        <v>5.63</v>
      </c>
      <c r="U33" s="25">
        <v>0.28999999999999998</v>
      </c>
      <c r="V33" s="25">
        <v>1.57</v>
      </c>
      <c r="W33" s="27">
        <v>50.98</v>
      </c>
      <c r="X33" s="25">
        <v>2.67</v>
      </c>
      <c r="Y33" s="25">
        <v>2.33</v>
      </c>
      <c r="Z33" s="25">
        <f t="shared" si="2"/>
        <v>7.67</v>
      </c>
      <c r="AA33" s="24">
        <v>476862</v>
      </c>
      <c r="AB33" s="25">
        <v>85.87</v>
      </c>
      <c r="AC33" s="25">
        <v>0.25</v>
      </c>
      <c r="AD33" s="24">
        <v>504204</v>
      </c>
      <c r="AE33" s="33">
        <v>7.7546362904337002E-2</v>
      </c>
      <c r="AF33" s="25">
        <v>3.2515864004710397E-2</v>
      </c>
      <c r="AG33" s="34">
        <v>1.9649931113335</v>
      </c>
      <c r="AH33" s="35">
        <v>20</v>
      </c>
      <c r="AI33" s="25">
        <v>35.520000000000003</v>
      </c>
      <c r="AJ33" s="25"/>
      <c r="AK33" s="34">
        <v>53.9</v>
      </c>
      <c r="AL33" s="24">
        <v>554452</v>
      </c>
      <c r="AM33" s="33">
        <v>0.1</v>
      </c>
      <c r="AN33" s="25">
        <v>0.04</v>
      </c>
      <c r="AO33" s="34">
        <v>2</v>
      </c>
      <c r="AP33" s="35">
        <v>20</v>
      </c>
      <c r="AQ33" s="25">
        <v>38.520000000000003</v>
      </c>
      <c r="AR33" s="25"/>
      <c r="AS33" s="25">
        <v>53.4</v>
      </c>
      <c r="AT33" s="42">
        <v>219111</v>
      </c>
      <c r="AU33" s="25">
        <v>84.87</v>
      </c>
      <c r="AV33" s="25">
        <v>0.25</v>
      </c>
      <c r="AW33" s="34"/>
      <c r="AX33" s="35"/>
      <c r="AY33" s="25"/>
      <c r="AZ33" s="25"/>
      <c r="BA33" s="34"/>
      <c r="BB33" s="24"/>
      <c r="BC33" s="48"/>
      <c r="BD33" s="49"/>
      <c r="BE33" s="49"/>
      <c r="BF33" s="49"/>
      <c r="BG33" s="49"/>
      <c r="BH33" s="49"/>
      <c r="BI33" s="49"/>
      <c r="BJ33" s="24"/>
      <c r="BK33" s="33"/>
      <c r="BL33" s="25"/>
      <c r="BM33" s="25"/>
      <c r="BN33" s="25"/>
      <c r="BO33" s="25"/>
      <c r="BP33" s="25"/>
      <c r="BQ33" s="25"/>
      <c r="BR33" s="42">
        <v>524548</v>
      </c>
      <c r="BS33" s="33">
        <v>6.0999999999999999E-2</v>
      </c>
      <c r="BT33" s="25">
        <v>0.05</v>
      </c>
      <c r="BU33" s="34">
        <v>2.1</v>
      </c>
      <c r="BV33" s="35">
        <v>21</v>
      </c>
      <c r="BW33" s="25">
        <v>57.43</v>
      </c>
      <c r="BX33" s="25">
        <v>0.3</v>
      </c>
      <c r="BY33" s="25">
        <v>8.6</v>
      </c>
      <c r="BZ33" s="42"/>
      <c r="CA33" s="48"/>
      <c r="CB33" s="49"/>
      <c r="CC33" s="50"/>
      <c r="CD33" s="51"/>
      <c r="CE33" s="49"/>
      <c r="CF33" s="49"/>
      <c r="CG33" s="49"/>
      <c r="CH33" s="42">
        <v>526953</v>
      </c>
      <c r="CI33" s="48">
        <v>5.7000000000000002E-2</v>
      </c>
      <c r="CJ33" s="49">
        <v>4.5912143967298799E-2</v>
      </c>
      <c r="CK33" s="50">
        <v>2.1233136541589102</v>
      </c>
      <c r="CL33" s="51">
        <v>21</v>
      </c>
      <c r="CM33" s="49">
        <v>57.04</v>
      </c>
      <c r="CN33" s="49">
        <v>0.3</v>
      </c>
      <c r="CO33" s="50">
        <v>9</v>
      </c>
      <c r="CP33" s="42">
        <v>43247</v>
      </c>
      <c r="CQ33" s="48">
        <v>6.9000000000000006E-2</v>
      </c>
      <c r="CR33" s="49">
        <v>0.04</v>
      </c>
      <c r="CS33" s="50">
        <v>2.1</v>
      </c>
      <c r="CT33" s="51">
        <v>21</v>
      </c>
      <c r="CU33" s="49">
        <v>50.23</v>
      </c>
      <c r="CV33" s="49">
        <v>0.3</v>
      </c>
      <c r="CW33" s="42">
        <v>1084861</v>
      </c>
      <c r="CX33" s="33">
        <v>7.5728953601736398E-2</v>
      </c>
      <c r="CY33" s="25">
        <v>3.0410024878763299E-2</v>
      </c>
      <c r="CZ33" s="34">
        <v>1.8924828772226701</v>
      </c>
      <c r="DA33" s="35">
        <v>19</v>
      </c>
      <c r="DB33" s="25">
        <v>34.69</v>
      </c>
      <c r="DC33" s="34">
        <v>54.3</v>
      </c>
      <c r="DD33" s="42"/>
      <c r="DE33" s="49"/>
      <c r="DF33" s="49"/>
      <c r="DG33" s="49"/>
      <c r="DH33" s="49"/>
      <c r="DI33" s="49"/>
      <c r="DJ33" s="49"/>
      <c r="DK33" s="49"/>
      <c r="DL33" s="56"/>
      <c r="DM33" s="24"/>
      <c r="DN33" s="33"/>
      <c r="DO33" s="25"/>
      <c r="DP33" s="25"/>
      <c r="DQ33" s="25"/>
      <c r="DR33" s="25"/>
      <c r="DS33" s="25"/>
      <c r="DT33" s="25"/>
      <c r="DU33" s="57"/>
      <c r="DV33" s="49"/>
      <c r="DW33" s="49"/>
      <c r="DX33" s="49"/>
      <c r="DY33" s="49"/>
      <c r="DZ33" s="49"/>
      <c r="EA33" s="49"/>
      <c r="EB33" s="49"/>
      <c r="EC33" s="49"/>
      <c r="ED33" s="56"/>
      <c r="EE33" s="42"/>
      <c r="EF33" s="49"/>
      <c r="EG33" s="49"/>
      <c r="EH33" s="49"/>
      <c r="EI33" s="49"/>
      <c r="EJ33" s="49"/>
      <c r="EK33" s="49"/>
      <c r="EL33" s="49"/>
      <c r="EM33" s="58"/>
      <c r="EN33" s="39"/>
      <c r="EO33" s="40">
        <f t="shared" si="3"/>
        <v>46170</v>
      </c>
      <c r="EP33" s="40">
        <v>46163</v>
      </c>
      <c r="EQ33" s="40">
        <v>46165</v>
      </c>
      <c r="ER33" s="40" t="s">
        <v>122</v>
      </c>
      <c r="ES33" s="40"/>
      <c r="ET33" s="40">
        <v>45930</v>
      </c>
      <c r="EU33" s="40">
        <v>46150</v>
      </c>
      <c r="EV33" s="40" t="s">
        <v>105</v>
      </c>
      <c r="EW33" s="40"/>
      <c r="EX33" s="40">
        <v>45992</v>
      </c>
      <c r="EY33" s="40">
        <v>46162</v>
      </c>
      <c r="EZ33" s="40" t="s">
        <v>116</v>
      </c>
      <c r="FA33" s="40"/>
      <c r="FB33" s="40">
        <v>45688</v>
      </c>
      <c r="FC33" s="40">
        <v>46139</v>
      </c>
      <c r="FD33" s="40"/>
      <c r="FE33" s="40">
        <v>46038</v>
      </c>
      <c r="FF33" s="40">
        <v>46166</v>
      </c>
      <c r="FG33" s="40"/>
      <c r="FH33" s="40">
        <v>46055</v>
      </c>
      <c r="FI33" s="40">
        <v>46129</v>
      </c>
      <c r="FJ33" s="40"/>
      <c r="FK33" s="40">
        <v>46150</v>
      </c>
      <c r="FL33" s="40">
        <v>46162</v>
      </c>
      <c r="FM33" s="40"/>
      <c r="FN33" s="40"/>
      <c r="FO33" s="40"/>
      <c r="FP33" s="40" t="s">
        <v>80</v>
      </c>
      <c r="FQ33" s="40"/>
      <c r="FR33" s="40"/>
      <c r="FS33" s="40" t="s">
        <v>80</v>
      </c>
      <c r="FT33" s="40">
        <v>46158</v>
      </c>
      <c r="FU33" s="40">
        <v>46161</v>
      </c>
      <c r="FV33" s="40"/>
      <c r="FW33" s="40"/>
      <c r="FX33" s="40"/>
      <c r="FY33" s="40" t="s">
        <v>80</v>
      </c>
      <c r="FZ33" s="40">
        <v>46153</v>
      </c>
      <c r="GA33" s="40">
        <v>46165</v>
      </c>
      <c r="GB33" s="40"/>
      <c r="GC33" s="40">
        <v>46023</v>
      </c>
      <c r="GD33" s="40">
        <v>46162</v>
      </c>
      <c r="GE33" s="40" t="s">
        <v>78</v>
      </c>
      <c r="GF33" s="40">
        <v>46130</v>
      </c>
      <c r="GG33" s="40">
        <v>46164</v>
      </c>
      <c r="GH33" s="40"/>
      <c r="GI33" s="40"/>
      <c r="GJ33" s="40"/>
      <c r="GK33" s="40" t="s">
        <v>80</v>
      </c>
      <c r="GL33" s="40"/>
      <c r="GM33" s="40"/>
      <c r="GN33" s="40" t="s">
        <v>80</v>
      </c>
      <c r="GO33" s="40"/>
      <c r="GP33" s="40"/>
      <c r="GQ33" s="40" t="s">
        <v>80</v>
      </c>
      <c r="GR33" s="40"/>
      <c r="GS33" s="40"/>
      <c r="GT33" s="3" t="s">
        <v>80</v>
      </c>
    </row>
    <row r="34" spans="1:202" x14ac:dyDescent="0.35">
      <c r="B34" s="41">
        <f t="shared" si="4"/>
        <v>46171</v>
      </c>
      <c r="C34" s="24">
        <v>541254</v>
      </c>
      <c r="D34" s="49">
        <v>5.9</v>
      </c>
      <c r="E34" s="49">
        <v>0.3378837703195044</v>
      </c>
      <c r="F34" s="49">
        <v>1.7392729256737129</v>
      </c>
      <c r="G34" s="25">
        <v>51.728202309344432</v>
      </c>
      <c r="H34" s="25">
        <v>2.2127831398293356</v>
      </c>
      <c r="I34" s="25">
        <v>2.0596430262339296</v>
      </c>
      <c r="J34" s="25">
        <f t="shared" si="0"/>
        <v>6.4852093058926013</v>
      </c>
      <c r="K34" s="42">
        <v>2593880</v>
      </c>
      <c r="L34" s="25">
        <v>5.15</v>
      </c>
      <c r="M34" s="25">
        <v>0.24573296064563424</v>
      </c>
      <c r="N34" s="25">
        <v>1.4165194906326222</v>
      </c>
      <c r="O34" s="25">
        <v>52.845729663118085</v>
      </c>
      <c r="P34" s="25">
        <v>2.0308134984986963</v>
      </c>
      <c r="Q34" s="25">
        <v>2.3830349561142428</v>
      </c>
      <c r="R34" s="25">
        <f t="shared" si="1"/>
        <v>6.4446619531116358</v>
      </c>
      <c r="S34" s="26">
        <v>2087377</v>
      </c>
      <c r="T34" s="25">
        <v>5.65</v>
      </c>
      <c r="U34" s="25">
        <v>0.28999999999999998</v>
      </c>
      <c r="V34" s="25">
        <v>1.57</v>
      </c>
      <c r="W34" s="27">
        <v>50.98</v>
      </c>
      <c r="X34" s="25">
        <v>2.67</v>
      </c>
      <c r="Y34" s="25">
        <v>2.33</v>
      </c>
      <c r="Z34" s="25">
        <f t="shared" si="2"/>
        <v>7.67</v>
      </c>
      <c r="AA34" s="24">
        <v>476862</v>
      </c>
      <c r="AB34" s="25">
        <v>85.87</v>
      </c>
      <c r="AC34" s="25">
        <v>0.25</v>
      </c>
      <c r="AD34" s="24">
        <v>504204</v>
      </c>
      <c r="AE34" s="33">
        <v>7.9319544356505498E-2</v>
      </c>
      <c r="AF34" s="25">
        <v>3.2515864004710397E-2</v>
      </c>
      <c r="AG34" s="34">
        <v>1.9649931113335</v>
      </c>
      <c r="AH34" s="35">
        <v>20</v>
      </c>
      <c r="AI34" s="25">
        <v>35.520000000000003</v>
      </c>
      <c r="AJ34" s="25"/>
      <c r="AK34" s="34">
        <v>53.9</v>
      </c>
      <c r="AL34" s="24">
        <v>554452</v>
      </c>
      <c r="AM34" s="33">
        <v>0.10100000000000001</v>
      </c>
      <c r="AN34" s="25">
        <v>0.04</v>
      </c>
      <c r="AO34" s="34">
        <v>2</v>
      </c>
      <c r="AP34" s="35">
        <v>20</v>
      </c>
      <c r="AQ34" s="25">
        <v>38.520000000000003</v>
      </c>
      <c r="AR34" s="25"/>
      <c r="AS34" s="25">
        <v>53.4</v>
      </c>
      <c r="AT34" s="42">
        <v>219111</v>
      </c>
      <c r="AU34" s="25">
        <v>84.87</v>
      </c>
      <c r="AV34" s="25">
        <v>0.25</v>
      </c>
      <c r="AW34" s="50"/>
      <c r="AX34" s="51"/>
      <c r="AY34" s="49"/>
      <c r="AZ34" s="49"/>
      <c r="BA34" s="50"/>
      <c r="BB34" s="24"/>
      <c r="BC34" s="48"/>
      <c r="BD34" s="49"/>
      <c r="BE34" s="49"/>
      <c r="BF34" s="49"/>
      <c r="BG34" s="49"/>
      <c r="BH34" s="49"/>
      <c r="BI34" s="49"/>
      <c r="BJ34" s="24"/>
      <c r="BK34" s="48"/>
      <c r="BL34" s="49"/>
      <c r="BM34" s="49"/>
      <c r="BN34" s="49"/>
      <c r="BO34" s="49"/>
      <c r="BP34" s="49"/>
      <c r="BQ34" s="49"/>
      <c r="BR34" s="42">
        <v>524548</v>
      </c>
      <c r="BS34" s="33">
        <v>6.4000000000000001E-2</v>
      </c>
      <c r="BT34" s="25">
        <v>0.05</v>
      </c>
      <c r="BU34" s="34">
        <v>2.1</v>
      </c>
      <c r="BV34" s="35">
        <v>21</v>
      </c>
      <c r="BW34" s="25">
        <v>57.43</v>
      </c>
      <c r="BX34" s="25">
        <v>0.3</v>
      </c>
      <c r="BY34" s="25">
        <v>8.6</v>
      </c>
      <c r="BZ34" s="42"/>
      <c r="CA34" s="48"/>
      <c r="CB34" s="49"/>
      <c r="CC34" s="50"/>
      <c r="CD34" s="51"/>
      <c r="CE34" s="49"/>
      <c r="CF34" s="49"/>
      <c r="CG34" s="49"/>
      <c r="CH34" s="42">
        <v>526953</v>
      </c>
      <c r="CI34" s="48">
        <v>5.8999999999999997E-2</v>
      </c>
      <c r="CJ34" s="49">
        <v>4.5912143967298799E-2</v>
      </c>
      <c r="CK34" s="50">
        <v>2.1233136541589102</v>
      </c>
      <c r="CL34" s="51">
        <v>21</v>
      </c>
      <c r="CM34" s="49">
        <v>57.04</v>
      </c>
      <c r="CN34" s="49">
        <v>0.3</v>
      </c>
      <c r="CO34" s="50">
        <v>9</v>
      </c>
      <c r="CP34" s="42">
        <v>43247</v>
      </c>
      <c r="CQ34" s="48">
        <v>7.8E-2</v>
      </c>
      <c r="CR34" s="49">
        <v>0.04</v>
      </c>
      <c r="CS34" s="50">
        <v>2.1</v>
      </c>
      <c r="CT34" s="51">
        <v>21</v>
      </c>
      <c r="CU34" s="49">
        <v>50.23</v>
      </c>
      <c r="CV34" s="49">
        <v>0.73</v>
      </c>
      <c r="CW34" s="42">
        <v>1084861</v>
      </c>
      <c r="CX34" s="33">
        <v>7.6911192002170503E-2</v>
      </c>
      <c r="CY34" s="25">
        <v>3.0410024878763299E-2</v>
      </c>
      <c r="CZ34" s="34">
        <v>1.8924828772226701</v>
      </c>
      <c r="DA34" s="35">
        <v>19</v>
      </c>
      <c r="DB34" s="25">
        <v>34.69</v>
      </c>
      <c r="DC34" s="34">
        <v>54.3</v>
      </c>
      <c r="DD34" s="42"/>
      <c r="DE34" s="49"/>
      <c r="DF34" s="49"/>
      <c r="DG34" s="49"/>
      <c r="DH34" s="49"/>
      <c r="DI34" s="49"/>
      <c r="DJ34" s="49"/>
      <c r="DK34" s="49"/>
      <c r="DL34" s="56"/>
      <c r="DM34" s="24"/>
      <c r="DN34" s="33"/>
      <c r="DO34" s="25"/>
      <c r="DP34" s="25"/>
      <c r="DQ34" s="25"/>
      <c r="DR34" s="25"/>
      <c r="DS34" s="25"/>
      <c r="DT34" s="25"/>
      <c r="DU34" s="57"/>
      <c r="DV34" s="49"/>
      <c r="DW34" s="49"/>
      <c r="DX34" s="49"/>
      <c r="DY34" s="49"/>
      <c r="DZ34" s="49"/>
      <c r="EA34" s="49"/>
      <c r="EB34" s="49"/>
      <c r="EC34" s="49"/>
      <c r="ED34" s="56"/>
      <c r="EE34" s="42"/>
      <c r="EF34" s="49"/>
      <c r="EG34" s="49"/>
      <c r="EH34" s="49"/>
      <c r="EI34" s="49"/>
      <c r="EJ34" s="49"/>
      <c r="EK34" s="49"/>
      <c r="EL34" s="49"/>
      <c r="EM34" s="58"/>
      <c r="EN34" s="39"/>
      <c r="EO34" s="40">
        <f t="shared" si="3"/>
        <v>46171</v>
      </c>
      <c r="EP34" s="40">
        <v>46163</v>
      </c>
      <c r="EQ34" s="40">
        <v>46165</v>
      </c>
      <c r="ER34" s="40" t="s">
        <v>122</v>
      </c>
      <c r="ES34" s="40"/>
      <c r="ET34" s="40">
        <v>45930</v>
      </c>
      <c r="EU34" s="40">
        <v>46150</v>
      </c>
      <c r="EV34" s="40" t="s">
        <v>105</v>
      </c>
      <c r="EW34" s="40"/>
      <c r="EX34" s="40">
        <v>45992</v>
      </c>
      <c r="EY34" s="40">
        <v>46162</v>
      </c>
      <c r="EZ34" s="40" t="s">
        <v>116</v>
      </c>
      <c r="FA34" s="40"/>
      <c r="FB34" s="40">
        <v>45688</v>
      </c>
      <c r="FC34" s="40">
        <v>46139</v>
      </c>
      <c r="FD34" s="40"/>
      <c r="FE34" s="40">
        <v>46038</v>
      </c>
      <c r="FF34" s="40">
        <v>46166</v>
      </c>
      <c r="FG34" s="40"/>
      <c r="FH34" s="40">
        <v>46055</v>
      </c>
      <c r="FI34" s="40">
        <v>46129</v>
      </c>
      <c r="FJ34" s="40"/>
      <c r="FK34" s="40">
        <v>46150</v>
      </c>
      <c r="FL34" s="40">
        <v>46162</v>
      </c>
      <c r="FM34" s="40"/>
      <c r="FN34" s="40"/>
      <c r="FO34" s="40"/>
      <c r="FP34" s="40" t="s">
        <v>80</v>
      </c>
      <c r="FQ34" s="40"/>
      <c r="FR34" s="40"/>
      <c r="FS34" s="40" t="s">
        <v>80</v>
      </c>
      <c r="FT34" s="40">
        <v>46158</v>
      </c>
      <c r="FU34" s="40">
        <v>46161</v>
      </c>
      <c r="FV34" s="40"/>
      <c r="FW34" s="40"/>
      <c r="FX34" s="40"/>
      <c r="FY34" s="40" t="s">
        <v>80</v>
      </c>
      <c r="FZ34" s="40">
        <v>46153</v>
      </c>
      <c r="GA34" s="40">
        <v>46165</v>
      </c>
      <c r="GB34" s="40"/>
      <c r="GC34" s="40">
        <v>46023</v>
      </c>
      <c r="GD34" s="40">
        <v>46162</v>
      </c>
      <c r="GE34" s="40" t="s">
        <v>78</v>
      </c>
      <c r="GF34" s="40">
        <v>46130</v>
      </c>
      <c r="GG34" s="40">
        <v>46164</v>
      </c>
      <c r="GH34" s="40"/>
      <c r="GI34" s="40"/>
      <c r="GJ34" s="40"/>
      <c r="GK34" s="40" t="s">
        <v>80</v>
      </c>
      <c r="GL34" s="40"/>
      <c r="GM34" s="40"/>
      <c r="GN34" s="40" t="s">
        <v>80</v>
      </c>
      <c r="GO34" s="40"/>
      <c r="GP34" s="40"/>
      <c r="GQ34" s="40" t="s">
        <v>80</v>
      </c>
      <c r="GR34" s="40"/>
      <c r="GS34" s="40"/>
      <c r="GT34" s="3" t="s">
        <v>80</v>
      </c>
    </row>
    <row r="35" spans="1:202" x14ac:dyDescent="0.35">
      <c r="B35" s="41">
        <f t="shared" si="4"/>
        <v>46172</v>
      </c>
      <c r="C35" s="24">
        <v>541254</v>
      </c>
      <c r="D35" s="49">
        <v>5.92</v>
      </c>
      <c r="E35" s="49">
        <v>0.33788377031950401</v>
      </c>
      <c r="F35" s="49">
        <v>1.7392729256737101</v>
      </c>
      <c r="G35" s="25">
        <v>51.728202309344397</v>
      </c>
      <c r="H35" s="25">
        <v>2.2127831398293401</v>
      </c>
      <c r="I35" s="25">
        <v>2.05964302623393</v>
      </c>
      <c r="J35" s="25">
        <f t="shared" si="0"/>
        <v>6.4852093058926101</v>
      </c>
      <c r="K35" s="42">
        <v>2593880</v>
      </c>
      <c r="L35" s="25">
        <v>5.18</v>
      </c>
      <c r="M35" s="25">
        <v>0.24573296064563399</v>
      </c>
      <c r="N35" s="25">
        <v>1.4165194906326199</v>
      </c>
      <c r="O35" s="25">
        <v>52.845729663118099</v>
      </c>
      <c r="P35" s="25">
        <v>2.0308134984986999</v>
      </c>
      <c r="Q35" s="25">
        <v>2.3830349561142401</v>
      </c>
      <c r="R35" s="25">
        <f t="shared" si="1"/>
        <v>6.4446619531116394</v>
      </c>
      <c r="S35" s="26">
        <v>2087377</v>
      </c>
      <c r="T35" s="25">
        <v>5.67</v>
      </c>
      <c r="U35" s="25">
        <v>0.28999999999999998</v>
      </c>
      <c r="V35" s="25">
        <v>1.57</v>
      </c>
      <c r="W35" s="27">
        <v>50.98</v>
      </c>
      <c r="X35" s="25">
        <v>2.67</v>
      </c>
      <c r="Y35" s="25">
        <v>2.33</v>
      </c>
      <c r="Z35" s="25">
        <f t="shared" si="2"/>
        <v>7.67</v>
      </c>
      <c r="AA35" s="24">
        <v>476862</v>
      </c>
      <c r="AB35" s="25">
        <v>85.87</v>
      </c>
      <c r="AC35" s="25">
        <v>0.25</v>
      </c>
      <c r="AD35" s="24">
        <v>504204</v>
      </c>
      <c r="AE35" s="33">
        <v>0.08</v>
      </c>
      <c r="AF35" s="25">
        <v>3.2515864004710397E-2</v>
      </c>
      <c r="AG35" s="34">
        <v>1.9649931113335</v>
      </c>
      <c r="AH35" s="35">
        <v>20</v>
      </c>
      <c r="AI35" s="25">
        <v>35.520000000000003</v>
      </c>
      <c r="AJ35" s="25"/>
      <c r="AK35" s="34">
        <v>53.9</v>
      </c>
      <c r="AL35" s="24">
        <v>554452</v>
      </c>
      <c r="AM35" s="33">
        <v>0.10199999999999999</v>
      </c>
      <c r="AN35" s="25">
        <v>0.04</v>
      </c>
      <c r="AO35" s="34">
        <v>2</v>
      </c>
      <c r="AP35" s="35">
        <v>20</v>
      </c>
      <c r="AQ35" s="25">
        <v>38.520000000000003</v>
      </c>
      <c r="AR35" s="25"/>
      <c r="AS35" s="25">
        <v>53.4</v>
      </c>
      <c r="AT35" s="42">
        <v>219111</v>
      </c>
      <c r="AU35" s="25">
        <v>84.87</v>
      </c>
      <c r="AV35" s="25">
        <v>0.25</v>
      </c>
      <c r="AW35" s="50"/>
      <c r="AX35" s="51"/>
      <c r="AY35" s="49"/>
      <c r="AZ35" s="49"/>
      <c r="BA35" s="50"/>
      <c r="BB35" s="42"/>
      <c r="BC35" s="48"/>
      <c r="BD35" s="49"/>
      <c r="BE35" s="49"/>
      <c r="BF35" s="51"/>
      <c r="BG35" s="49"/>
      <c r="BH35" s="49"/>
      <c r="BI35" s="49"/>
      <c r="BJ35" s="42"/>
      <c r="BK35" s="48"/>
      <c r="BL35" s="49"/>
      <c r="BM35" s="49"/>
      <c r="BN35" s="49"/>
      <c r="BO35" s="49"/>
      <c r="BP35" s="49"/>
      <c r="BQ35" s="49"/>
      <c r="BR35" s="42">
        <v>404278</v>
      </c>
      <c r="BS35" s="33">
        <v>6.5000000000000002E-2</v>
      </c>
      <c r="BT35" s="25">
        <v>0.05</v>
      </c>
      <c r="BU35" s="34">
        <v>2.1</v>
      </c>
      <c r="BV35" s="35">
        <v>21</v>
      </c>
      <c r="BW35" s="25">
        <v>57.43</v>
      </c>
      <c r="BX35" s="25">
        <v>0.3</v>
      </c>
      <c r="BY35" s="25">
        <v>8.6</v>
      </c>
      <c r="BZ35" s="42"/>
      <c r="CA35" s="48"/>
      <c r="CB35" s="49"/>
      <c r="CC35" s="50"/>
      <c r="CD35" s="51"/>
      <c r="CE35" s="49"/>
      <c r="CF35" s="49"/>
      <c r="CG35" s="49"/>
      <c r="CH35" s="42">
        <v>526953</v>
      </c>
      <c r="CI35" s="48">
        <v>0.06</v>
      </c>
      <c r="CJ35" s="49">
        <v>4.5912143967298799E-2</v>
      </c>
      <c r="CK35" s="50">
        <v>2.1233136541589102</v>
      </c>
      <c r="CL35" s="51">
        <v>21</v>
      </c>
      <c r="CM35" s="49">
        <v>57.04</v>
      </c>
      <c r="CN35" s="49">
        <v>0.3</v>
      </c>
      <c r="CO35" s="50">
        <v>9</v>
      </c>
      <c r="CP35" s="42">
        <v>43247</v>
      </c>
      <c r="CQ35" s="48">
        <v>0.08</v>
      </c>
      <c r="CR35" s="49">
        <v>0.04</v>
      </c>
      <c r="CS35" s="50">
        <v>2.1</v>
      </c>
      <c r="CT35" s="51">
        <v>21</v>
      </c>
      <c r="CU35" s="49">
        <v>50.23</v>
      </c>
      <c r="CV35" s="49">
        <v>0.73</v>
      </c>
      <c r="CW35" s="42">
        <v>1084861</v>
      </c>
      <c r="CX35" s="33">
        <v>7.8093430402604594E-2</v>
      </c>
      <c r="CY35" s="25">
        <v>3.0410024878763299E-2</v>
      </c>
      <c r="CZ35" s="34">
        <v>1.8924828772226701</v>
      </c>
      <c r="DA35" s="35">
        <v>19</v>
      </c>
      <c r="DB35" s="25">
        <v>34.69</v>
      </c>
      <c r="DC35" s="34">
        <v>54.3</v>
      </c>
      <c r="DD35" s="42"/>
      <c r="DE35" s="49"/>
      <c r="DF35" s="49"/>
      <c r="DG35" s="49"/>
      <c r="DH35" s="49"/>
      <c r="DI35" s="49"/>
      <c r="DJ35" s="49"/>
      <c r="DK35" s="49"/>
      <c r="DL35" s="56"/>
      <c r="DM35" s="24"/>
      <c r="DN35" s="33"/>
      <c r="DO35" s="25"/>
      <c r="DP35" s="25"/>
      <c r="DQ35" s="25"/>
      <c r="DR35" s="25"/>
      <c r="DS35" s="25"/>
      <c r="DT35" s="25"/>
      <c r="DU35" s="57"/>
      <c r="DV35" s="49"/>
      <c r="DW35" s="49"/>
      <c r="DX35" s="49"/>
      <c r="DY35" s="49"/>
      <c r="DZ35" s="49"/>
      <c r="EA35" s="49"/>
      <c r="EB35" s="49"/>
      <c r="EC35" s="49"/>
      <c r="ED35" s="56"/>
      <c r="EE35" s="42"/>
      <c r="EF35" s="49"/>
      <c r="EG35" s="49"/>
      <c r="EH35" s="49"/>
      <c r="EI35" s="49"/>
      <c r="EJ35" s="49"/>
      <c r="EK35" s="49"/>
      <c r="EL35" s="49"/>
      <c r="EM35" s="58"/>
      <c r="EN35" s="39"/>
      <c r="EO35" s="40">
        <f t="shared" si="3"/>
        <v>46172</v>
      </c>
      <c r="EP35" s="40">
        <v>46163</v>
      </c>
      <c r="EQ35" s="40">
        <v>46165</v>
      </c>
      <c r="ER35" s="40" t="s">
        <v>122</v>
      </c>
      <c r="ES35" s="40"/>
      <c r="ET35" s="40">
        <v>45930</v>
      </c>
      <c r="EU35" s="40">
        <v>46150</v>
      </c>
      <c r="EV35" s="40" t="s">
        <v>105</v>
      </c>
      <c r="EW35" s="40"/>
      <c r="EX35" s="40">
        <v>45992</v>
      </c>
      <c r="EY35" s="40">
        <v>46162</v>
      </c>
      <c r="EZ35" s="40" t="s">
        <v>116</v>
      </c>
      <c r="FA35" s="40"/>
      <c r="FB35" s="40">
        <v>45688</v>
      </c>
      <c r="FC35" s="40">
        <v>46139</v>
      </c>
      <c r="FD35" s="40"/>
      <c r="FE35" s="40">
        <v>46038</v>
      </c>
      <c r="FF35" s="40">
        <v>46166</v>
      </c>
      <c r="FG35" s="40"/>
      <c r="FH35" s="40">
        <v>46055</v>
      </c>
      <c r="FI35" s="40">
        <v>46129</v>
      </c>
      <c r="FJ35" s="40"/>
      <c r="FK35" s="40">
        <v>46150</v>
      </c>
      <c r="FL35" s="40">
        <v>46162</v>
      </c>
      <c r="FM35" s="40"/>
      <c r="FN35" s="40"/>
      <c r="FO35" s="40"/>
      <c r="FP35" s="40" t="s">
        <v>80</v>
      </c>
      <c r="FQ35" s="40"/>
      <c r="FR35" s="40"/>
      <c r="FS35" s="40" t="s">
        <v>80</v>
      </c>
      <c r="FT35" s="40">
        <v>46158</v>
      </c>
      <c r="FU35" s="40">
        <v>46161</v>
      </c>
      <c r="FV35" s="40" t="s">
        <v>128</v>
      </c>
      <c r="FW35" s="40"/>
      <c r="FX35" s="40"/>
      <c r="FY35" s="40" t="s">
        <v>80</v>
      </c>
      <c r="FZ35" s="40">
        <v>46153</v>
      </c>
      <c r="GA35" s="40">
        <v>46165</v>
      </c>
      <c r="GB35" s="40"/>
      <c r="GC35" s="40">
        <v>46023</v>
      </c>
      <c r="GD35" s="40">
        <v>46162</v>
      </c>
      <c r="GE35" s="40" t="s">
        <v>78</v>
      </c>
      <c r="GF35" s="40">
        <v>46130</v>
      </c>
      <c r="GG35" s="40">
        <v>46164</v>
      </c>
      <c r="GH35" s="40"/>
      <c r="GI35" s="40"/>
      <c r="GJ35" s="40"/>
      <c r="GK35" s="40" t="s">
        <v>80</v>
      </c>
      <c r="GL35" s="40"/>
      <c r="GM35" s="40"/>
      <c r="GN35" s="40" t="s">
        <v>80</v>
      </c>
      <c r="GO35" s="40"/>
      <c r="GP35" s="40"/>
      <c r="GQ35" s="40" t="s">
        <v>80</v>
      </c>
      <c r="GR35" s="40"/>
      <c r="GS35" s="40"/>
      <c r="GT35" s="3" t="s">
        <v>80</v>
      </c>
    </row>
    <row r="36" spans="1:202" x14ac:dyDescent="0.35">
      <c r="B36" s="41">
        <f t="shared" si="4"/>
        <v>46173</v>
      </c>
      <c r="C36" s="24">
        <v>541254</v>
      </c>
      <c r="D36" s="49">
        <v>5.94</v>
      </c>
      <c r="E36" s="49">
        <v>0.33788377031950401</v>
      </c>
      <c r="F36" s="49">
        <v>1.7392729256737101</v>
      </c>
      <c r="G36" s="25">
        <v>51.728202309344397</v>
      </c>
      <c r="H36" s="25">
        <v>2.2127831398293401</v>
      </c>
      <c r="I36" s="25">
        <v>2.05964302623393</v>
      </c>
      <c r="J36" s="25">
        <f t="shared" si="0"/>
        <v>6.4852093058926101</v>
      </c>
      <c r="K36" s="42">
        <v>2593880</v>
      </c>
      <c r="L36" s="25">
        <v>5.21</v>
      </c>
      <c r="M36" s="25">
        <v>0.24573296064563399</v>
      </c>
      <c r="N36" s="25">
        <v>1.4165194906326199</v>
      </c>
      <c r="O36" s="25">
        <v>52.845729663118099</v>
      </c>
      <c r="P36" s="25">
        <v>2.0308134984986999</v>
      </c>
      <c r="Q36" s="25">
        <v>2.3830349561142401</v>
      </c>
      <c r="R36" s="25">
        <f t="shared" si="1"/>
        <v>6.4446619531116394</v>
      </c>
      <c r="S36" s="26">
        <v>2087377</v>
      </c>
      <c r="T36" s="25">
        <v>5.69</v>
      </c>
      <c r="U36" s="25">
        <v>0.28999999999999998</v>
      </c>
      <c r="V36" s="25">
        <v>1.57</v>
      </c>
      <c r="W36" s="27">
        <v>50.98</v>
      </c>
      <c r="X36" s="25">
        <v>2.67</v>
      </c>
      <c r="Y36" s="25">
        <v>2.33</v>
      </c>
      <c r="Z36" s="25">
        <f t="shared" si="2"/>
        <v>7.67</v>
      </c>
      <c r="AA36" s="24">
        <v>476862</v>
      </c>
      <c r="AB36" s="25">
        <v>85.87</v>
      </c>
      <c r="AC36" s="25">
        <v>0.25</v>
      </c>
      <c r="AD36" s="24">
        <v>504204</v>
      </c>
      <c r="AE36" s="33">
        <v>8.0680455643494506E-2</v>
      </c>
      <c r="AF36" s="25">
        <v>3.2515864004710397E-2</v>
      </c>
      <c r="AG36" s="34">
        <v>1.9649931113335</v>
      </c>
      <c r="AH36" s="35">
        <v>20</v>
      </c>
      <c r="AI36" s="25">
        <v>35.520000000000003</v>
      </c>
      <c r="AJ36" s="25"/>
      <c r="AK36" s="34">
        <v>53.9</v>
      </c>
      <c r="AL36" s="24">
        <v>554452</v>
      </c>
      <c r="AM36" s="33">
        <v>0.10299999999999999</v>
      </c>
      <c r="AN36" s="25">
        <v>0.04</v>
      </c>
      <c r="AO36" s="34">
        <v>2</v>
      </c>
      <c r="AP36" s="35">
        <v>20</v>
      </c>
      <c r="AQ36" s="25">
        <v>38.520000000000003</v>
      </c>
      <c r="AR36" s="25"/>
      <c r="AS36" s="25">
        <v>53.4</v>
      </c>
      <c r="AT36" s="42">
        <v>219111</v>
      </c>
      <c r="AU36" s="25">
        <v>84.87</v>
      </c>
      <c r="AV36" s="25">
        <v>0.25</v>
      </c>
      <c r="AW36" s="50"/>
      <c r="AX36" s="51"/>
      <c r="AY36" s="49"/>
      <c r="AZ36" s="49"/>
      <c r="BA36" s="50"/>
      <c r="BB36" s="42"/>
      <c r="BC36" s="48"/>
      <c r="BD36" s="49"/>
      <c r="BE36" s="49"/>
      <c r="BF36" s="51"/>
      <c r="BG36" s="49"/>
      <c r="BH36" s="49"/>
      <c r="BI36" s="49"/>
      <c r="BJ36" s="42"/>
      <c r="BK36" s="48"/>
      <c r="BL36" s="49"/>
      <c r="BM36" s="49"/>
      <c r="BN36" s="49"/>
      <c r="BO36" s="49"/>
      <c r="BP36" s="49"/>
      <c r="BQ36" s="49"/>
      <c r="BR36" s="42">
        <v>376168</v>
      </c>
      <c r="BS36" s="48">
        <v>6.7000000000000004E-2</v>
      </c>
      <c r="BT36" s="25">
        <v>0.05</v>
      </c>
      <c r="BU36" s="34">
        <v>2.1</v>
      </c>
      <c r="BV36" s="35">
        <v>21</v>
      </c>
      <c r="BW36" s="25">
        <v>57.43</v>
      </c>
      <c r="BX36" s="25">
        <v>0.3</v>
      </c>
      <c r="BY36" s="25">
        <v>8.6</v>
      </c>
      <c r="BZ36" s="54"/>
      <c r="CA36" s="48"/>
      <c r="CB36" s="49"/>
      <c r="CC36" s="50"/>
      <c r="CD36" s="51"/>
      <c r="CE36" s="49"/>
      <c r="CF36" s="49"/>
      <c r="CG36" s="49"/>
      <c r="CH36" s="42">
        <v>526953</v>
      </c>
      <c r="CI36" s="48">
        <v>6.2E-2</v>
      </c>
      <c r="CJ36" s="49">
        <v>4.5912143967298799E-2</v>
      </c>
      <c r="CK36" s="50">
        <v>2.1233136541589102</v>
      </c>
      <c r="CL36" s="51">
        <v>21</v>
      </c>
      <c r="CM36" s="49">
        <v>57.04</v>
      </c>
      <c r="CN36" s="49">
        <v>0.3</v>
      </c>
      <c r="CO36" s="50">
        <v>9</v>
      </c>
      <c r="CP36" s="42">
        <v>43247</v>
      </c>
      <c r="CQ36" s="48">
        <v>8.5000000000000006E-2</v>
      </c>
      <c r="CR36" s="49">
        <v>0.04</v>
      </c>
      <c r="CS36" s="50">
        <v>2.1</v>
      </c>
      <c r="CT36" s="51">
        <v>21</v>
      </c>
      <c r="CU36" s="49">
        <v>50.23</v>
      </c>
      <c r="CV36" s="49">
        <v>0.73</v>
      </c>
      <c r="CW36" s="42">
        <v>1084861</v>
      </c>
      <c r="CX36" s="33">
        <v>7.9275668803038699E-2</v>
      </c>
      <c r="CY36" s="25">
        <v>3.0410024878763299E-2</v>
      </c>
      <c r="CZ36" s="34">
        <v>1.8924828772226701</v>
      </c>
      <c r="DA36" s="35">
        <v>19</v>
      </c>
      <c r="DB36" s="25">
        <v>34.69</v>
      </c>
      <c r="DC36" s="34">
        <v>54.3</v>
      </c>
      <c r="DD36" s="54"/>
      <c r="DE36" s="55"/>
      <c r="DF36" s="55"/>
      <c r="DG36" s="55"/>
      <c r="DH36" s="55"/>
      <c r="DI36" s="55"/>
      <c r="DJ36" s="55"/>
      <c r="DK36" s="55"/>
      <c r="DL36" s="56"/>
      <c r="DM36" s="24"/>
      <c r="DN36" s="33"/>
      <c r="DO36" s="25"/>
      <c r="DP36" s="25"/>
      <c r="DQ36" s="25"/>
      <c r="DR36" s="25"/>
      <c r="DS36" s="25"/>
      <c r="DT36" s="25"/>
      <c r="DU36" s="57"/>
      <c r="DV36" s="55"/>
      <c r="DW36" s="55"/>
      <c r="DX36" s="55"/>
      <c r="DY36" s="55"/>
      <c r="DZ36" s="55"/>
      <c r="EA36" s="55"/>
      <c r="EB36" s="55"/>
      <c r="EC36" s="55"/>
      <c r="ED36" s="56"/>
      <c r="EE36" s="54"/>
      <c r="EF36" s="55"/>
      <c r="EG36" s="55"/>
      <c r="EH36" s="55"/>
      <c r="EI36" s="55"/>
      <c r="EJ36" s="55"/>
      <c r="EK36" s="55"/>
      <c r="EL36" s="55"/>
      <c r="EM36" s="58"/>
      <c r="EN36" s="39"/>
      <c r="EO36" s="40">
        <f t="shared" si="3"/>
        <v>46173</v>
      </c>
      <c r="EP36" s="40">
        <v>46163</v>
      </c>
      <c r="EQ36" s="40">
        <v>46165</v>
      </c>
      <c r="ER36" s="40" t="s">
        <v>122</v>
      </c>
      <c r="ES36" s="40"/>
      <c r="ET36" s="40">
        <v>45930</v>
      </c>
      <c r="EU36" s="40">
        <v>46150</v>
      </c>
      <c r="EV36" s="40" t="s">
        <v>105</v>
      </c>
      <c r="EW36" s="40"/>
      <c r="EX36" s="40">
        <v>45992</v>
      </c>
      <c r="EY36" s="40">
        <v>46162</v>
      </c>
      <c r="EZ36" s="40" t="s">
        <v>116</v>
      </c>
      <c r="FA36" s="40"/>
      <c r="FB36" s="40">
        <v>45688</v>
      </c>
      <c r="FC36" s="40">
        <v>46139</v>
      </c>
      <c r="FD36" s="40"/>
      <c r="FE36" s="40">
        <v>46038</v>
      </c>
      <c r="FF36" s="40">
        <v>46166</v>
      </c>
      <c r="FG36" s="40"/>
      <c r="FH36" s="40">
        <v>46055</v>
      </c>
      <c r="FI36" s="40">
        <v>46129</v>
      </c>
      <c r="FJ36" s="40"/>
      <c r="FK36" s="40">
        <v>46150</v>
      </c>
      <c r="FL36" s="40">
        <v>46162</v>
      </c>
      <c r="FM36" s="40"/>
      <c r="FN36" s="40"/>
      <c r="FO36" s="40"/>
      <c r="FP36" s="40" t="s">
        <v>80</v>
      </c>
      <c r="FQ36" s="40"/>
      <c r="FR36" s="40"/>
      <c r="FS36" s="40" t="s">
        <v>80</v>
      </c>
      <c r="FT36" s="40">
        <v>46158</v>
      </c>
      <c r="FU36" s="40">
        <v>46161</v>
      </c>
      <c r="FV36" s="40" t="s">
        <v>129</v>
      </c>
      <c r="FW36" s="40"/>
      <c r="FX36" s="40"/>
      <c r="FY36" s="40" t="s">
        <v>80</v>
      </c>
      <c r="FZ36" s="40">
        <v>46153</v>
      </c>
      <c r="GA36" s="40">
        <v>46165</v>
      </c>
      <c r="GB36" s="40"/>
      <c r="GC36" s="40">
        <v>46023</v>
      </c>
      <c r="GD36" s="40">
        <v>46162</v>
      </c>
      <c r="GE36" s="40" t="s">
        <v>78</v>
      </c>
      <c r="GF36" s="40">
        <v>46130</v>
      </c>
      <c r="GG36" s="40">
        <v>46164</v>
      </c>
      <c r="GH36" s="40"/>
      <c r="GI36" s="40"/>
      <c r="GJ36" s="40"/>
      <c r="GK36" s="40" t="s">
        <v>80</v>
      </c>
      <c r="GL36" s="40"/>
      <c r="GM36" s="40"/>
      <c r="GN36" s="40" t="s">
        <v>80</v>
      </c>
      <c r="GO36" s="40"/>
      <c r="GP36" s="40"/>
      <c r="GQ36" s="40" t="s">
        <v>80</v>
      </c>
      <c r="GR36" s="40"/>
      <c r="GS36" s="40"/>
      <c r="GT36" s="3" t="s">
        <v>80</v>
      </c>
    </row>
    <row r="37" spans="1:202" ht="15" thickBot="1" x14ac:dyDescent="0.4">
      <c r="B37" s="41">
        <f t="shared" si="4"/>
        <v>46174</v>
      </c>
      <c r="C37" s="24">
        <v>541254</v>
      </c>
      <c r="D37" s="49">
        <v>5.96</v>
      </c>
      <c r="E37" s="49">
        <v>0.33788377031950301</v>
      </c>
      <c r="F37" s="49">
        <v>1.7392729256737001</v>
      </c>
      <c r="G37" s="25">
        <v>51.728202309344297</v>
      </c>
      <c r="H37" s="25">
        <v>2.2127831398293498</v>
      </c>
      <c r="I37" s="25">
        <v>2.05964302623393</v>
      </c>
      <c r="J37" s="25">
        <f t="shared" si="0"/>
        <v>6.4852093058926297</v>
      </c>
      <c r="K37" s="42">
        <v>2593880</v>
      </c>
      <c r="L37" s="25">
        <v>5.24</v>
      </c>
      <c r="M37" s="25">
        <v>0.24573296064563299</v>
      </c>
      <c r="N37" s="25">
        <v>1.4165194906326199</v>
      </c>
      <c r="O37" s="25">
        <v>52.845729663118099</v>
      </c>
      <c r="P37" s="25">
        <v>2.0308134984987101</v>
      </c>
      <c r="Q37" s="25">
        <v>2.3830349561142299</v>
      </c>
      <c r="R37" s="25">
        <f t="shared" si="1"/>
        <v>6.44466195311165</v>
      </c>
      <c r="S37" s="26">
        <v>2087377</v>
      </c>
      <c r="T37" s="25">
        <v>5.71</v>
      </c>
      <c r="U37" s="25">
        <v>0.28999999999999998</v>
      </c>
      <c r="V37" s="25">
        <v>1.57</v>
      </c>
      <c r="W37" s="27">
        <v>50.98</v>
      </c>
      <c r="X37" s="25">
        <v>2.67</v>
      </c>
      <c r="Y37" s="25">
        <v>2.33</v>
      </c>
      <c r="Z37" s="25">
        <f t="shared" si="2"/>
        <v>7.67</v>
      </c>
      <c r="AA37" s="24">
        <v>476862</v>
      </c>
      <c r="AB37" s="25">
        <v>85.87</v>
      </c>
      <c r="AC37" s="25">
        <v>0.25</v>
      </c>
      <c r="AD37" s="24">
        <v>504204</v>
      </c>
      <c r="AE37" s="33">
        <v>8.4000000000000005E-2</v>
      </c>
      <c r="AF37" s="25">
        <v>3.2515864004710397E-2</v>
      </c>
      <c r="AG37" s="34">
        <v>1.9649931113335</v>
      </c>
      <c r="AH37" s="35">
        <v>20</v>
      </c>
      <c r="AI37" s="25">
        <v>35.520000000000003</v>
      </c>
      <c r="AJ37" s="25"/>
      <c r="AK37" s="34">
        <v>53.9</v>
      </c>
      <c r="AL37" s="24">
        <v>554452</v>
      </c>
      <c r="AM37" s="33">
        <v>0.104</v>
      </c>
      <c r="AN37" s="25">
        <v>0.04</v>
      </c>
      <c r="AO37" s="34">
        <v>2</v>
      </c>
      <c r="AP37" s="35">
        <v>20</v>
      </c>
      <c r="AQ37" s="25">
        <v>38.520000000000003</v>
      </c>
      <c r="AR37" s="25"/>
      <c r="AS37" s="25">
        <v>53.4</v>
      </c>
      <c r="AT37" s="42">
        <v>219111</v>
      </c>
      <c r="AU37" s="25">
        <v>84.87</v>
      </c>
      <c r="AV37" s="25">
        <v>0.25</v>
      </c>
      <c r="AW37" s="50"/>
      <c r="AX37" s="51"/>
      <c r="AY37" s="49"/>
      <c r="AZ37" s="49"/>
      <c r="BA37" s="50"/>
      <c r="BB37" s="42"/>
      <c r="BC37" s="48"/>
      <c r="BD37" s="49"/>
      <c r="BE37" s="49"/>
      <c r="BF37" s="51"/>
      <c r="BG37" s="49"/>
      <c r="BH37" s="49"/>
      <c r="BI37" s="49"/>
      <c r="BJ37" s="42"/>
      <c r="BK37" s="48"/>
      <c r="BL37" s="49"/>
      <c r="BM37" s="49"/>
      <c r="BN37" s="49"/>
      <c r="BO37" s="49"/>
      <c r="BP37" s="49"/>
      <c r="BQ37" s="49"/>
      <c r="BR37" s="42">
        <v>376168</v>
      </c>
      <c r="BS37" s="48">
        <v>6.9000000000000006E-2</v>
      </c>
      <c r="BT37" s="25">
        <v>0.05</v>
      </c>
      <c r="BU37" s="34">
        <v>2.1</v>
      </c>
      <c r="BV37" s="35">
        <v>21</v>
      </c>
      <c r="BW37" s="25">
        <v>57.43</v>
      </c>
      <c r="BX37" s="25">
        <v>0.3</v>
      </c>
      <c r="BY37" s="25">
        <v>8.6</v>
      </c>
      <c r="BZ37" s="54"/>
      <c r="CA37" s="74"/>
      <c r="CB37" s="55"/>
      <c r="CC37" s="75"/>
      <c r="CD37" s="76"/>
      <c r="CE37" s="55"/>
      <c r="CF37" s="55"/>
      <c r="CG37" s="55"/>
      <c r="CH37" s="42">
        <v>526953</v>
      </c>
      <c r="CI37" s="48">
        <v>6.4000000000000001E-2</v>
      </c>
      <c r="CJ37" s="49">
        <v>4.5912143967298799E-2</v>
      </c>
      <c r="CK37" s="50">
        <v>2.1233136541589102</v>
      </c>
      <c r="CL37" s="51">
        <v>21</v>
      </c>
      <c r="CM37" s="49">
        <v>57.04</v>
      </c>
      <c r="CN37" s="49">
        <v>0.3</v>
      </c>
      <c r="CO37" s="50">
        <v>9</v>
      </c>
      <c r="CP37" s="42">
        <v>43247</v>
      </c>
      <c r="CQ37" s="48">
        <v>8.7999999999999995E-2</v>
      </c>
      <c r="CR37" s="49">
        <v>0.04</v>
      </c>
      <c r="CS37" s="50">
        <v>2.1</v>
      </c>
      <c r="CT37" s="51">
        <v>21</v>
      </c>
      <c r="CU37" s="49">
        <v>50.23</v>
      </c>
      <c r="CV37" s="49">
        <v>0.73</v>
      </c>
      <c r="CW37" s="42">
        <v>1084861</v>
      </c>
      <c r="CX37" s="33">
        <v>8.0457907203472803E-2</v>
      </c>
      <c r="CY37" s="25">
        <v>3.0410024878763299E-2</v>
      </c>
      <c r="CZ37" s="34">
        <v>1.8924828772226701</v>
      </c>
      <c r="DA37" s="35">
        <v>19</v>
      </c>
      <c r="DB37" s="25">
        <v>34.69</v>
      </c>
      <c r="DC37" s="34">
        <v>54.3</v>
      </c>
      <c r="DD37" s="54"/>
      <c r="DE37" s="55"/>
      <c r="DF37" s="55"/>
      <c r="DG37" s="55"/>
      <c r="DH37" s="55"/>
      <c r="DI37" s="55"/>
      <c r="DJ37" s="55"/>
      <c r="DK37" s="55"/>
      <c r="DL37" s="56"/>
      <c r="DM37" s="54"/>
      <c r="DN37" s="55"/>
      <c r="DO37" s="55"/>
      <c r="DP37" s="55"/>
      <c r="DQ37" s="55"/>
      <c r="DR37" s="55"/>
      <c r="DS37" s="55"/>
      <c r="DT37" s="55"/>
      <c r="DU37" s="57"/>
      <c r="DV37" s="55"/>
      <c r="DW37" s="55"/>
      <c r="DX37" s="55"/>
      <c r="DY37" s="55"/>
      <c r="DZ37" s="55"/>
      <c r="EA37" s="55"/>
      <c r="EB37" s="55"/>
      <c r="EC37" s="55"/>
      <c r="ED37" s="56"/>
      <c r="EE37" s="54"/>
      <c r="EF37" s="55"/>
      <c r="EG37" s="55"/>
      <c r="EH37" s="55"/>
      <c r="EI37" s="55"/>
      <c r="EJ37" s="55"/>
      <c r="EK37" s="55"/>
      <c r="EL37" s="55"/>
      <c r="EM37" s="58"/>
      <c r="EN37" s="39"/>
      <c r="EO37" s="40">
        <f t="shared" si="3"/>
        <v>46174</v>
      </c>
      <c r="EP37" s="40">
        <v>46163</v>
      </c>
      <c r="EQ37" s="40">
        <v>46165</v>
      </c>
      <c r="ER37" s="40" t="s">
        <v>122</v>
      </c>
      <c r="ES37" s="40"/>
      <c r="ET37" s="40">
        <v>45930</v>
      </c>
      <c r="EU37" s="40">
        <v>46150</v>
      </c>
      <c r="EV37" s="40" t="s">
        <v>105</v>
      </c>
      <c r="EW37" s="40"/>
      <c r="EX37" s="40">
        <v>45992</v>
      </c>
      <c r="EY37" s="40">
        <v>46162</v>
      </c>
      <c r="EZ37" s="40" t="s">
        <v>116</v>
      </c>
      <c r="FA37" s="40"/>
      <c r="FB37" s="40">
        <v>45688</v>
      </c>
      <c r="FC37" s="40">
        <v>46139</v>
      </c>
      <c r="FD37" s="40"/>
      <c r="FE37" s="40">
        <v>46038</v>
      </c>
      <c r="FF37" s="40">
        <v>46166</v>
      </c>
      <c r="FG37" s="40"/>
      <c r="FH37" s="40">
        <v>46055</v>
      </c>
      <c r="FI37" s="40">
        <v>46129</v>
      </c>
      <c r="FJ37" s="40"/>
      <c r="FK37" s="40">
        <v>46150</v>
      </c>
      <c r="FL37" s="40">
        <v>46162</v>
      </c>
      <c r="FM37" s="40"/>
      <c r="FN37" s="40"/>
      <c r="FO37" s="40"/>
      <c r="FP37" s="40" t="s">
        <v>80</v>
      </c>
      <c r="FQ37" s="40"/>
      <c r="FR37" s="40"/>
      <c r="FS37" s="40" t="s">
        <v>80</v>
      </c>
      <c r="FT37" s="40">
        <v>46158</v>
      </c>
      <c r="FU37" s="40">
        <v>46161</v>
      </c>
      <c r="FV37" s="40"/>
      <c r="FW37" s="40"/>
      <c r="FX37" s="40"/>
      <c r="FY37" s="40" t="s">
        <v>80</v>
      </c>
      <c r="FZ37" s="40">
        <v>46153</v>
      </c>
      <c r="GA37" s="40">
        <v>46165</v>
      </c>
      <c r="GB37" s="40"/>
      <c r="GC37" s="40">
        <v>46023</v>
      </c>
      <c r="GD37" s="40">
        <v>46162</v>
      </c>
      <c r="GE37" s="40" t="s">
        <v>78</v>
      </c>
      <c r="GF37" s="40">
        <v>46130</v>
      </c>
      <c r="GG37" s="40">
        <v>46164</v>
      </c>
      <c r="GH37" s="40"/>
      <c r="GI37" s="40"/>
      <c r="GJ37" s="40"/>
      <c r="GK37" s="40" t="s">
        <v>80</v>
      </c>
      <c r="GL37" s="40"/>
      <c r="GM37" s="40"/>
      <c r="GN37" s="40" t="s">
        <v>80</v>
      </c>
      <c r="GO37" s="40"/>
      <c r="GP37" s="40"/>
      <c r="GQ37" s="40" t="s">
        <v>80</v>
      </c>
      <c r="GR37" s="40"/>
      <c r="GS37" s="40"/>
      <c r="GT37" s="3" t="s">
        <v>80</v>
      </c>
    </row>
    <row r="38" spans="1:202" s="12" customFormat="1" ht="17" customHeight="1" thickBot="1" x14ac:dyDescent="0.4">
      <c r="A38" s="3"/>
      <c r="B38" s="59"/>
      <c r="C38" s="60"/>
      <c r="D38" s="61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0"/>
      <c r="T38" s="61"/>
      <c r="U38" s="61"/>
      <c r="V38" s="61"/>
      <c r="W38" s="61"/>
      <c r="X38" s="61"/>
      <c r="Y38" s="61"/>
      <c r="Z38" s="61"/>
      <c r="AA38" s="60"/>
      <c r="AB38" s="61"/>
      <c r="AC38" s="61"/>
      <c r="AD38" s="60"/>
      <c r="AE38" s="62"/>
      <c r="AF38" s="61"/>
      <c r="AG38" s="63"/>
      <c r="AH38" s="64"/>
      <c r="AI38" s="61"/>
      <c r="AJ38" s="61"/>
      <c r="AK38" s="63"/>
      <c r="AL38" s="60"/>
      <c r="AM38" s="61"/>
      <c r="AN38" s="61"/>
      <c r="AO38" s="61"/>
      <c r="AP38" s="61"/>
      <c r="AQ38" s="61"/>
      <c r="AR38" s="61"/>
      <c r="AS38" s="61"/>
      <c r="AT38" s="60"/>
      <c r="AU38" s="62"/>
      <c r="AV38" s="61"/>
      <c r="AW38" s="63"/>
      <c r="AX38" s="64"/>
      <c r="AY38" s="61"/>
      <c r="AZ38" s="61"/>
      <c r="BA38" s="63"/>
      <c r="BB38" s="60"/>
      <c r="BC38" s="62"/>
      <c r="BD38" s="61"/>
      <c r="BE38" s="61"/>
      <c r="BF38" s="61"/>
      <c r="BG38" s="61"/>
      <c r="BH38" s="61"/>
      <c r="BI38" s="61"/>
      <c r="BJ38" s="60"/>
      <c r="BK38" s="61"/>
      <c r="BL38" s="61"/>
      <c r="BM38" s="61"/>
      <c r="BN38" s="61"/>
      <c r="BO38" s="61"/>
      <c r="BP38" s="61"/>
      <c r="BQ38" s="61"/>
      <c r="BR38" s="60"/>
      <c r="BS38" s="62"/>
      <c r="BT38" s="61"/>
      <c r="BU38" s="63"/>
      <c r="BV38" s="64"/>
      <c r="BW38" s="61"/>
      <c r="BX38" s="61"/>
      <c r="BY38" s="61"/>
      <c r="BZ38" s="60"/>
      <c r="CA38" s="61"/>
      <c r="CB38" s="61"/>
      <c r="CC38" s="63"/>
      <c r="CD38" s="64"/>
      <c r="CE38" s="61"/>
      <c r="CF38" s="61"/>
      <c r="CG38" s="61"/>
      <c r="CH38" s="60"/>
      <c r="CI38" s="62"/>
      <c r="CJ38" s="61"/>
      <c r="CK38" s="61"/>
      <c r="CL38" s="61"/>
      <c r="CM38" s="61"/>
      <c r="CN38" s="61"/>
      <c r="CO38" s="61"/>
      <c r="CP38" s="60"/>
      <c r="CQ38" s="62"/>
      <c r="CR38" s="61"/>
      <c r="CS38" s="63"/>
      <c r="CT38" s="64"/>
      <c r="CU38" s="61"/>
      <c r="CV38" s="61"/>
      <c r="CW38" s="60"/>
      <c r="CX38" s="62"/>
      <c r="CY38" s="61"/>
      <c r="CZ38" s="63"/>
      <c r="DA38" s="64"/>
      <c r="DB38" s="61"/>
      <c r="DC38" s="63"/>
      <c r="DD38" s="60"/>
      <c r="DE38" s="61"/>
      <c r="DF38" s="61"/>
      <c r="DG38" s="61"/>
      <c r="DH38" s="61"/>
      <c r="DI38" s="61"/>
      <c r="DJ38" s="61"/>
      <c r="DK38" s="61"/>
      <c r="DL38" s="65"/>
      <c r="DM38" s="60"/>
      <c r="DN38" s="61"/>
      <c r="DO38" s="61"/>
      <c r="DP38" s="61"/>
      <c r="DQ38" s="61"/>
      <c r="DR38" s="61"/>
      <c r="DS38" s="61"/>
      <c r="DT38" s="61"/>
      <c r="DU38" s="66"/>
      <c r="DV38" s="61"/>
      <c r="DW38" s="61"/>
      <c r="DX38" s="61"/>
      <c r="DY38" s="61"/>
      <c r="DZ38" s="61"/>
      <c r="EA38" s="61"/>
      <c r="EB38" s="61"/>
      <c r="EC38" s="61"/>
      <c r="ED38" s="61"/>
      <c r="EE38" s="60"/>
      <c r="EF38" s="61"/>
      <c r="EG38" s="61"/>
      <c r="EH38" s="61"/>
      <c r="EI38" s="61"/>
      <c r="EJ38" s="61"/>
      <c r="EK38" s="61"/>
      <c r="EL38" s="61"/>
      <c r="EM38" s="61"/>
      <c r="EN38" s="67"/>
      <c r="EO38" s="40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  <c r="FZ38" s="68"/>
      <c r="GA38" s="68"/>
      <c r="GB38" s="68"/>
      <c r="GC38" s="68"/>
      <c r="GD38" s="68"/>
      <c r="GE38" s="68"/>
      <c r="GF38" s="68"/>
      <c r="GG38" s="68"/>
      <c r="GH38" s="68"/>
      <c r="GI38" s="68"/>
      <c r="GJ38" s="68"/>
      <c r="GK38" s="68"/>
      <c r="GL38" s="68"/>
      <c r="GM38" s="68"/>
      <c r="GN38" s="68"/>
      <c r="GO38" s="68"/>
      <c r="GP38" s="68"/>
      <c r="GQ38" s="68"/>
      <c r="GR38" s="68"/>
      <c r="GS38" s="68"/>
    </row>
    <row r="39" spans="1:202" s="12" customFormat="1" ht="17" hidden="1" customHeight="1" thickBot="1" x14ac:dyDescent="0.4">
      <c r="A39" s="3"/>
      <c r="B39" s="69">
        <f>B6-1</f>
        <v>46142</v>
      </c>
      <c r="C39" s="60"/>
      <c r="D39" s="61"/>
      <c r="E39" s="61"/>
      <c r="F39" s="61"/>
      <c r="G39" s="61"/>
      <c r="H39" s="61"/>
      <c r="I39" s="61"/>
      <c r="J39" s="61"/>
      <c r="K39" s="60"/>
      <c r="L39" s="61"/>
      <c r="M39" s="61"/>
      <c r="N39" s="61"/>
      <c r="O39" s="61"/>
      <c r="P39" s="61"/>
      <c r="Q39" s="61"/>
      <c r="R39" s="61"/>
      <c r="S39" s="60"/>
      <c r="T39" s="61"/>
      <c r="U39" s="61"/>
      <c r="V39" s="61"/>
      <c r="W39" s="61"/>
      <c r="X39" s="61"/>
      <c r="Y39" s="61"/>
      <c r="Z39" s="61"/>
      <c r="AA39" s="60"/>
      <c r="AB39" s="61"/>
      <c r="AC39" s="61"/>
      <c r="AD39" s="60"/>
      <c r="AE39" s="61"/>
      <c r="AF39" s="61"/>
      <c r="AG39" s="61"/>
      <c r="AH39" s="61"/>
      <c r="AI39" s="61"/>
      <c r="AJ39" s="61"/>
      <c r="AK39" s="61"/>
      <c r="AL39" s="60"/>
      <c r="AM39" s="61"/>
      <c r="AN39" s="61"/>
      <c r="AO39" s="61"/>
      <c r="AP39" s="61"/>
      <c r="AQ39" s="61"/>
      <c r="AR39" s="61"/>
      <c r="AS39" s="61"/>
      <c r="AT39" s="60"/>
      <c r="AU39" s="61"/>
      <c r="AV39" s="61"/>
      <c r="AW39" s="61"/>
      <c r="AX39" s="61"/>
      <c r="AY39" s="61"/>
      <c r="AZ39" s="61"/>
      <c r="BA39" s="61"/>
      <c r="BB39" s="60"/>
      <c r="BC39" s="61"/>
      <c r="BD39" s="61"/>
      <c r="BE39" s="61"/>
      <c r="BF39" s="61"/>
      <c r="BG39" s="61"/>
      <c r="BH39" s="61"/>
      <c r="BI39" s="61"/>
      <c r="BJ39" s="60"/>
      <c r="BK39" s="61"/>
      <c r="BL39" s="61"/>
      <c r="BM39" s="61"/>
      <c r="BN39" s="61"/>
      <c r="BO39" s="61"/>
      <c r="BP39" s="61"/>
      <c r="BQ39" s="61"/>
      <c r="BR39" s="60"/>
      <c r="BS39" s="61"/>
      <c r="BT39" s="61"/>
      <c r="BU39" s="61"/>
      <c r="BV39" s="61"/>
      <c r="BW39" s="61"/>
      <c r="BX39" s="61"/>
      <c r="BY39" s="61"/>
      <c r="BZ39" s="60"/>
      <c r="CA39" s="61"/>
      <c r="CB39" s="61"/>
      <c r="CC39" s="61"/>
      <c r="CD39" s="61"/>
      <c r="CE39" s="61"/>
      <c r="CF39" s="61"/>
      <c r="CG39" s="61"/>
      <c r="CH39" s="60"/>
      <c r="CI39" s="61"/>
      <c r="CJ39" s="61"/>
      <c r="CK39" s="61"/>
      <c r="CL39" s="61"/>
      <c r="CM39" s="61"/>
      <c r="CN39" s="61"/>
      <c r="CO39" s="61"/>
      <c r="CP39" s="60"/>
      <c r="CQ39" s="61"/>
      <c r="CR39" s="61"/>
      <c r="CS39" s="61"/>
      <c r="CT39" s="61"/>
      <c r="CU39" s="61"/>
      <c r="CV39" s="61"/>
      <c r="CW39" s="60"/>
      <c r="CX39" s="61"/>
      <c r="CY39" s="61"/>
      <c r="CZ39" s="61"/>
      <c r="DA39" s="61"/>
      <c r="DB39" s="61"/>
      <c r="DC39" s="61"/>
      <c r="DD39" s="60"/>
      <c r="DE39" s="61"/>
      <c r="DF39" s="61"/>
      <c r="DG39" s="61"/>
      <c r="DH39" s="61"/>
      <c r="DI39" s="61"/>
      <c r="DJ39" s="61"/>
      <c r="DK39" s="61"/>
      <c r="DL39" s="61"/>
      <c r="DM39" s="60"/>
      <c r="DN39" s="61"/>
      <c r="DO39" s="61"/>
      <c r="DP39" s="61"/>
      <c r="DQ39" s="61"/>
      <c r="DR39" s="61"/>
      <c r="DS39" s="61"/>
      <c r="DT39" s="61"/>
      <c r="DU39" s="66"/>
      <c r="DV39" s="61"/>
      <c r="DW39" s="61"/>
      <c r="DX39" s="61"/>
      <c r="DY39" s="61"/>
      <c r="DZ39" s="61"/>
      <c r="EA39" s="61"/>
      <c r="EB39" s="61"/>
      <c r="EC39" s="61"/>
      <c r="ED39" s="61"/>
      <c r="EE39" s="60"/>
      <c r="EF39" s="61"/>
      <c r="EG39" s="61"/>
      <c r="EH39" s="61"/>
      <c r="EI39" s="61"/>
      <c r="EJ39" s="61"/>
      <c r="EK39" s="61"/>
      <c r="EL39" s="61"/>
      <c r="EM39" s="61"/>
      <c r="EN39" s="67"/>
      <c r="EO39" s="3"/>
    </row>
    <row r="42" spans="1:202" x14ac:dyDescent="0.35">
      <c r="K42" s="2">
        <v>2508574</v>
      </c>
      <c r="L42" s="70">
        <v>4.6557682492125014</v>
      </c>
      <c r="M42" s="70">
        <v>0.24410661993626659</v>
      </c>
      <c r="N42" s="70">
        <v>1.4107210311515626</v>
      </c>
      <c r="O42" s="70">
        <v>52.879466900318668</v>
      </c>
      <c r="P42" s="70">
        <v>2.0197492679107731</v>
      </c>
      <c r="Q42" s="70">
        <v>2.3870219096586345</v>
      </c>
      <c r="R42" s="70">
        <v>6.4265204454801808</v>
      </c>
    </row>
    <row r="43" spans="1:202" x14ac:dyDescent="0.35">
      <c r="K43" s="2">
        <v>75180</v>
      </c>
      <c r="L43" s="70">
        <v>6.24</v>
      </c>
      <c r="M43" s="70">
        <v>0.3</v>
      </c>
      <c r="N43" s="70">
        <v>1.61</v>
      </c>
      <c r="O43" s="70">
        <v>51.72</v>
      </c>
      <c r="P43" s="70">
        <v>2.4</v>
      </c>
      <c r="Q43" s="70">
        <v>2.25</v>
      </c>
      <c r="R43" s="70">
        <v>7.05</v>
      </c>
    </row>
    <row r="44" spans="1:202" x14ac:dyDescent="0.35">
      <c r="K44" s="2">
        <f>SUM(K42:K43)</f>
        <v>2583754</v>
      </c>
      <c r="L44" s="70">
        <f>((L42*$K$42)+(L43*$K$43))/$K$44</f>
        <v>4.7018649530876395</v>
      </c>
      <c r="M44" s="70">
        <f t="shared" ref="M44:R44" si="5">((M42*$K$42)+(M43*$K$43))/$K$44</f>
        <v>0.24573296064563424</v>
      </c>
      <c r="N44" s="70">
        <f t="shared" si="5"/>
        <v>1.4165194906326222</v>
      </c>
      <c r="O44" s="70">
        <f t="shared" si="5"/>
        <v>52.845729663118085</v>
      </c>
      <c r="P44" s="70">
        <f t="shared" si="5"/>
        <v>2.0308134984986963</v>
      </c>
      <c r="Q44" s="70">
        <f t="shared" si="5"/>
        <v>2.3830349561142428</v>
      </c>
      <c r="R44" s="70">
        <f t="shared" si="5"/>
        <v>6.4446619531116349</v>
      </c>
    </row>
  </sheetData>
  <mergeCells count="74">
    <mergeCell ref="B2:B5"/>
    <mergeCell ref="C2:Z2"/>
    <mergeCell ref="AA2:AC2"/>
    <mergeCell ref="AD2:AS2"/>
    <mergeCell ref="AT2:BA2"/>
    <mergeCell ref="DV3:ED3"/>
    <mergeCell ref="CP2:CV2"/>
    <mergeCell ref="CW2:DC2"/>
    <mergeCell ref="DD2:EM2"/>
    <mergeCell ref="C3:J3"/>
    <mergeCell ref="K3:R3"/>
    <mergeCell ref="S3:Z3"/>
    <mergeCell ref="AA3:AC3"/>
    <mergeCell ref="AD3:AK3"/>
    <mergeCell ref="AL3:AS3"/>
    <mergeCell ref="AT3:BA3"/>
    <mergeCell ref="BB2:CO2"/>
    <mergeCell ref="BB3:BI3"/>
    <mergeCell ref="BJ3:BQ3"/>
    <mergeCell ref="BR3:BY3"/>
    <mergeCell ref="BZ3:CG3"/>
    <mergeCell ref="BU4:BV4"/>
    <mergeCell ref="EE3:EM3"/>
    <mergeCell ref="C4:C5"/>
    <mergeCell ref="K4:K5"/>
    <mergeCell ref="S4:S5"/>
    <mergeCell ref="AA4:AA5"/>
    <mergeCell ref="AD4:AD5"/>
    <mergeCell ref="AG4:AH4"/>
    <mergeCell ref="AL4:AL5"/>
    <mergeCell ref="AO4:AP4"/>
    <mergeCell ref="AT4:AT5"/>
    <mergeCell ref="CH3:CO3"/>
    <mergeCell ref="CP3:CV3"/>
    <mergeCell ref="CW3:DC3"/>
    <mergeCell ref="DD3:DL3"/>
    <mergeCell ref="DM3:DU3"/>
    <mergeCell ref="AW4:AX4"/>
    <mergeCell ref="BB4:BB5"/>
    <mergeCell ref="BE4:BF4"/>
    <mergeCell ref="BJ4:BJ5"/>
    <mergeCell ref="BM4:BN4"/>
    <mergeCell ref="EE4:EE5"/>
    <mergeCell ref="CC4:CD4"/>
    <mergeCell ref="CK4:CL4"/>
    <mergeCell ref="CP4:CP5"/>
    <mergeCell ref="CS4:CT4"/>
    <mergeCell ref="CW4:CW5"/>
    <mergeCell ref="CZ4:DA4"/>
    <mergeCell ref="DD4:DD5"/>
    <mergeCell ref="DG4:DH4"/>
    <mergeCell ref="DM4:DM5"/>
    <mergeCell ref="DP4:DQ4"/>
    <mergeCell ref="DY4:DZ4"/>
    <mergeCell ref="FT4:FV4"/>
    <mergeCell ref="EH4:EI4"/>
    <mergeCell ref="EO4:EO5"/>
    <mergeCell ref="EP4:ES4"/>
    <mergeCell ref="ET4:EW4"/>
    <mergeCell ref="EX4:FA4"/>
    <mergeCell ref="FB4:FD4"/>
    <mergeCell ref="FE4:FG4"/>
    <mergeCell ref="FH4:FJ4"/>
    <mergeCell ref="FK4:FM4"/>
    <mergeCell ref="FN4:FP4"/>
    <mergeCell ref="FQ4:FS4"/>
    <mergeCell ref="GO4:GQ4"/>
    <mergeCell ref="GR4:GT4"/>
    <mergeCell ref="FW4:FY4"/>
    <mergeCell ref="FZ4:GB4"/>
    <mergeCell ref="GC4:GE4"/>
    <mergeCell ref="GF4:GH4"/>
    <mergeCell ref="GI4:GK4"/>
    <mergeCell ref="GL4:GN4"/>
  </mergeCells>
  <conditionalFormatting sqref="D6:D37 L6:L37 T6:T37">
    <cfRule type="cellIs" dxfId="49" priority="25" operator="greaterThan">
      <formula>5</formula>
    </cfRule>
  </conditionalFormatting>
  <conditionalFormatting sqref="E6:E37 M6:M37 U6:U37">
    <cfRule type="cellIs" dxfId="48" priority="24" operator="greaterThan">
      <formula>0.5</formula>
    </cfRule>
  </conditionalFormatting>
  <conditionalFormatting sqref="F6:F37 N6:N37 V6:V37">
    <cfRule type="cellIs" dxfId="47" priority="23" operator="lessThan">
      <formula>2</formula>
    </cfRule>
  </conditionalFormatting>
  <conditionalFormatting sqref="G6:G37 O6:O37 W6:W37">
    <cfRule type="cellIs" dxfId="46" priority="22" operator="lessThan">
      <formula>51</formula>
    </cfRule>
  </conditionalFormatting>
  <conditionalFormatting sqref="H6:H37 P6:P37 X6:X37">
    <cfRule type="cellIs" dxfId="45" priority="21" operator="greaterThan">
      <formula>2.5</formula>
    </cfRule>
  </conditionalFormatting>
  <conditionalFormatting sqref="I6:I37 Q6:Q37 Y6:Y37">
    <cfRule type="cellIs" dxfId="44" priority="20" operator="greaterThan">
      <formula>5</formula>
    </cfRule>
  </conditionalFormatting>
  <conditionalFormatting sqref="J6:J37 R6:R37 Z6:Z37">
    <cfRule type="cellIs" dxfId="43" priority="19" operator="greaterThan">
      <formula>10</formula>
    </cfRule>
  </conditionalFormatting>
  <conditionalFormatting sqref="AB6:AB37">
    <cfRule type="cellIs" dxfId="42" priority="18" operator="lessThan">
      <formula>70</formula>
    </cfRule>
  </conditionalFormatting>
  <conditionalFormatting sqref="AC6:AC37">
    <cfRule type="cellIs" dxfId="41" priority="17" operator="greaterThan">
      <formula>1</formula>
    </cfRule>
  </conditionalFormatting>
  <conditionalFormatting sqref="AE6:AE37 AM6:AM37">
    <cfRule type="cellIs" dxfId="40" priority="16" operator="greaterThan">
      <formula>0.2</formula>
    </cfRule>
  </conditionalFormatting>
  <conditionalFormatting sqref="AF6:AF37 AN6:AN37">
    <cfRule type="cellIs" dxfId="39" priority="15" operator="greaterThan">
      <formula>0.15</formula>
    </cfRule>
  </conditionalFormatting>
  <conditionalFormatting sqref="AG6:AG37 AO6:AO37">
    <cfRule type="cellIs" dxfId="38" priority="14" operator="greaterThan">
      <formula>3</formula>
    </cfRule>
  </conditionalFormatting>
  <conditionalFormatting sqref="AI6:AI37 AQ6:AQ37">
    <cfRule type="cellIs" dxfId="37" priority="13" operator="lessThan">
      <formula>30</formula>
    </cfRule>
  </conditionalFormatting>
  <conditionalFormatting sqref="AK6:AK37 AS6:AS37">
    <cfRule type="cellIs" dxfId="36" priority="12" operator="lessThan">
      <formula>44</formula>
    </cfRule>
  </conditionalFormatting>
  <conditionalFormatting sqref="AU6:AU37">
    <cfRule type="cellIs" dxfId="35" priority="2" operator="lessThan">
      <formula>70</formula>
    </cfRule>
  </conditionalFormatting>
  <conditionalFormatting sqref="AV6:AV37">
    <cfRule type="cellIs" dxfId="34" priority="1" operator="greaterThan">
      <formula>1</formula>
    </cfRule>
  </conditionalFormatting>
  <conditionalFormatting sqref="AW6:AW37 BE6:BE37 BM6:BM37 BU6:BU37 CC6:CC37 CK6:CK37 CS6:CS37 CZ6:CZ37 DG6:DG37 DP6:DP37 DY6:DY37 EH6:EH37">
    <cfRule type="cellIs" dxfId="33" priority="10" operator="greaterThan">
      <formula>3</formula>
    </cfRule>
  </conditionalFormatting>
  <conditionalFormatting sqref="AY6:AY37 BG6:BG37 BO6:BO37 BW6:BW37 CM6:CM37 DI6:DI37 DR6:DR37 EA6:EA37 EJ6:EJ37 CE6:CE38">
    <cfRule type="cellIs" dxfId="32" priority="9" operator="lessThan">
      <formula>56</formula>
    </cfRule>
  </conditionalFormatting>
  <conditionalFormatting sqref="BA6:BA37 BI6:BI37 BQ6:BQ37 BY6:BY37 CG6:CG37 CO6:CO37 DK6:DK37 DT6:DT37 EC6:EC37 EL6:EL37">
    <cfRule type="cellIs" dxfId="31" priority="8" operator="greaterThan">
      <formula>10</formula>
    </cfRule>
  </conditionalFormatting>
  <conditionalFormatting sqref="BC6:BD37 BK6:BL37 BS6:BT37 CA6:CB37 CI6:CJ37 DE6:DF37 DN6:DO37 DW6:DX37 EF6:EG37">
    <cfRule type="cellIs" dxfId="30" priority="11" operator="greaterThan">
      <formula>0.1</formula>
    </cfRule>
  </conditionalFormatting>
  <conditionalFormatting sqref="CQ6:CR37 CX6:CY37">
    <cfRule type="cellIs" dxfId="29" priority="7" operator="greaterThan">
      <formula>0.1</formula>
    </cfRule>
  </conditionalFormatting>
  <conditionalFormatting sqref="CU6:CU37">
    <cfRule type="cellIs" dxfId="28" priority="6" operator="lessThan">
      <formula>50</formula>
    </cfRule>
  </conditionalFormatting>
  <conditionalFormatting sqref="CV6:CV37">
    <cfRule type="cellIs" dxfId="27" priority="5" operator="greaterThan">
      <formula>1</formula>
    </cfRule>
  </conditionalFormatting>
  <conditionalFormatting sqref="DB6:DB38">
    <cfRule type="cellIs" dxfId="26" priority="4" operator="lessThan">
      <formula>30</formula>
    </cfRule>
  </conditionalFormatting>
  <conditionalFormatting sqref="DC6:DC38">
    <cfRule type="cellIs" dxfId="25" priority="3" operator="lessThan">
      <formula>44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DD1D-CED1-4CF4-AB46-865094E62B93}">
  <dimension ref="A1:GT44"/>
  <sheetViews>
    <sheetView view="pageBreakPreview" zoomScale="60" zoomScaleNormal="10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AA10" sqref="AA10"/>
    </sheetView>
  </sheetViews>
  <sheetFormatPr defaultColWidth="8.81640625" defaultRowHeight="14.5" x14ac:dyDescent="0.35"/>
  <cols>
    <col min="1" max="1" width="8.81640625" style="3"/>
    <col min="2" max="2" width="14.81640625" style="3" customWidth="1"/>
    <col min="3" max="3" width="10.7265625" style="2" customWidth="1"/>
    <col min="4" max="10" width="8.90625" style="70" customWidth="1"/>
    <col min="11" max="11" width="11.81640625" style="2" customWidth="1"/>
    <col min="12" max="18" width="8.90625" style="70" customWidth="1"/>
    <col min="19" max="19" width="10.453125" style="2" bestFit="1" customWidth="1"/>
    <col min="20" max="26" width="8.81640625" style="70" customWidth="1"/>
    <col min="27" max="27" width="8.81640625" style="2" customWidth="1"/>
    <col min="28" max="29" width="8.81640625" style="70" customWidth="1"/>
    <col min="30" max="30" width="8.81640625" style="2" customWidth="1"/>
    <col min="31" max="37" width="8.81640625" style="70" customWidth="1"/>
    <col min="38" max="38" width="8.81640625" style="2" customWidth="1"/>
    <col min="39" max="45" width="8.81640625" style="70" customWidth="1"/>
    <col min="46" max="46" width="8.81640625" style="2" customWidth="1"/>
    <col min="47" max="48" width="8.81640625" style="70" customWidth="1"/>
    <col min="49" max="53" width="8.81640625" style="70" hidden="1" customWidth="1"/>
    <col min="54" max="54" width="8.81640625" style="2" customWidth="1"/>
    <col min="55" max="61" width="8.81640625" style="70" customWidth="1"/>
    <col min="62" max="62" width="8.81640625" style="2" customWidth="1"/>
    <col min="63" max="69" width="8.81640625" style="70" customWidth="1"/>
    <col min="70" max="70" width="8.81640625" style="2" customWidth="1"/>
    <col min="71" max="77" width="8.81640625" style="70" customWidth="1"/>
    <col min="78" max="78" width="8.81640625" style="2" customWidth="1"/>
    <col min="79" max="85" width="8.81640625" style="70" customWidth="1"/>
    <col min="86" max="86" width="8.81640625" style="2" customWidth="1"/>
    <col min="87" max="93" width="8.81640625" style="70" customWidth="1"/>
    <col min="94" max="94" width="10.1796875" style="2" customWidth="1"/>
    <col min="95" max="100" width="8.81640625" style="70" customWidth="1"/>
    <col min="101" max="101" width="10.1796875" style="2" bestFit="1" customWidth="1"/>
    <col min="102" max="107" width="8.81640625" style="70" customWidth="1"/>
    <col min="108" max="108" width="8.81640625" style="2" customWidth="1"/>
    <col min="109" max="116" width="8.81640625" style="70" customWidth="1"/>
    <col min="117" max="117" width="8.81640625" style="2" customWidth="1"/>
    <col min="118" max="124" width="8.81640625" style="70" customWidth="1"/>
    <col min="125" max="125" width="8.81640625" style="3" customWidth="1"/>
    <col min="126" max="134" width="8.81640625" style="70" customWidth="1"/>
    <col min="135" max="135" width="8.81640625" style="2" customWidth="1"/>
    <col min="136" max="144" width="8.81640625" style="70" customWidth="1"/>
    <col min="145" max="145" width="11.54296875" style="3" bestFit="1" customWidth="1"/>
    <col min="146" max="147" width="11.6328125" style="3" bestFit="1" customWidth="1"/>
    <col min="148" max="148" width="18.453125" style="3" bestFit="1" customWidth="1"/>
    <col min="149" max="149" width="18.453125" style="3" customWidth="1"/>
    <col min="150" max="150" width="11.36328125" style="3" bestFit="1" customWidth="1"/>
    <col min="151" max="151" width="11.6328125" style="3" bestFit="1" customWidth="1"/>
    <col min="152" max="152" width="18.7265625" style="3" bestFit="1" customWidth="1"/>
    <col min="153" max="153" width="18.7265625" style="3" customWidth="1"/>
    <col min="154" max="155" width="11.1796875" style="3" bestFit="1" customWidth="1"/>
    <col min="156" max="156" width="18.7265625" style="3" bestFit="1" customWidth="1"/>
    <col min="157" max="157" width="13.453125" style="3" bestFit="1" customWidth="1"/>
    <col min="158" max="158" width="10.81640625" style="3" bestFit="1" customWidth="1"/>
    <col min="159" max="159" width="11.08984375" style="3" bestFit="1" customWidth="1"/>
    <col min="160" max="160" width="11.08984375" style="3" customWidth="1"/>
    <col min="161" max="161" width="10.81640625" style="3" bestFit="1" customWidth="1"/>
    <col min="162" max="162" width="11.26953125" style="3" bestFit="1" customWidth="1"/>
    <col min="163" max="163" width="12.6328125" style="3" bestFit="1" customWidth="1"/>
    <col min="164" max="165" width="11.08984375" style="3" bestFit="1" customWidth="1"/>
    <col min="166" max="166" width="11.08984375" style="3" customWidth="1"/>
    <col min="167" max="168" width="11.26953125" style="3" bestFit="1" customWidth="1"/>
    <col min="169" max="169" width="10.81640625" style="3" customWidth="1"/>
    <col min="170" max="171" width="10.81640625" style="3" bestFit="1" customWidth="1"/>
    <col min="172" max="172" width="14.26953125" style="3" bestFit="1" customWidth="1"/>
    <col min="173" max="173" width="10.81640625" style="3" bestFit="1" customWidth="1"/>
    <col min="174" max="174" width="11.08984375" style="3" bestFit="1" customWidth="1"/>
    <col min="175" max="175" width="14.26953125" style="3" bestFit="1" customWidth="1"/>
    <col min="176" max="176" width="11.26953125" style="3" bestFit="1" customWidth="1"/>
    <col min="177" max="177" width="11.08984375" style="3" bestFit="1" customWidth="1"/>
    <col min="178" max="178" width="20.6328125" style="3" bestFit="1" customWidth="1"/>
    <col min="179" max="180" width="11.26953125" style="3" bestFit="1" customWidth="1"/>
    <col min="181" max="181" width="21.54296875" style="3" bestFit="1" customWidth="1"/>
    <col min="182" max="183" width="11.54296875" style="3" bestFit="1" customWidth="1"/>
    <col min="184" max="184" width="29.26953125" style="3" bestFit="1" customWidth="1"/>
    <col min="185" max="185" width="10.81640625" style="3" bestFit="1" customWidth="1"/>
    <col min="186" max="186" width="11.26953125" style="3" bestFit="1" customWidth="1"/>
    <col min="187" max="187" width="15.08984375" style="3" bestFit="1" customWidth="1"/>
    <col min="188" max="188" width="11.1796875" style="3" bestFit="1" customWidth="1"/>
    <col min="189" max="189" width="11.26953125" style="3" bestFit="1" customWidth="1"/>
    <col min="190" max="190" width="15.08984375" style="3" bestFit="1" customWidth="1"/>
    <col min="191" max="193" width="8.81640625" style="3"/>
    <col min="194" max="195" width="11.08984375" style="3" bestFit="1" customWidth="1"/>
    <col min="196" max="196" width="11.08984375" style="3" customWidth="1"/>
    <col min="197" max="16384" width="8.81640625" style="3"/>
  </cols>
  <sheetData>
    <row r="1" spans="2:202" x14ac:dyDescent="0.35">
      <c r="B1" s="3">
        <v>1</v>
      </c>
      <c r="C1" s="2">
        <v>2</v>
      </c>
      <c r="D1" s="3">
        <v>3</v>
      </c>
      <c r="E1" s="2">
        <v>4</v>
      </c>
      <c r="F1" s="3">
        <v>5</v>
      </c>
      <c r="G1" s="2">
        <v>6</v>
      </c>
      <c r="H1" s="3">
        <v>7</v>
      </c>
      <c r="I1" s="2">
        <v>8</v>
      </c>
      <c r="J1" s="3">
        <v>9</v>
      </c>
      <c r="K1" s="2">
        <v>10</v>
      </c>
      <c r="L1" s="3">
        <v>11</v>
      </c>
      <c r="M1" s="2">
        <v>12</v>
      </c>
      <c r="N1" s="3">
        <v>13</v>
      </c>
      <c r="O1" s="2">
        <v>14</v>
      </c>
      <c r="P1" s="3">
        <v>15</v>
      </c>
      <c r="Q1" s="2">
        <v>16</v>
      </c>
      <c r="R1" s="3">
        <v>17</v>
      </c>
      <c r="S1" s="2">
        <v>18</v>
      </c>
      <c r="T1" s="3">
        <v>19</v>
      </c>
      <c r="U1" s="2">
        <v>20</v>
      </c>
      <c r="V1" s="3">
        <v>21</v>
      </c>
      <c r="W1" s="2">
        <v>22</v>
      </c>
      <c r="X1" s="3">
        <v>23</v>
      </c>
      <c r="Y1" s="2">
        <v>24</v>
      </c>
      <c r="Z1" s="3">
        <v>25</v>
      </c>
      <c r="AA1" s="2">
        <v>26</v>
      </c>
      <c r="AB1" s="3">
        <v>27</v>
      </c>
      <c r="AC1" s="2">
        <v>28</v>
      </c>
      <c r="AD1" s="3">
        <v>29</v>
      </c>
      <c r="AE1" s="2">
        <v>30</v>
      </c>
      <c r="AF1" s="3">
        <v>31</v>
      </c>
      <c r="AG1" s="2">
        <v>32</v>
      </c>
      <c r="AH1" s="3">
        <v>33</v>
      </c>
      <c r="AI1" s="2">
        <v>34</v>
      </c>
      <c r="AJ1" s="3">
        <v>35</v>
      </c>
      <c r="AK1" s="2">
        <v>36</v>
      </c>
      <c r="AL1" s="3">
        <v>37</v>
      </c>
      <c r="AM1" s="2">
        <v>38</v>
      </c>
      <c r="AN1" s="3">
        <v>39</v>
      </c>
      <c r="AO1" s="2">
        <v>40</v>
      </c>
      <c r="AP1" s="3">
        <v>41</v>
      </c>
      <c r="AQ1" s="2">
        <v>42</v>
      </c>
      <c r="AR1" s="3">
        <v>43</v>
      </c>
      <c r="AS1" s="2">
        <v>44</v>
      </c>
      <c r="AT1" s="3">
        <v>45</v>
      </c>
      <c r="AU1" s="2">
        <v>46</v>
      </c>
      <c r="AV1" s="3">
        <v>47</v>
      </c>
      <c r="AW1" s="2">
        <v>48</v>
      </c>
      <c r="AX1" s="3">
        <v>49</v>
      </c>
      <c r="AY1" s="2">
        <v>50</v>
      </c>
      <c r="AZ1" s="3">
        <v>51</v>
      </c>
      <c r="BA1" s="2">
        <v>52</v>
      </c>
      <c r="BB1" s="3">
        <v>53</v>
      </c>
      <c r="BC1" s="2">
        <v>54</v>
      </c>
      <c r="BD1" s="3">
        <v>55</v>
      </c>
      <c r="BE1" s="2">
        <v>56</v>
      </c>
      <c r="BF1" s="3">
        <v>57</v>
      </c>
      <c r="BG1" s="2">
        <v>58</v>
      </c>
      <c r="BH1" s="3">
        <v>59</v>
      </c>
      <c r="BI1" s="2">
        <v>60</v>
      </c>
      <c r="BJ1" s="3">
        <v>61</v>
      </c>
      <c r="BK1" s="2">
        <v>62</v>
      </c>
      <c r="BL1" s="3">
        <v>63</v>
      </c>
      <c r="BM1" s="2">
        <v>64</v>
      </c>
      <c r="BN1" s="3">
        <v>65</v>
      </c>
      <c r="BO1" s="2">
        <v>66</v>
      </c>
      <c r="BP1" s="3">
        <v>67</v>
      </c>
      <c r="BQ1" s="2">
        <v>68</v>
      </c>
      <c r="BR1" s="3">
        <v>69</v>
      </c>
      <c r="BS1" s="2">
        <v>70</v>
      </c>
      <c r="BT1" s="3">
        <v>71</v>
      </c>
      <c r="BU1" s="2">
        <v>72</v>
      </c>
      <c r="BV1" s="3">
        <v>73</v>
      </c>
      <c r="BW1" s="2">
        <v>74</v>
      </c>
      <c r="BX1" s="3">
        <v>75</v>
      </c>
      <c r="BY1" s="2">
        <v>76</v>
      </c>
      <c r="BZ1" s="3">
        <v>77</v>
      </c>
      <c r="CA1" s="2">
        <v>78</v>
      </c>
      <c r="CB1" s="3">
        <v>79</v>
      </c>
      <c r="CC1" s="2">
        <v>80</v>
      </c>
      <c r="CD1" s="3">
        <v>81</v>
      </c>
      <c r="CE1" s="2">
        <v>82</v>
      </c>
      <c r="CF1" s="3">
        <v>83</v>
      </c>
      <c r="CG1" s="2">
        <v>84</v>
      </c>
      <c r="CH1" s="3">
        <v>85</v>
      </c>
      <c r="CI1" s="2">
        <v>86</v>
      </c>
      <c r="CJ1" s="3">
        <v>87</v>
      </c>
      <c r="CK1" s="2">
        <v>88</v>
      </c>
      <c r="CL1" s="3">
        <v>89</v>
      </c>
      <c r="CM1" s="2">
        <v>90</v>
      </c>
      <c r="CN1" s="3">
        <v>91</v>
      </c>
      <c r="CO1" s="2">
        <v>92</v>
      </c>
      <c r="CP1" s="3">
        <v>93</v>
      </c>
      <c r="CQ1" s="2">
        <v>94</v>
      </c>
      <c r="CR1" s="3">
        <v>95</v>
      </c>
      <c r="CS1" s="2">
        <v>96</v>
      </c>
      <c r="CT1" s="3">
        <v>97</v>
      </c>
      <c r="CU1" s="2">
        <v>98</v>
      </c>
      <c r="CV1" s="3">
        <v>99</v>
      </c>
      <c r="CW1" s="2">
        <v>100</v>
      </c>
      <c r="CX1" s="3">
        <v>101</v>
      </c>
      <c r="CY1" s="2">
        <v>102</v>
      </c>
      <c r="CZ1" s="3">
        <v>103</v>
      </c>
      <c r="DA1" s="2">
        <v>104</v>
      </c>
      <c r="DB1" s="3">
        <v>105</v>
      </c>
      <c r="DC1" s="2">
        <v>106</v>
      </c>
      <c r="DD1" s="3">
        <v>107</v>
      </c>
      <c r="DE1" s="2">
        <v>108</v>
      </c>
      <c r="DF1" s="3">
        <v>109</v>
      </c>
      <c r="DG1" s="2">
        <v>110</v>
      </c>
      <c r="DH1" s="3">
        <v>111</v>
      </c>
      <c r="DI1" s="2">
        <v>112</v>
      </c>
      <c r="DJ1" s="3">
        <v>113</v>
      </c>
      <c r="DK1" s="2">
        <v>114</v>
      </c>
      <c r="DL1" s="3">
        <v>115</v>
      </c>
      <c r="DM1" s="2">
        <v>116</v>
      </c>
      <c r="DN1" s="3">
        <v>117</v>
      </c>
      <c r="DO1" s="2">
        <v>118</v>
      </c>
      <c r="DP1" s="3">
        <v>119</v>
      </c>
      <c r="DQ1" s="2">
        <v>120</v>
      </c>
      <c r="DR1" s="3">
        <v>121</v>
      </c>
      <c r="DS1" s="2">
        <v>122</v>
      </c>
      <c r="DT1" s="3">
        <v>123</v>
      </c>
      <c r="DU1" s="2">
        <v>124</v>
      </c>
      <c r="DV1" s="3">
        <v>125</v>
      </c>
      <c r="DW1" s="2">
        <v>126</v>
      </c>
      <c r="DX1" s="3">
        <v>127</v>
      </c>
      <c r="DY1" s="2">
        <v>128</v>
      </c>
      <c r="DZ1" s="3">
        <v>129</v>
      </c>
      <c r="EA1" s="2">
        <v>130</v>
      </c>
      <c r="EB1" s="3">
        <v>131</v>
      </c>
      <c r="EC1" s="2">
        <v>132</v>
      </c>
      <c r="ED1" s="3">
        <v>133</v>
      </c>
      <c r="EE1" s="2">
        <v>134</v>
      </c>
      <c r="EF1" s="3">
        <v>135</v>
      </c>
      <c r="EG1" s="2">
        <v>136</v>
      </c>
      <c r="EH1" s="3">
        <v>137</v>
      </c>
      <c r="EI1" s="2">
        <v>138</v>
      </c>
      <c r="EJ1" s="3">
        <v>139</v>
      </c>
      <c r="EK1" s="2">
        <v>140</v>
      </c>
      <c r="EL1" s="3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</row>
    <row r="2" spans="2:202" x14ac:dyDescent="0.35">
      <c r="B2" s="123" t="s">
        <v>1</v>
      </c>
      <c r="C2" s="121" t="s">
        <v>2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2" t="s">
        <v>3</v>
      </c>
      <c r="AB2" s="122"/>
      <c r="AC2" s="122"/>
      <c r="AD2" s="113" t="s">
        <v>4</v>
      </c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24" t="s">
        <v>3</v>
      </c>
      <c r="AU2" s="125"/>
      <c r="AV2" s="125"/>
      <c r="AW2" s="125"/>
      <c r="AX2" s="125"/>
      <c r="AY2" s="125"/>
      <c r="AZ2" s="125"/>
      <c r="BA2" s="126"/>
      <c r="BB2" s="127" t="s">
        <v>5</v>
      </c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9"/>
      <c r="CP2" s="115" t="s">
        <v>6</v>
      </c>
      <c r="CQ2" s="116"/>
      <c r="CR2" s="116"/>
      <c r="CS2" s="116"/>
      <c r="CT2" s="116"/>
      <c r="CU2" s="116"/>
      <c r="CV2" s="117"/>
      <c r="CW2" s="118" t="s">
        <v>4</v>
      </c>
      <c r="CX2" s="119"/>
      <c r="CY2" s="119"/>
      <c r="CZ2" s="119"/>
      <c r="DA2" s="119"/>
      <c r="DB2" s="119"/>
      <c r="DC2" s="120"/>
      <c r="DD2" s="110" t="s">
        <v>7</v>
      </c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2"/>
    </row>
    <row r="3" spans="2:202" x14ac:dyDescent="0.35">
      <c r="B3" s="123"/>
      <c r="C3" s="121" t="s">
        <v>8</v>
      </c>
      <c r="D3" s="121"/>
      <c r="E3" s="121"/>
      <c r="F3" s="121"/>
      <c r="G3" s="121"/>
      <c r="H3" s="121"/>
      <c r="I3" s="121"/>
      <c r="J3" s="121"/>
      <c r="K3" s="121" t="s">
        <v>9</v>
      </c>
      <c r="L3" s="121"/>
      <c r="M3" s="121"/>
      <c r="N3" s="121"/>
      <c r="O3" s="121"/>
      <c r="P3" s="121"/>
      <c r="Q3" s="121"/>
      <c r="R3" s="121"/>
      <c r="S3" s="121" t="s">
        <v>10</v>
      </c>
      <c r="T3" s="121"/>
      <c r="U3" s="121"/>
      <c r="V3" s="121"/>
      <c r="W3" s="121"/>
      <c r="X3" s="121"/>
      <c r="Y3" s="121"/>
      <c r="Z3" s="121"/>
      <c r="AA3" s="122" t="s">
        <v>11</v>
      </c>
      <c r="AB3" s="122"/>
      <c r="AC3" s="122"/>
      <c r="AD3" s="113" t="s">
        <v>12</v>
      </c>
      <c r="AE3" s="113"/>
      <c r="AF3" s="113"/>
      <c r="AG3" s="113"/>
      <c r="AH3" s="113"/>
      <c r="AI3" s="113"/>
      <c r="AJ3" s="113"/>
      <c r="AK3" s="113"/>
      <c r="AL3" s="113" t="s">
        <v>13</v>
      </c>
      <c r="AM3" s="113"/>
      <c r="AN3" s="113"/>
      <c r="AO3" s="113"/>
      <c r="AP3" s="113"/>
      <c r="AQ3" s="113"/>
      <c r="AR3" s="113"/>
      <c r="AS3" s="113"/>
      <c r="AT3" s="122" t="s">
        <v>14</v>
      </c>
      <c r="AU3" s="122"/>
      <c r="AV3" s="122"/>
      <c r="AW3" s="122"/>
      <c r="AX3" s="122"/>
      <c r="AY3" s="122"/>
      <c r="AZ3" s="122"/>
      <c r="BA3" s="122"/>
      <c r="BB3" s="111" t="s">
        <v>15</v>
      </c>
      <c r="BC3" s="111"/>
      <c r="BD3" s="111"/>
      <c r="BE3" s="111"/>
      <c r="BF3" s="111"/>
      <c r="BG3" s="111"/>
      <c r="BH3" s="111"/>
      <c r="BI3" s="111"/>
      <c r="BJ3" s="111" t="s">
        <v>16</v>
      </c>
      <c r="BK3" s="111"/>
      <c r="BL3" s="111"/>
      <c r="BM3" s="111"/>
      <c r="BN3" s="111"/>
      <c r="BO3" s="111"/>
      <c r="BP3" s="111"/>
      <c r="BQ3" s="111"/>
      <c r="BR3" s="111" t="s">
        <v>17</v>
      </c>
      <c r="BS3" s="111"/>
      <c r="BT3" s="111"/>
      <c r="BU3" s="111"/>
      <c r="BV3" s="111"/>
      <c r="BW3" s="111"/>
      <c r="BX3" s="111"/>
      <c r="BY3" s="111"/>
      <c r="BZ3" s="111" t="s">
        <v>18</v>
      </c>
      <c r="CA3" s="111"/>
      <c r="CB3" s="111"/>
      <c r="CC3" s="111"/>
      <c r="CD3" s="111"/>
      <c r="CE3" s="111"/>
      <c r="CF3" s="111"/>
      <c r="CG3" s="111"/>
      <c r="CH3" s="111" t="s">
        <v>19</v>
      </c>
      <c r="CI3" s="111"/>
      <c r="CJ3" s="111"/>
      <c r="CK3" s="111"/>
      <c r="CL3" s="111"/>
      <c r="CM3" s="111"/>
      <c r="CN3" s="111"/>
      <c r="CO3" s="111"/>
      <c r="CP3" s="112" t="s">
        <v>20</v>
      </c>
      <c r="CQ3" s="112"/>
      <c r="CR3" s="112"/>
      <c r="CS3" s="112"/>
      <c r="CT3" s="112"/>
      <c r="CU3" s="112"/>
      <c r="CV3" s="112"/>
      <c r="CW3" s="113" t="s">
        <v>21</v>
      </c>
      <c r="CX3" s="113"/>
      <c r="CY3" s="113"/>
      <c r="CZ3" s="113"/>
      <c r="DA3" s="113"/>
      <c r="DB3" s="113"/>
      <c r="DC3" s="113"/>
      <c r="DD3" s="110" t="s">
        <v>22</v>
      </c>
      <c r="DE3" s="110"/>
      <c r="DF3" s="110"/>
      <c r="DG3" s="110"/>
      <c r="DH3" s="110"/>
      <c r="DI3" s="110"/>
      <c r="DJ3" s="110"/>
      <c r="DK3" s="110"/>
      <c r="DL3" s="110"/>
      <c r="DM3" s="110" t="s">
        <v>23</v>
      </c>
      <c r="DN3" s="110"/>
      <c r="DO3" s="110"/>
      <c r="DP3" s="110"/>
      <c r="DQ3" s="110"/>
      <c r="DR3" s="110"/>
      <c r="DS3" s="110"/>
      <c r="DT3" s="110"/>
      <c r="DU3" s="110"/>
      <c r="DV3" s="114" t="s">
        <v>24</v>
      </c>
      <c r="DW3" s="114"/>
      <c r="DX3" s="114"/>
      <c r="DY3" s="114"/>
      <c r="DZ3" s="114"/>
      <c r="EA3" s="114"/>
      <c r="EB3" s="114"/>
      <c r="EC3" s="114"/>
      <c r="ED3" s="114"/>
      <c r="EE3" s="110" t="s">
        <v>25</v>
      </c>
      <c r="EF3" s="110"/>
      <c r="EG3" s="110"/>
      <c r="EH3" s="110"/>
      <c r="EI3" s="110"/>
      <c r="EJ3" s="110"/>
      <c r="EK3" s="110"/>
      <c r="EL3" s="110"/>
      <c r="EM3" s="110"/>
      <c r="EN3" s="2"/>
    </row>
    <row r="4" spans="2:202" x14ac:dyDescent="0.35">
      <c r="B4" s="123"/>
      <c r="C4" s="105"/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10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105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105" t="s">
        <v>26</v>
      </c>
      <c r="AB4" s="6" t="s">
        <v>27</v>
      </c>
      <c r="AC4" s="6" t="s">
        <v>34</v>
      </c>
      <c r="AD4" s="105" t="s">
        <v>26</v>
      </c>
      <c r="AE4" s="6" t="s">
        <v>27</v>
      </c>
      <c r="AF4" s="6" t="s">
        <v>34</v>
      </c>
      <c r="AG4" s="108" t="s">
        <v>35</v>
      </c>
      <c r="AH4" s="109"/>
      <c r="AI4" s="6" t="s">
        <v>30</v>
      </c>
      <c r="AJ4" s="6" t="s">
        <v>31</v>
      </c>
      <c r="AK4" s="6" t="s">
        <v>36</v>
      </c>
      <c r="AL4" s="105" t="s">
        <v>26</v>
      </c>
      <c r="AM4" s="6" t="s">
        <v>27</v>
      </c>
      <c r="AN4" s="6" t="s">
        <v>34</v>
      </c>
      <c r="AO4" s="108" t="s">
        <v>35</v>
      </c>
      <c r="AP4" s="109"/>
      <c r="AQ4" s="6" t="s">
        <v>30</v>
      </c>
      <c r="AR4" s="6" t="s">
        <v>31</v>
      </c>
      <c r="AS4" s="6" t="s">
        <v>36</v>
      </c>
      <c r="AT4" s="105" t="s">
        <v>26</v>
      </c>
      <c r="AU4" s="6" t="s">
        <v>27</v>
      </c>
      <c r="AV4" s="6" t="s">
        <v>34</v>
      </c>
      <c r="AW4" s="108"/>
      <c r="AX4" s="109"/>
      <c r="AY4" s="6"/>
      <c r="AZ4" s="6"/>
      <c r="BA4" s="6"/>
      <c r="BB4" s="105" t="s">
        <v>26</v>
      </c>
      <c r="BC4" s="6" t="s">
        <v>27</v>
      </c>
      <c r="BD4" s="6" t="s">
        <v>34</v>
      </c>
      <c r="BE4" s="108" t="s">
        <v>35</v>
      </c>
      <c r="BF4" s="109"/>
      <c r="BG4" s="6" t="s">
        <v>30</v>
      </c>
      <c r="BH4" s="6" t="s">
        <v>31</v>
      </c>
      <c r="BI4" s="6" t="s">
        <v>37</v>
      </c>
      <c r="BJ4" s="105" t="s">
        <v>26</v>
      </c>
      <c r="BK4" s="6" t="s">
        <v>27</v>
      </c>
      <c r="BL4" s="6" t="s">
        <v>34</v>
      </c>
      <c r="BM4" s="108" t="s">
        <v>35</v>
      </c>
      <c r="BN4" s="109"/>
      <c r="BO4" s="6" t="s">
        <v>30</v>
      </c>
      <c r="BP4" s="6" t="s">
        <v>31</v>
      </c>
      <c r="BQ4" s="6" t="s">
        <v>37</v>
      </c>
      <c r="BR4" s="7" t="s">
        <v>26</v>
      </c>
      <c r="BS4" s="6" t="s">
        <v>27</v>
      </c>
      <c r="BT4" s="6" t="s">
        <v>34</v>
      </c>
      <c r="BU4" s="108" t="s">
        <v>35</v>
      </c>
      <c r="BV4" s="109"/>
      <c r="BW4" s="6" t="s">
        <v>30</v>
      </c>
      <c r="BX4" s="6" t="s">
        <v>31</v>
      </c>
      <c r="BY4" s="6" t="s">
        <v>37</v>
      </c>
      <c r="BZ4" s="7" t="s">
        <v>26</v>
      </c>
      <c r="CA4" s="6" t="s">
        <v>27</v>
      </c>
      <c r="CB4" s="6" t="s">
        <v>34</v>
      </c>
      <c r="CC4" s="108" t="s">
        <v>35</v>
      </c>
      <c r="CD4" s="109"/>
      <c r="CE4" s="6" t="s">
        <v>30</v>
      </c>
      <c r="CF4" s="6" t="s">
        <v>31</v>
      </c>
      <c r="CG4" s="6" t="s">
        <v>37</v>
      </c>
      <c r="CH4" s="7" t="s">
        <v>26</v>
      </c>
      <c r="CI4" s="6" t="s">
        <v>27</v>
      </c>
      <c r="CJ4" s="6" t="s">
        <v>34</v>
      </c>
      <c r="CK4" s="108" t="s">
        <v>35</v>
      </c>
      <c r="CL4" s="109"/>
      <c r="CM4" s="6" t="s">
        <v>30</v>
      </c>
      <c r="CN4" s="6" t="s">
        <v>31</v>
      </c>
      <c r="CO4" s="6" t="s">
        <v>37</v>
      </c>
      <c r="CP4" s="105" t="s">
        <v>26</v>
      </c>
      <c r="CQ4" s="6" t="s">
        <v>27</v>
      </c>
      <c r="CR4" s="6" t="s">
        <v>34</v>
      </c>
      <c r="CS4" s="108" t="s">
        <v>35</v>
      </c>
      <c r="CT4" s="109"/>
      <c r="CU4" s="6" t="s">
        <v>30</v>
      </c>
      <c r="CV4" s="6" t="s">
        <v>31</v>
      </c>
      <c r="CW4" s="105" t="s">
        <v>26</v>
      </c>
      <c r="CX4" s="6" t="s">
        <v>27</v>
      </c>
      <c r="CY4" s="6" t="s">
        <v>34</v>
      </c>
      <c r="CZ4" s="108" t="s">
        <v>35</v>
      </c>
      <c r="DA4" s="109"/>
      <c r="DB4" s="6" t="s">
        <v>30</v>
      </c>
      <c r="DC4" s="6" t="s">
        <v>36</v>
      </c>
      <c r="DD4" s="105" t="s">
        <v>26</v>
      </c>
      <c r="DE4" s="6" t="s">
        <v>27</v>
      </c>
      <c r="DF4" s="6" t="s">
        <v>34</v>
      </c>
      <c r="DG4" s="101" t="s">
        <v>35</v>
      </c>
      <c r="DH4" s="101"/>
      <c r="DI4" s="6" t="s">
        <v>30</v>
      </c>
      <c r="DJ4" s="6" t="s">
        <v>31</v>
      </c>
      <c r="DK4" s="6" t="s">
        <v>37</v>
      </c>
      <c r="DL4" s="6" t="s">
        <v>38</v>
      </c>
      <c r="DM4" s="105" t="s">
        <v>26</v>
      </c>
      <c r="DN4" s="6" t="s">
        <v>27</v>
      </c>
      <c r="DO4" s="6" t="s">
        <v>34</v>
      </c>
      <c r="DP4" s="101" t="s">
        <v>35</v>
      </c>
      <c r="DQ4" s="101"/>
      <c r="DR4" s="6" t="s">
        <v>30</v>
      </c>
      <c r="DS4" s="6" t="s">
        <v>31</v>
      </c>
      <c r="DT4" s="6" t="s">
        <v>37</v>
      </c>
      <c r="DU4" s="8" t="s">
        <v>38</v>
      </c>
      <c r="DV4" s="6" t="s">
        <v>26</v>
      </c>
      <c r="DW4" s="6" t="s">
        <v>27</v>
      </c>
      <c r="DX4" s="6" t="s">
        <v>34</v>
      </c>
      <c r="DY4" s="101" t="s">
        <v>35</v>
      </c>
      <c r="DZ4" s="101"/>
      <c r="EA4" s="6" t="s">
        <v>30</v>
      </c>
      <c r="EB4" s="6" t="s">
        <v>31</v>
      </c>
      <c r="EC4" s="6" t="s">
        <v>37</v>
      </c>
      <c r="ED4" s="6" t="s">
        <v>38</v>
      </c>
      <c r="EE4" s="107" t="s">
        <v>26</v>
      </c>
      <c r="EF4" s="6" t="s">
        <v>27</v>
      </c>
      <c r="EG4" s="6" t="s">
        <v>34</v>
      </c>
      <c r="EH4" s="101" t="s">
        <v>35</v>
      </c>
      <c r="EI4" s="101"/>
      <c r="EJ4" s="6" t="s">
        <v>30</v>
      </c>
      <c r="EK4" s="6" t="s">
        <v>31</v>
      </c>
      <c r="EL4" s="6" t="s">
        <v>37</v>
      </c>
      <c r="EM4" s="6" t="s">
        <v>38</v>
      </c>
      <c r="EN4" s="9"/>
      <c r="EO4" s="102" t="s">
        <v>39</v>
      </c>
      <c r="EP4" s="104" t="s">
        <v>73</v>
      </c>
      <c r="EQ4" s="104"/>
      <c r="ER4" s="104"/>
      <c r="ES4" s="104"/>
      <c r="ET4" s="104" t="s">
        <v>74</v>
      </c>
      <c r="EU4" s="104"/>
      <c r="EV4" s="104"/>
      <c r="EW4" s="104"/>
      <c r="EX4" s="104" t="s">
        <v>75</v>
      </c>
      <c r="EY4" s="104"/>
      <c r="EZ4" s="104"/>
      <c r="FA4" s="104"/>
      <c r="FB4" s="100" t="s">
        <v>11</v>
      </c>
      <c r="FC4" s="100"/>
      <c r="FD4" s="100"/>
      <c r="FE4" s="99" t="s">
        <v>12</v>
      </c>
      <c r="FF4" s="99"/>
      <c r="FG4" s="99"/>
      <c r="FH4" s="99" t="s">
        <v>13</v>
      </c>
      <c r="FI4" s="99"/>
      <c r="FJ4" s="99"/>
      <c r="FK4" s="100" t="s">
        <v>14</v>
      </c>
      <c r="FL4" s="100"/>
      <c r="FM4" s="100"/>
      <c r="FN4" s="97" t="s">
        <v>15</v>
      </c>
      <c r="FO4" s="97"/>
      <c r="FP4" s="97"/>
      <c r="FQ4" s="97" t="s">
        <v>16</v>
      </c>
      <c r="FR4" s="97"/>
      <c r="FS4" s="97"/>
      <c r="FT4" s="97" t="s">
        <v>17</v>
      </c>
      <c r="FU4" s="97"/>
      <c r="FV4" s="97"/>
      <c r="FW4" s="97" t="s">
        <v>18</v>
      </c>
      <c r="FX4" s="97"/>
      <c r="FY4" s="97"/>
      <c r="FZ4" s="97" t="s">
        <v>19</v>
      </c>
      <c r="GA4" s="97"/>
      <c r="GB4" s="97"/>
      <c r="GC4" s="98" t="s">
        <v>20</v>
      </c>
      <c r="GD4" s="98"/>
      <c r="GE4" s="98"/>
      <c r="GF4" s="98" t="s">
        <v>21</v>
      </c>
      <c r="GG4" s="98"/>
      <c r="GH4" s="98"/>
      <c r="GI4" s="96" t="s">
        <v>40</v>
      </c>
      <c r="GJ4" s="96"/>
      <c r="GK4" s="96"/>
      <c r="GL4" s="96" t="s">
        <v>41</v>
      </c>
      <c r="GM4" s="96"/>
      <c r="GN4" s="96"/>
      <c r="GO4" s="96" t="s">
        <v>42</v>
      </c>
      <c r="GP4" s="96"/>
      <c r="GQ4" s="96"/>
      <c r="GR4" s="96" t="s">
        <v>43</v>
      </c>
      <c r="GS4" s="96"/>
      <c r="GT4" s="96"/>
    </row>
    <row r="5" spans="2:202" s="22" customFormat="1" x14ac:dyDescent="0.35">
      <c r="B5" s="123"/>
      <c r="C5" s="106"/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44</v>
      </c>
      <c r="J5" s="13" t="s">
        <v>49</v>
      </c>
      <c r="K5" s="106"/>
      <c r="L5" s="13" t="s">
        <v>44</v>
      </c>
      <c r="M5" s="13" t="s">
        <v>45</v>
      </c>
      <c r="N5" s="13" t="s">
        <v>46</v>
      </c>
      <c r="O5" s="13" t="s">
        <v>47</v>
      </c>
      <c r="P5" s="13" t="s">
        <v>48</v>
      </c>
      <c r="Q5" s="13" t="s">
        <v>44</v>
      </c>
      <c r="R5" s="13" t="s">
        <v>49</v>
      </c>
      <c r="S5" s="106"/>
      <c r="T5" s="13" t="s">
        <v>44</v>
      </c>
      <c r="U5" s="13" t="s">
        <v>45</v>
      </c>
      <c r="V5" s="13" t="s">
        <v>46</v>
      </c>
      <c r="W5" s="13" t="s">
        <v>47</v>
      </c>
      <c r="X5" s="13" t="s">
        <v>48</v>
      </c>
      <c r="Y5" s="13" t="s">
        <v>44</v>
      </c>
      <c r="Z5" s="13" t="s">
        <v>49</v>
      </c>
      <c r="AA5" s="106"/>
      <c r="AB5" s="6" t="s">
        <v>50</v>
      </c>
      <c r="AC5" s="6" t="s">
        <v>51</v>
      </c>
      <c r="AD5" s="106"/>
      <c r="AE5" s="6" t="s">
        <v>52</v>
      </c>
      <c r="AF5" s="6" t="s">
        <v>53</v>
      </c>
      <c r="AG5" s="6" t="s">
        <v>54</v>
      </c>
      <c r="AH5" s="6" t="s">
        <v>55</v>
      </c>
      <c r="AI5" s="6" t="s">
        <v>56</v>
      </c>
      <c r="AJ5" s="6"/>
      <c r="AK5" s="6" t="s">
        <v>57</v>
      </c>
      <c r="AL5" s="106"/>
      <c r="AM5" s="6" t="s">
        <v>52</v>
      </c>
      <c r="AN5" s="6" t="s">
        <v>53</v>
      </c>
      <c r="AO5" s="6" t="s">
        <v>54</v>
      </c>
      <c r="AP5" s="6" t="s">
        <v>55</v>
      </c>
      <c r="AQ5" s="6" t="s">
        <v>56</v>
      </c>
      <c r="AR5" s="6"/>
      <c r="AS5" s="6" t="s">
        <v>57</v>
      </c>
      <c r="AT5" s="106"/>
      <c r="AU5" s="6" t="s">
        <v>50</v>
      </c>
      <c r="AV5" s="6" t="s">
        <v>51</v>
      </c>
      <c r="AW5" s="6"/>
      <c r="AX5" s="6"/>
      <c r="AY5" s="6"/>
      <c r="AZ5" s="6"/>
      <c r="BA5" s="14"/>
      <c r="BB5" s="106"/>
      <c r="BC5" s="6" t="s">
        <v>58</v>
      </c>
      <c r="BD5" s="6" t="s">
        <v>58</v>
      </c>
      <c r="BE5" s="6" t="s">
        <v>54</v>
      </c>
      <c r="BF5" s="6" t="s">
        <v>55</v>
      </c>
      <c r="BG5" s="6" t="s">
        <v>59</v>
      </c>
      <c r="BH5" s="6"/>
      <c r="BI5" s="14" t="s">
        <v>60</v>
      </c>
      <c r="BJ5" s="106"/>
      <c r="BK5" s="6" t="s">
        <v>58</v>
      </c>
      <c r="BL5" s="6" t="s">
        <v>58</v>
      </c>
      <c r="BM5" s="6" t="s">
        <v>54</v>
      </c>
      <c r="BN5" s="6" t="s">
        <v>55</v>
      </c>
      <c r="BO5" s="6" t="s">
        <v>59</v>
      </c>
      <c r="BP5" s="6"/>
      <c r="BQ5" s="14" t="s">
        <v>60</v>
      </c>
      <c r="BR5" s="7"/>
      <c r="BS5" s="6" t="s">
        <v>58</v>
      </c>
      <c r="BT5" s="6" t="s">
        <v>58</v>
      </c>
      <c r="BU5" s="6" t="s">
        <v>54</v>
      </c>
      <c r="BV5" s="6" t="s">
        <v>55</v>
      </c>
      <c r="BW5" s="6" t="s">
        <v>59</v>
      </c>
      <c r="BX5" s="6"/>
      <c r="BY5" s="14" t="s">
        <v>60</v>
      </c>
      <c r="BZ5" s="7"/>
      <c r="CA5" s="6" t="s">
        <v>58</v>
      </c>
      <c r="CB5" s="6" t="s">
        <v>58</v>
      </c>
      <c r="CC5" s="6" t="s">
        <v>54</v>
      </c>
      <c r="CD5" s="6" t="s">
        <v>55</v>
      </c>
      <c r="CE5" s="6" t="s">
        <v>59</v>
      </c>
      <c r="CF5" s="6"/>
      <c r="CG5" s="14" t="s">
        <v>60</v>
      </c>
      <c r="CH5" s="7"/>
      <c r="CI5" s="6" t="s">
        <v>58</v>
      </c>
      <c r="CJ5" s="6" t="s">
        <v>58</v>
      </c>
      <c r="CK5" s="6" t="s">
        <v>54</v>
      </c>
      <c r="CL5" s="6" t="s">
        <v>55</v>
      </c>
      <c r="CM5" s="6" t="s">
        <v>59</v>
      </c>
      <c r="CN5" s="6"/>
      <c r="CO5" s="14" t="s">
        <v>60</v>
      </c>
      <c r="CP5" s="106"/>
      <c r="CQ5" s="6" t="s">
        <v>58</v>
      </c>
      <c r="CR5" s="6" t="s">
        <v>58</v>
      </c>
      <c r="CS5" s="6" t="s">
        <v>54</v>
      </c>
      <c r="CT5" s="6" t="s">
        <v>55</v>
      </c>
      <c r="CU5" s="6" t="s">
        <v>61</v>
      </c>
      <c r="CV5" s="6" t="s">
        <v>51</v>
      </c>
      <c r="CW5" s="106"/>
      <c r="CX5" s="6" t="s">
        <v>52</v>
      </c>
      <c r="CY5" s="6" t="s">
        <v>53</v>
      </c>
      <c r="CZ5" s="6" t="s">
        <v>54</v>
      </c>
      <c r="DA5" s="6" t="s">
        <v>55</v>
      </c>
      <c r="DB5" s="6" t="s">
        <v>56</v>
      </c>
      <c r="DC5" s="6" t="s">
        <v>57</v>
      </c>
      <c r="DD5" s="106"/>
      <c r="DE5" s="6" t="s">
        <v>58</v>
      </c>
      <c r="DF5" s="6" t="s">
        <v>58</v>
      </c>
      <c r="DG5" s="6" t="s">
        <v>62</v>
      </c>
      <c r="DH5" s="6" t="s">
        <v>55</v>
      </c>
      <c r="DI5" s="6" t="s">
        <v>59</v>
      </c>
      <c r="DJ5" s="6"/>
      <c r="DK5" s="6" t="s">
        <v>60</v>
      </c>
      <c r="DL5" s="15" t="s">
        <v>63</v>
      </c>
      <c r="DM5" s="106"/>
      <c r="DN5" s="6" t="s">
        <v>58</v>
      </c>
      <c r="DO5" s="6" t="s">
        <v>58</v>
      </c>
      <c r="DP5" s="6" t="s">
        <v>62</v>
      </c>
      <c r="DQ5" s="6" t="s">
        <v>55</v>
      </c>
      <c r="DR5" s="6" t="s">
        <v>59</v>
      </c>
      <c r="DS5" s="6"/>
      <c r="DT5" s="6" t="s">
        <v>60</v>
      </c>
      <c r="DU5" s="15" t="s">
        <v>63</v>
      </c>
      <c r="DV5" s="6"/>
      <c r="DW5" s="6" t="s">
        <v>58</v>
      </c>
      <c r="DX5" s="6" t="s">
        <v>58</v>
      </c>
      <c r="DY5" s="6" t="s">
        <v>62</v>
      </c>
      <c r="DZ5" s="6" t="s">
        <v>55</v>
      </c>
      <c r="EA5" s="6" t="s">
        <v>59</v>
      </c>
      <c r="EB5" s="6"/>
      <c r="EC5" s="6" t="s">
        <v>60</v>
      </c>
      <c r="ED5" s="15" t="s">
        <v>63</v>
      </c>
      <c r="EE5" s="107"/>
      <c r="EF5" s="6" t="s">
        <v>58</v>
      </c>
      <c r="EG5" s="6" t="s">
        <v>58</v>
      </c>
      <c r="EH5" s="6" t="s">
        <v>62</v>
      </c>
      <c r="EI5" s="6" t="s">
        <v>55</v>
      </c>
      <c r="EJ5" s="6" t="s">
        <v>59</v>
      </c>
      <c r="EK5" s="6"/>
      <c r="EL5" s="6" t="s">
        <v>60</v>
      </c>
      <c r="EM5" s="15" t="s">
        <v>63</v>
      </c>
      <c r="EN5" s="16"/>
      <c r="EO5" s="103"/>
      <c r="EP5" s="17" t="s">
        <v>64</v>
      </c>
      <c r="EQ5" s="17" t="s">
        <v>65</v>
      </c>
      <c r="ER5" s="10" t="s">
        <v>69</v>
      </c>
      <c r="ES5" s="10" t="s">
        <v>76</v>
      </c>
      <c r="ET5" s="17" t="s">
        <v>64</v>
      </c>
      <c r="EU5" s="17" t="s">
        <v>65</v>
      </c>
      <c r="EV5" s="10" t="s">
        <v>69</v>
      </c>
      <c r="EW5" s="10" t="s">
        <v>76</v>
      </c>
      <c r="EX5" s="17" t="s">
        <v>64</v>
      </c>
      <c r="EY5" s="17" t="s">
        <v>65</v>
      </c>
      <c r="EZ5" s="10" t="s">
        <v>69</v>
      </c>
      <c r="FA5" s="10" t="s">
        <v>76</v>
      </c>
      <c r="FB5" s="18" t="s">
        <v>64</v>
      </c>
      <c r="FC5" s="18" t="s">
        <v>65</v>
      </c>
      <c r="FD5" s="18" t="s">
        <v>76</v>
      </c>
      <c r="FE5" s="19" t="s">
        <v>64</v>
      </c>
      <c r="FF5" s="19" t="s">
        <v>65</v>
      </c>
      <c r="FG5" s="19" t="s">
        <v>76</v>
      </c>
      <c r="FH5" s="19" t="s">
        <v>64</v>
      </c>
      <c r="FI5" s="19" t="s">
        <v>65</v>
      </c>
      <c r="FJ5" s="19" t="s">
        <v>76</v>
      </c>
      <c r="FK5" s="18" t="s">
        <v>64</v>
      </c>
      <c r="FL5" s="18" t="s">
        <v>65</v>
      </c>
      <c r="FM5" s="18" t="s">
        <v>76</v>
      </c>
      <c r="FN5" s="20" t="s">
        <v>64</v>
      </c>
      <c r="FO5" s="20" t="s">
        <v>65</v>
      </c>
      <c r="FP5" s="20" t="s">
        <v>76</v>
      </c>
      <c r="FQ5" s="20" t="s">
        <v>64</v>
      </c>
      <c r="FR5" s="20" t="s">
        <v>65</v>
      </c>
      <c r="FS5" s="20" t="s">
        <v>76</v>
      </c>
      <c r="FT5" s="20" t="s">
        <v>64</v>
      </c>
      <c r="FU5" s="20" t="s">
        <v>65</v>
      </c>
      <c r="FV5" s="20" t="s">
        <v>76</v>
      </c>
      <c r="FW5" s="20" t="s">
        <v>64</v>
      </c>
      <c r="FX5" s="20" t="s">
        <v>65</v>
      </c>
      <c r="FY5" s="20" t="s">
        <v>76</v>
      </c>
      <c r="FZ5" s="20" t="s">
        <v>64</v>
      </c>
      <c r="GA5" s="20" t="s">
        <v>65</v>
      </c>
      <c r="GB5" s="20" t="s">
        <v>76</v>
      </c>
      <c r="GC5" s="71" t="s">
        <v>64</v>
      </c>
      <c r="GD5" s="71" t="s">
        <v>65</v>
      </c>
      <c r="GE5" s="77" t="s">
        <v>76</v>
      </c>
      <c r="GF5" s="71" t="s">
        <v>64</v>
      </c>
      <c r="GG5" s="71" t="s">
        <v>65</v>
      </c>
      <c r="GH5" s="77" t="s">
        <v>76</v>
      </c>
      <c r="GI5" s="21" t="s">
        <v>64</v>
      </c>
      <c r="GJ5" s="21" t="s">
        <v>65</v>
      </c>
      <c r="GK5" s="21" t="s">
        <v>76</v>
      </c>
      <c r="GL5" s="21" t="s">
        <v>64</v>
      </c>
      <c r="GM5" s="21" t="s">
        <v>65</v>
      </c>
      <c r="GN5" s="21" t="s">
        <v>76</v>
      </c>
      <c r="GO5" s="21" t="s">
        <v>64</v>
      </c>
      <c r="GP5" s="21" t="s">
        <v>65</v>
      </c>
      <c r="GQ5" s="21" t="s">
        <v>76</v>
      </c>
      <c r="GR5" s="21" t="s">
        <v>64</v>
      </c>
      <c r="GS5" s="21" t="s">
        <v>65</v>
      </c>
      <c r="GT5" s="21" t="s">
        <v>76</v>
      </c>
    </row>
    <row r="6" spans="2:202" x14ac:dyDescent="0.35">
      <c r="B6" s="23">
        <f>[1]Refinery!B6</f>
        <v>46174</v>
      </c>
      <c r="C6" s="24">
        <v>541254</v>
      </c>
      <c r="D6" s="25">
        <v>5.96</v>
      </c>
      <c r="E6" s="25">
        <v>0.33788377031950301</v>
      </c>
      <c r="F6" s="25">
        <v>1.7392729256737001</v>
      </c>
      <c r="G6" s="25">
        <v>51.728202309344297</v>
      </c>
      <c r="H6" s="25">
        <v>2.2127831398293498</v>
      </c>
      <c r="I6" s="25">
        <v>2.05964302623393</v>
      </c>
      <c r="J6" s="25">
        <f t="shared" ref="J6:J10" si="0">(2*H6)+I6</f>
        <v>6.4852093058926297</v>
      </c>
      <c r="K6" s="24">
        <v>2593880</v>
      </c>
      <c r="L6" s="25">
        <v>5.24</v>
      </c>
      <c r="M6" s="25">
        <v>0.24573296064563299</v>
      </c>
      <c r="N6" s="25">
        <v>1.4165194906326199</v>
      </c>
      <c r="O6" s="25">
        <v>52.845729663118099</v>
      </c>
      <c r="P6" s="25">
        <v>2.0308134984987101</v>
      </c>
      <c r="Q6" s="25">
        <v>2.3830349561142299</v>
      </c>
      <c r="R6" s="25">
        <f t="shared" ref="R6:R10" si="1">(2*P6)+Q6</f>
        <v>6.44466195311165</v>
      </c>
      <c r="S6" s="24">
        <v>2087377</v>
      </c>
      <c r="T6" s="25">
        <v>5.71</v>
      </c>
      <c r="U6" s="25">
        <v>0.28999999999999998</v>
      </c>
      <c r="V6" s="25">
        <v>1.57</v>
      </c>
      <c r="W6" s="25">
        <v>50.98</v>
      </c>
      <c r="X6" s="25">
        <v>2.67</v>
      </c>
      <c r="Y6" s="25">
        <v>2.33</v>
      </c>
      <c r="Z6" s="25">
        <f t="shared" ref="Z6:Z10" si="2">(2*X6)+Y6</f>
        <v>7.67</v>
      </c>
      <c r="AA6" s="24">
        <v>476862</v>
      </c>
      <c r="AB6" s="25">
        <v>85.87</v>
      </c>
      <c r="AC6" s="25">
        <v>0.25</v>
      </c>
      <c r="AD6" s="24">
        <v>504204</v>
      </c>
      <c r="AE6" s="33">
        <v>8.4000000000000005E-2</v>
      </c>
      <c r="AF6" s="25">
        <v>3.2515864004710397E-2</v>
      </c>
      <c r="AG6" s="34">
        <v>1.9649931113335</v>
      </c>
      <c r="AH6" s="35">
        <v>20</v>
      </c>
      <c r="AI6" s="25">
        <v>35.520000000000003</v>
      </c>
      <c r="AJ6" s="25"/>
      <c r="AK6" s="34">
        <v>53.9</v>
      </c>
      <c r="AL6" s="24">
        <v>554452</v>
      </c>
      <c r="AM6" s="33">
        <v>0.104</v>
      </c>
      <c r="AN6" s="25">
        <v>0.04</v>
      </c>
      <c r="AO6" s="34">
        <v>2</v>
      </c>
      <c r="AP6" s="35">
        <v>20</v>
      </c>
      <c r="AQ6" s="25">
        <v>38.520000000000003</v>
      </c>
      <c r="AR6" s="25"/>
      <c r="AS6" s="25">
        <v>53.4</v>
      </c>
      <c r="AT6" s="24">
        <v>219111</v>
      </c>
      <c r="AU6" s="25">
        <v>84.87</v>
      </c>
      <c r="AV6" s="25">
        <v>0.25</v>
      </c>
      <c r="AW6" s="34"/>
      <c r="AX6" s="35"/>
      <c r="AY6" s="25"/>
      <c r="AZ6" s="25"/>
      <c r="BA6" s="34"/>
      <c r="BB6" s="24"/>
      <c r="BC6" s="33"/>
      <c r="BD6" s="25"/>
      <c r="BE6" s="25"/>
      <c r="BF6" s="25"/>
      <c r="BG6" s="25"/>
      <c r="BH6" s="25"/>
      <c r="BI6" s="25"/>
      <c r="BJ6" s="24"/>
      <c r="BK6" s="33"/>
      <c r="BL6" s="25"/>
      <c r="BM6" s="25"/>
      <c r="BN6" s="25"/>
      <c r="BO6" s="25"/>
      <c r="BP6" s="25"/>
      <c r="BQ6" s="25"/>
      <c r="BR6" s="24">
        <v>376168</v>
      </c>
      <c r="BS6" s="33">
        <v>6.9000000000000006E-2</v>
      </c>
      <c r="BT6" s="25">
        <v>0.05</v>
      </c>
      <c r="BU6" s="34">
        <v>2.1</v>
      </c>
      <c r="BV6" s="35">
        <v>21</v>
      </c>
      <c r="BW6" s="25">
        <v>57.43</v>
      </c>
      <c r="BX6" s="25">
        <v>0.3</v>
      </c>
      <c r="BY6" s="25">
        <v>8.6</v>
      </c>
      <c r="BZ6" s="24"/>
      <c r="CA6" s="33"/>
      <c r="CB6" s="25"/>
      <c r="CC6" s="34"/>
      <c r="CD6" s="35"/>
      <c r="CE6" s="25"/>
      <c r="CF6" s="25"/>
      <c r="CG6" s="25"/>
      <c r="CH6" s="24">
        <v>526953</v>
      </c>
      <c r="CI6" s="33">
        <v>6.4000000000000001E-2</v>
      </c>
      <c r="CJ6" s="25">
        <v>4.5912143967298799E-2</v>
      </c>
      <c r="CK6" s="34">
        <v>2.1233136541589102</v>
      </c>
      <c r="CL6" s="35">
        <v>21</v>
      </c>
      <c r="CM6" s="25">
        <v>57.04</v>
      </c>
      <c r="CN6" s="25">
        <v>0.3</v>
      </c>
      <c r="CO6" s="34">
        <v>9</v>
      </c>
      <c r="CP6" s="24">
        <v>43247</v>
      </c>
      <c r="CQ6" s="33">
        <v>8.7999999999999995E-2</v>
      </c>
      <c r="CR6" s="25">
        <v>0.04</v>
      </c>
      <c r="CS6" s="34">
        <v>2.1</v>
      </c>
      <c r="CT6" s="35">
        <v>21</v>
      </c>
      <c r="CU6" s="25">
        <v>50.23</v>
      </c>
      <c r="CV6" s="25">
        <v>0.73</v>
      </c>
      <c r="CW6" s="24">
        <v>1084861</v>
      </c>
      <c r="CX6" s="33">
        <v>8.0457907203472803E-2</v>
      </c>
      <c r="CY6" s="25">
        <v>3.0410024878763299E-2</v>
      </c>
      <c r="CZ6" s="34">
        <v>1.8924828772226701</v>
      </c>
      <c r="DA6" s="35">
        <v>19</v>
      </c>
      <c r="DB6" s="25">
        <v>34.69</v>
      </c>
      <c r="DC6" s="34">
        <v>54.3</v>
      </c>
      <c r="DD6" s="24"/>
      <c r="DE6" s="25"/>
      <c r="DF6" s="25"/>
      <c r="DG6" s="25"/>
      <c r="DH6" s="25"/>
      <c r="DI6" s="25"/>
      <c r="DJ6" s="25"/>
      <c r="DK6" s="25"/>
      <c r="DL6" s="58"/>
      <c r="DM6" s="24"/>
      <c r="DN6" s="33"/>
      <c r="DO6" s="25"/>
      <c r="DP6" s="25"/>
      <c r="DQ6" s="25"/>
      <c r="DR6" s="25"/>
      <c r="DS6" s="25"/>
      <c r="DT6" s="25"/>
      <c r="DU6" s="72"/>
      <c r="DV6" s="25"/>
      <c r="DW6" s="25"/>
      <c r="DX6" s="25"/>
      <c r="DY6" s="25"/>
      <c r="DZ6" s="25"/>
      <c r="EA6" s="25"/>
      <c r="EB6" s="25"/>
      <c r="EC6" s="25"/>
      <c r="ED6" s="56"/>
      <c r="EE6" s="24"/>
      <c r="EF6" s="25"/>
      <c r="EG6" s="25"/>
      <c r="EH6" s="25"/>
      <c r="EI6" s="25"/>
      <c r="EJ6" s="25"/>
      <c r="EK6" s="25"/>
      <c r="EL6" s="25"/>
      <c r="EM6" s="58"/>
      <c r="EN6" s="39"/>
      <c r="EO6" s="40">
        <f>B6</f>
        <v>46174</v>
      </c>
      <c r="EP6" s="40">
        <v>46163</v>
      </c>
      <c r="EQ6" s="40">
        <v>46165</v>
      </c>
      <c r="ER6" s="40" t="s">
        <v>122</v>
      </c>
      <c r="ES6" s="40"/>
      <c r="ET6" s="40">
        <v>45930</v>
      </c>
      <c r="EU6" s="40">
        <v>46150</v>
      </c>
      <c r="EV6" s="40" t="s">
        <v>105</v>
      </c>
      <c r="EW6" s="40"/>
      <c r="EX6" s="40">
        <v>45992</v>
      </c>
      <c r="EY6" s="40">
        <v>46162</v>
      </c>
      <c r="EZ6" s="40" t="s">
        <v>116</v>
      </c>
      <c r="FA6" s="40"/>
      <c r="FB6" s="40">
        <v>45688</v>
      </c>
      <c r="FC6" s="40">
        <v>46139</v>
      </c>
      <c r="FD6" s="40"/>
      <c r="FE6" s="40">
        <v>46038</v>
      </c>
      <c r="FF6" s="40">
        <v>46166</v>
      </c>
      <c r="FG6" s="40"/>
      <c r="FH6" s="40">
        <v>46055</v>
      </c>
      <c r="FI6" s="40">
        <v>46129</v>
      </c>
      <c r="FJ6" s="40"/>
      <c r="FK6" s="40">
        <v>46150</v>
      </c>
      <c r="FL6" s="40">
        <v>46162</v>
      </c>
      <c r="FM6" s="40"/>
      <c r="FN6" s="40"/>
      <c r="FO6" s="40"/>
      <c r="FP6" s="40" t="s">
        <v>80</v>
      </c>
      <c r="FQ6" s="40"/>
      <c r="FR6" s="40"/>
      <c r="FS6" s="40" t="s">
        <v>80</v>
      </c>
      <c r="FT6" s="40">
        <v>46158</v>
      </c>
      <c r="FU6" s="40">
        <v>46161</v>
      </c>
      <c r="FV6" s="40"/>
      <c r="FW6" s="40"/>
      <c r="FX6" s="40"/>
      <c r="FY6" s="40" t="s">
        <v>80</v>
      </c>
      <c r="FZ6" s="40">
        <v>46153</v>
      </c>
      <c r="GA6" s="40">
        <v>46165</v>
      </c>
      <c r="GB6" s="40"/>
      <c r="GC6" s="40">
        <v>46023</v>
      </c>
      <c r="GD6" s="40">
        <v>46162</v>
      </c>
      <c r="GE6" s="40" t="s">
        <v>78</v>
      </c>
      <c r="GF6" s="40">
        <v>46130</v>
      </c>
      <c r="GG6" s="40">
        <v>46164</v>
      </c>
      <c r="GH6" s="40"/>
      <c r="GI6" s="40"/>
      <c r="GJ6" s="40"/>
      <c r="GK6" s="40" t="s">
        <v>80</v>
      </c>
      <c r="GL6" s="40"/>
      <c r="GM6" s="40"/>
      <c r="GN6" s="40" t="s">
        <v>80</v>
      </c>
      <c r="GO6" s="40"/>
      <c r="GP6" s="40"/>
      <c r="GQ6" s="40" t="s">
        <v>80</v>
      </c>
      <c r="GR6" s="40"/>
      <c r="GS6" s="40"/>
      <c r="GT6" s="3" t="s">
        <v>80</v>
      </c>
    </row>
    <row r="7" spans="2:202" x14ac:dyDescent="0.35">
      <c r="B7" s="41">
        <f>B6+1</f>
        <v>46175</v>
      </c>
      <c r="C7" s="24">
        <v>541254</v>
      </c>
      <c r="D7" s="25">
        <v>5.98</v>
      </c>
      <c r="E7" s="25">
        <v>0.33788377031950301</v>
      </c>
      <c r="F7" s="25">
        <v>1.7392729256737001</v>
      </c>
      <c r="G7" s="25">
        <v>51.728202309344297</v>
      </c>
      <c r="H7" s="25">
        <v>2.2127831398293498</v>
      </c>
      <c r="I7" s="25">
        <v>2.05964302623393</v>
      </c>
      <c r="J7" s="25">
        <f t="shared" si="0"/>
        <v>6.4852093058926297</v>
      </c>
      <c r="K7" s="24">
        <v>2593880</v>
      </c>
      <c r="L7" s="25">
        <v>5.28</v>
      </c>
      <c r="M7" s="25">
        <v>0.24573296064563299</v>
      </c>
      <c r="N7" s="25">
        <v>1.4165194906326199</v>
      </c>
      <c r="O7" s="25">
        <v>52.845729663118099</v>
      </c>
      <c r="P7" s="25">
        <v>2.0308134984987101</v>
      </c>
      <c r="Q7" s="25">
        <v>2.3830349561142299</v>
      </c>
      <c r="R7" s="25">
        <f t="shared" si="1"/>
        <v>6.44466195311165</v>
      </c>
      <c r="S7" s="24">
        <v>2087377</v>
      </c>
      <c r="T7" s="25">
        <v>5.73</v>
      </c>
      <c r="U7" s="25">
        <v>0.28999999999999998</v>
      </c>
      <c r="V7" s="25">
        <v>1.57</v>
      </c>
      <c r="W7" s="25">
        <v>50.98</v>
      </c>
      <c r="X7" s="25">
        <v>2.67</v>
      </c>
      <c r="Y7" s="25">
        <v>2.33</v>
      </c>
      <c r="Z7" s="25">
        <f t="shared" si="2"/>
        <v>7.67</v>
      </c>
      <c r="AA7" s="24">
        <v>476862</v>
      </c>
      <c r="AB7" s="25">
        <v>85.87</v>
      </c>
      <c r="AC7" s="25">
        <v>0.25</v>
      </c>
      <c r="AD7" s="24">
        <v>504204</v>
      </c>
      <c r="AE7" s="33">
        <v>8.5999999999999993E-2</v>
      </c>
      <c r="AF7" s="25">
        <v>3.2515864004710397E-2</v>
      </c>
      <c r="AG7" s="34">
        <v>1.9649931113335</v>
      </c>
      <c r="AH7" s="35">
        <v>20</v>
      </c>
      <c r="AI7" s="25">
        <v>35.520000000000003</v>
      </c>
      <c r="AJ7" s="25"/>
      <c r="AK7" s="34">
        <v>53.9</v>
      </c>
      <c r="AL7" s="24">
        <v>554452</v>
      </c>
      <c r="AM7" s="33">
        <v>0.105</v>
      </c>
      <c r="AN7" s="25">
        <v>0.04</v>
      </c>
      <c r="AO7" s="34">
        <v>2</v>
      </c>
      <c r="AP7" s="35">
        <v>20</v>
      </c>
      <c r="AQ7" s="25">
        <v>38.520000000000003</v>
      </c>
      <c r="AR7" s="25"/>
      <c r="AS7" s="25">
        <v>53.4</v>
      </c>
      <c r="AT7" s="24">
        <v>219111</v>
      </c>
      <c r="AU7" s="25">
        <v>84.87</v>
      </c>
      <c r="AV7" s="25">
        <v>0.25</v>
      </c>
      <c r="AW7" s="34"/>
      <c r="AX7" s="35"/>
      <c r="AY7" s="25"/>
      <c r="AZ7" s="25"/>
      <c r="BA7" s="34"/>
      <c r="BB7" s="24"/>
      <c r="BC7" s="33"/>
      <c r="BD7" s="25"/>
      <c r="BE7" s="25"/>
      <c r="BF7" s="25"/>
      <c r="BG7" s="25"/>
      <c r="BH7" s="25"/>
      <c r="BI7" s="25"/>
      <c r="BJ7" s="24"/>
      <c r="BK7" s="33"/>
      <c r="BL7" s="25"/>
      <c r="BM7" s="25"/>
      <c r="BN7" s="25"/>
      <c r="BO7" s="25"/>
      <c r="BP7" s="25"/>
      <c r="BQ7" s="25"/>
      <c r="BR7" s="24">
        <v>376168</v>
      </c>
      <c r="BS7" s="33">
        <v>7.0000000000000007E-2</v>
      </c>
      <c r="BT7" s="25">
        <v>0.05</v>
      </c>
      <c r="BU7" s="34">
        <v>2.2000000000000002</v>
      </c>
      <c r="BV7" s="35">
        <v>22</v>
      </c>
      <c r="BW7" s="25">
        <v>57.43</v>
      </c>
      <c r="BX7" s="25">
        <v>0.53</v>
      </c>
      <c r="BY7" s="25">
        <v>8.6</v>
      </c>
      <c r="BZ7" s="24"/>
      <c r="CA7" s="33"/>
      <c r="CB7" s="25"/>
      <c r="CC7" s="34"/>
      <c r="CD7" s="35"/>
      <c r="CE7" s="25"/>
      <c r="CF7" s="25"/>
      <c r="CG7" s="25"/>
      <c r="CH7" s="24">
        <v>526953</v>
      </c>
      <c r="CI7" s="33">
        <v>6.5000000000000002E-2</v>
      </c>
      <c r="CJ7" s="25">
        <v>4.5912143967298799E-2</v>
      </c>
      <c r="CK7" s="34">
        <v>2.2000000000000002</v>
      </c>
      <c r="CL7" s="35">
        <v>22</v>
      </c>
      <c r="CM7" s="25">
        <v>57.04</v>
      </c>
      <c r="CN7" s="25">
        <v>0.5</v>
      </c>
      <c r="CO7" s="34">
        <v>9</v>
      </c>
      <c r="CP7" s="24">
        <v>43247</v>
      </c>
      <c r="CQ7" s="33">
        <v>9.5000000000000001E-2</v>
      </c>
      <c r="CR7" s="25">
        <v>0.04</v>
      </c>
      <c r="CS7" s="34">
        <v>2.1</v>
      </c>
      <c r="CT7" s="35">
        <v>21</v>
      </c>
      <c r="CU7" s="25">
        <v>50.23</v>
      </c>
      <c r="CV7" s="25">
        <v>0.73</v>
      </c>
      <c r="CW7" s="24">
        <v>1084861</v>
      </c>
      <c r="CX7" s="33">
        <v>8.2000000000000003E-2</v>
      </c>
      <c r="CY7" s="25">
        <v>3.0410024878763299E-2</v>
      </c>
      <c r="CZ7" s="34">
        <v>1.8924828772226701</v>
      </c>
      <c r="DA7" s="35">
        <v>19</v>
      </c>
      <c r="DB7" s="25">
        <v>34.69</v>
      </c>
      <c r="DC7" s="34">
        <v>54.3</v>
      </c>
      <c r="DD7" s="24"/>
      <c r="DE7" s="25"/>
      <c r="DF7" s="25"/>
      <c r="DG7" s="25"/>
      <c r="DH7" s="25"/>
      <c r="DI7" s="25"/>
      <c r="DJ7" s="25"/>
      <c r="DK7" s="25"/>
      <c r="DL7" s="58"/>
      <c r="DM7" s="24"/>
      <c r="DN7" s="33"/>
      <c r="DO7" s="25"/>
      <c r="DP7" s="25"/>
      <c r="DQ7" s="25"/>
      <c r="DR7" s="25"/>
      <c r="DS7" s="25"/>
      <c r="DT7" s="25"/>
      <c r="DU7" s="72"/>
      <c r="DV7" s="25"/>
      <c r="DW7" s="25"/>
      <c r="DX7" s="25"/>
      <c r="DY7" s="25"/>
      <c r="DZ7" s="25"/>
      <c r="EA7" s="25"/>
      <c r="EB7" s="25"/>
      <c r="EC7" s="25"/>
      <c r="ED7" s="56"/>
      <c r="EE7" s="24"/>
      <c r="EF7" s="25"/>
      <c r="EG7" s="25"/>
      <c r="EH7" s="25"/>
      <c r="EI7" s="25"/>
      <c r="EJ7" s="25"/>
      <c r="EK7" s="25"/>
      <c r="EL7" s="25"/>
      <c r="EM7" s="58"/>
      <c r="EN7" s="39"/>
      <c r="EO7" s="40">
        <f>B7</f>
        <v>46175</v>
      </c>
      <c r="EP7" s="40">
        <v>46163</v>
      </c>
      <c r="EQ7" s="40">
        <v>46165</v>
      </c>
      <c r="ER7" s="40" t="s">
        <v>122</v>
      </c>
      <c r="ES7" s="40"/>
      <c r="ET7" s="40">
        <v>45930</v>
      </c>
      <c r="EU7" s="40">
        <v>46150</v>
      </c>
      <c r="EV7" s="40" t="s">
        <v>105</v>
      </c>
      <c r="EW7" s="40"/>
      <c r="EX7" s="40">
        <v>45992</v>
      </c>
      <c r="EY7" s="40">
        <v>46162</v>
      </c>
      <c r="EZ7" s="40" t="s">
        <v>116</v>
      </c>
      <c r="FA7" s="40"/>
      <c r="FB7" s="40">
        <v>45688</v>
      </c>
      <c r="FC7" s="40">
        <v>46139</v>
      </c>
      <c r="FD7" s="40"/>
      <c r="FE7" s="40">
        <v>46038</v>
      </c>
      <c r="FF7" s="40">
        <v>46166</v>
      </c>
      <c r="FG7" s="40"/>
      <c r="FH7" s="40">
        <v>46055</v>
      </c>
      <c r="FI7" s="40">
        <v>46129</v>
      </c>
      <c r="FJ7" s="40"/>
      <c r="FK7" s="40">
        <v>46150</v>
      </c>
      <c r="FL7" s="40">
        <v>46162</v>
      </c>
      <c r="FM7" s="40"/>
      <c r="FN7" s="40"/>
      <c r="FO7" s="40"/>
      <c r="FP7" s="40" t="s">
        <v>80</v>
      </c>
      <c r="FQ7" s="40"/>
      <c r="FR7" s="40"/>
      <c r="FS7" s="40" t="s">
        <v>80</v>
      </c>
      <c r="FT7" s="40">
        <v>46158</v>
      </c>
      <c r="FU7" s="40">
        <v>46161</v>
      </c>
      <c r="FV7" s="40"/>
      <c r="FW7" s="40"/>
      <c r="FX7" s="40"/>
      <c r="FY7" s="40" t="s">
        <v>80</v>
      </c>
      <c r="FZ7" s="40">
        <v>46153</v>
      </c>
      <c r="GA7" s="40">
        <v>46165</v>
      </c>
      <c r="GB7" s="40"/>
      <c r="GC7" s="40">
        <v>46023</v>
      </c>
      <c r="GD7" s="40">
        <v>46162</v>
      </c>
      <c r="GE7" s="40" t="s">
        <v>78</v>
      </c>
      <c r="GF7" s="40">
        <v>46130</v>
      </c>
      <c r="GG7" s="40">
        <v>46164</v>
      </c>
      <c r="GH7" s="40"/>
      <c r="GI7" s="40"/>
      <c r="GJ7" s="40"/>
      <c r="GK7" s="40" t="s">
        <v>80</v>
      </c>
      <c r="GL7" s="40"/>
      <c r="GM7" s="40"/>
      <c r="GN7" s="40" t="s">
        <v>80</v>
      </c>
      <c r="GO7" s="40"/>
      <c r="GP7" s="40"/>
      <c r="GQ7" s="40" t="s">
        <v>80</v>
      </c>
      <c r="GR7" s="40"/>
      <c r="GS7" s="40"/>
      <c r="GT7" s="3" t="s">
        <v>80</v>
      </c>
    </row>
    <row r="8" spans="2:202" x14ac:dyDescent="0.35">
      <c r="B8" s="41">
        <f t="shared" ref="B8:B37" si="3">B7+1</f>
        <v>46176</v>
      </c>
      <c r="C8" s="24">
        <v>541254</v>
      </c>
      <c r="D8" s="25">
        <v>5.99</v>
      </c>
      <c r="E8" s="25">
        <v>0.33788377031950301</v>
      </c>
      <c r="F8" s="25">
        <v>1.7392729256737001</v>
      </c>
      <c r="G8" s="25">
        <v>51.728202309344297</v>
      </c>
      <c r="H8" s="25">
        <v>2.2127831398293498</v>
      </c>
      <c r="I8" s="25">
        <v>2.05964302623393</v>
      </c>
      <c r="J8" s="25">
        <f t="shared" si="0"/>
        <v>6.4852093058926297</v>
      </c>
      <c r="K8" s="24">
        <v>2593880</v>
      </c>
      <c r="L8" s="25">
        <v>5.32</v>
      </c>
      <c r="M8" s="25">
        <v>0.24573296064563299</v>
      </c>
      <c r="N8" s="25">
        <v>1.4165194906326199</v>
      </c>
      <c r="O8" s="25">
        <v>52.845729663118099</v>
      </c>
      <c r="P8" s="25">
        <v>2.0308134984987101</v>
      </c>
      <c r="Q8" s="25">
        <v>2.3830349561142299</v>
      </c>
      <c r="R8" s="25">
        <f t="shared" si="1"/>
        <v>6.44466195311165</v>
      </c>
      <c r="S8" s="24">
        <v>2218586</v>
      </c>
      <c r="T8" s="25">
        <v>5.79</v>
      </c>
      <c r="U8" s="25">
        <v>0.29476961702775623</v>
      </c>
      <c r="V8" s="25">
        <v>1.68</v>
      </c>
      <c r="W8" s="25">
        <v>51.03186958517685</v>
      </c>
      <c r="X8" s="25">
        <v>2.5499999999999998</v>
      </c>
      <c r="Y8" s="25">
        <v>2.3162873510452009</v>
      </c>
      <c r="Z8" s="25">
        <f t="shared" si="2"/>
        <v>7.4162873510452005</v>
      </c>
      <c r="AA8" s="24">
        <v>476862</v>
      </c>
      <c r="AB8" s="25">
        <v>85.87</v>
      </c>
      <c r="AC8" s="25">
        <v>0.25</v>
      </c>
      <c r="AD8" s="24">
        <v>504204</v>
      </c>
      <c r="AE8" s="33">
        <v>8.6999999999999994E-2</v>
      </c>
      <c r="AF8" s="25">
        <v>3.2515864004710397E-2</v>
      </c>
      <c r="AG8" s="34">
        <v>1.9649931113335</v>
      </c>
      <c r="AH8" s="35">
        <v>20</v>
      </c>
      <c r="AI8" s="25">
        <v>35.520000000000003</v>
      </c>
      <c r="AJ8" s="25"/>
      <c r="AK8" s="34">
        <v>53.9</v>
      </c>
      <c r="AL8" s="24">
        <v>554452</v>
      </c>
      <c r="AM8" s="33">
        <v>0.106</v>
      </c>
      <c r="AN8" s="25">
        <v>0.04</v>
      </c>
      <c r="AO8" s="34">
        <v>2</v>
      </c>
      <c r="AP8" s="35">
        <v>20</v>
      </c>
      <c r="AQ8" s="25">
        <v>38.520000000000003</v>
      </c>
      <c r="AR8" s="25"/>
      <c r="AS8" s="25">
        <v>53.4</v>
      </c>
      <c r="AT8" s="24">
        <v>219111</v>
      </c>
      <c r="AU8" s="25">
        <v>84.87</v>
      </c>
      <c r="AV8" s="25">
        <v>0.25</v>
      </c>
      <c r="AW8" s="34"/>
      <c r="AX8" s="35"/>
      <c r="AY8" s="25"/>
      <c r="AZ8" s="25"/>
      <c r="BA8" s="34"/>
      <c r="BB8" s="24"/>
      <c r="BC8" s="48"/>
      <c r="BD8" s="49"/>
      <c r="BE8" s="49"/>
      <c r="BF8" s="49"/>
      <c r="BG8" s="49"/>
      <c r="BH8" s="49"/>
      <c r="BI8" s="49"/>
      <c r="BJ8" s="24"/>
      <c r="BK8" s="33"/>
      <c r="BL8" s="25"/>
      <c r="BM8" s="25"/>
      <c r="BN8" s="25"/>
      <c r="BO8" s="25"/>
      <c r="BP8" s="25"/>
      <c r="BQ8" s="25"/>
      <c r="BR8" s="24">
        <v>240108</v>
      </c>
      <c r="BS8" s="33">
        <v>7.0999999999999994E-2</v>
      </c>
      <c r="BT8" s="25">
        <v>0.05</v>
      </c>
      <c r="BU8" s="34">
        <v>2.2000000000000002</v>
      </c>
      <c r="BV8" s="35">
        <v>22</v>
      </c>
      <c r="BW8" s="25">
        <v>57.43</v>
      </c>
      <c r="BX8" s="25">
        <v>0.53</v>
      </c>
      <c r="BY8" s="25">
        <v>8.6</v>
      </c>
      <c r="BZ8" s="24"/>
      <c r="CA8" s="33"/>
      <c r="CB8" s="25"/>
      <c r="CC8" s="34"/>
      <c r="CD8" s="35"/>
      <c r="CE8" s="25"/>
      <c r="CF8" s="25"/>
      <c r="CG8" s="25"/>
      <c r="CH8" s="24">
        <v>526953</v>
      </c>
      <c r="CI8" s="33">
        <v>6.6000000000000003E-2</v>
      </c>
      <c r="CJ8" s="25">
        <v>4.5912143967298799E-2</v>
      </c>
      <c r="CK8" s="34">
        <v>2.2000000000000002</v>
      </c>
      <c r="CL8" s="35">
        <v>22</v>
      </c>
      <c r="CM8" s="25">
        <v>57.04</v>
      </c>
      <c r="CN8" s="25">
        <v>0.5</v>
      </c>
      <c r="CO8" s="34">
        <v>9</v>
      </c>
      <c r="CP8" s="24">
        <v>43247</v>
      </c>
      <c r="CQ8" s="33">
        <v>9.8000000000000004E-2</v>
      </c>
      <c r="CR8" s="25">
        <v>0.04</v>
      </c>
      <c r="CS8" s="34">
        <v>2.2000000000000002</v>
      </c>
      <c r="CT8" s="35">
        <v>22</v>
      </c>
      <c r="CU8" s="25">
        <v>50.23</v>
      </c>
      <c r="CV8" s="25">
        <v>1</v>
      </c>
      <c r="CW8" s="24">
        <v>1084861</v>
      </c>
      <c r="CX8" s="33">
        <v>8.3000000000000004E-2</v>
      </c>
      <c r="CY8" s="25">
        <v>3.0410024878763299E-2</v>
      </c>
      <c r="CZ8" s="34">
        <v>1.8924828772226701</v>
      </c>
      <c r="DA8" s="35">
        <v>19</v>
      </c>
      <c r="DB8" s="25">
        <v>34.69</v>
      </c>
      <c r="DC8" s="34">
        <v>54.3</v>
      </c>
      <c r="DD8" s="42"/>
      <c r="DE8" s="49"/>
      <c r="DF8" s="49"/>
      <c r="DG8" s="49"/>
      <c r="DH8" s="49"/>
      <c r="DI8" s="49"/>
      <c r="DJ8" s="49"/>
      <c r="DK8" s="49"/>
      <c r="DL8" s="56"/>
      <c r="DM8" s="24"/>
      <c r="DN8" s="33"/>
      <c r="DO8" s="25"/>
      <c r="DP8" s="25"/>
      <c r="DQ8" s="25"/>
      <c r="DR8" s="25"/>
      <c r="DS8" s="25"/>
      <c r="DT8" s="25"/>
      <c r="DU8" s="57"/>
      <c r="DV8" s="49"/>
      <c r="DW8" s="49"/>
      <c r="DX8" s="49"/>
      <c r="DY8" s="49"/>
      <c r="DZ8" s="49"/>
      <c r="EA8" s="49"/>
      <c r="EB8" s="49"/>
      <c r="EC8" s="49"/>
      <c r="ED8" s="56"/>
      <c r="EE8" s="42"/>
      <c r="EF8" s="49"/>
      <c r="EG8" s="49"/>
      <c r="EH8" s="49"/>
      <c r="EI8" s="49"/>
      <c r="EJ8" s="49"/>
      <c r="EK8" s="49"/>
      <c r="EL8" s="49"/>
      <c r="EM8" s="58"/>
      <c r="EN8" s="39"/>
      <c r="EO8" s="40">
        <f t="shared" ref="EO8:EO37" si="4">B8</f>
        <v>46176</v>
      </c>
      <c r="EP8" s="40">
        <v>46163</v>
      </c>
      <c r="EQ8" s="40">
        <v>46165</v>
      </c>
      <c r="ER8" s="40" t="s">
        <v>122</v>
      </c>
      <c r="ES8" s="40"/>
      <c r="ET8" s="40">
        <v>45930</v>
      </c>
      <c r="EU8" s="40">
        <v>46150</v>
      </c>
      <c r="EV8" s="40" t="s">
        <v>105</v>
      </c>
      <c r="EW8" s="40"/>
      <c r="EX8" s="40">
        <v>45992</v>
      </c>
      <c r="EY8" s="40">
        <v>46175</v>
      </c>
      <c r="EZ8" s="40" t="s">
        <v>130</v>
      </c>
      <c r="FA8" s="40"/>
      <c r="FB8" s="40">
        <v>45688</v>
      </c>
      <c r="FC8" s="40">
        <v>46139</v>
      </c>
      <c r="FD8" s="40"/>
      <c r="FE8" s="40">
        <v>46038</v>
      </c>
      <c r="FF8" s="40">
        <v>46166</v>
      </c>
      <c r="FG8" s="40"/>
      <c r="FH8" s="40">
        <v>46055</v>
      </c>
      <c r="FI8" s="40">
        <v>46129</v>
      </c>
      <c r="FJ8" s="40"/>
      <c r="FK8" s="40">
        <v>46150</v>
      </c>
      <c r="FL8" s="40">
        <v>46162</v>
      </c>
      <c r="FM8" s="40"/>
      <c r="FN8" s="40"/>
      <c r="FO8" s="40"/>
      <c r="FP8" s="40" t="s">
        <v>80</v>
      </c>
      <c r="FQ8" s="40"/>
      <c r="FR8" s="40"/>
      <c r="FS8" s="40" t="s">
        <v>80</v>
      </c>
      <c r="FT8" s="40">
        <v>46158</v>
      </c>
      <c r="FU8" s="40">
        <v>46161</v>
      </c>
      <c r="FV8" s="40" t="s">
        <v>126</v>
      </c>
      <c r="FW8" s="40"/>
      <c r="FX8" s="40"/>
      <c r="FY8" s="40" t="s">
        <v>80</v>
      </c>
      <c r="FZ8" s="40">
        <v>46153</v>
      </c>
      <c r="GA8" s="40">
        <v>46165</v>
      </c>
      <c r="GB8" s="40"/>
      <c r="GC8" s="40">
        <v>46023</v>
      </c>
      <c r="GD8" s="40">
        <v>46162</v>
      </c>
      <c r="GE8" s="40" t="s">
        <v>78</v>
      </c>
      <c r="GF8" s="40">
        <v>46130</v>
      </c>
      <c r="GG8" s="40">
        <v>46164</v>
      </c>
      <c r="GH8" s="40"/>
      <c r="GI8" s="40"/>
      <c r="GJ8" s="40"/>
      <c r="GK8" s="40" t="s">
        <v>80</v>
      </c>
      <c r="GL8" s="40"/>
      <c r="GM8" s="40"/>
      <c r="GN8" s="40" t="s">
        <v>80</v>
      </c>
      <c r="GO8" s="40"/>
      <c r="GP8" s="40"/>
      <c r="GQ8" s="40" t="s">
        <v>80</v>
      </c>
      <c r="GR8" s="40"/>
      <c r="GS8" s="40"/>
      <c r="GT8" s="3" t="s">
        <v>80</v>
      </c>
    </row>
    <row r="9" spans="2:202" x14ac:dyDescent="0.35">
      <c r="B9" s="41">
        <f t="shared" si="3"/>
        <v>46177</v>
      </c>
      <c r="C9" s="24">
        <v>541254</v>
      </c>
      <c r="D9" s="25">
        <v>5.99</v>
      </c>
      <c r="E9" s="25">
        <v>0.33788377031950301</v>
      </c>
      <c r="F9" s="25">
        <v>1.7392729256737001</v>
      </c>
      <c r="G9" s="25">
        <v>51.728202309344297</v>
      </c>
      <c r="H9" s="25">
        <v>2.2127831398293498</v>
      </c>
      <c r="I9" s="25">
        <v>2.05964302623393</v>
      </c>
      <c r="J9" s="25">
        <f t="shared" si="0"/>
        <v>6.4852093058926297</v>
      </c>
      <c r="K9" s="24">
        <v>2593880</v>
      </c>
      <c r="L9" s="25">
        <v>5.33</v>
      </c>
      <c r="M9" s="25">
        <v>0.24573296064563299</v>
      </c>
      <c r="N9" s="25">
        <v>1.4165194906326199</v>
      </c>
      <c r="O9" s="25">
        <v>52.845729663118099</v>
      </c>
      <c r="P9" s="25">
        <v>2.0308134984987101</v>
      </c>
      <c r="Q9" s="25">
        <v>2.3830349561142299</v>
      </c>
      <c r="R9" s="25">
        <f t="shared" si="1"/>
        <v>6.44466195311165</v>
      </c>
      <c r="S9" s="24">
        <v>2350576</v>
      </c>
      <c r="T9" s="25">
        <v>5.7</v>
      </c>
      <c r="U9" s="25">
        <v>0.29394027062436673</v>
      </c>
      <c r="V9" s="25">
        <v>1.75</v>
      </c>
      <c r="W9" s="25">
        <v>51.079493968924709</v>
      </c>
      <c r="X9" s="25">
        <v>2.5</v>
      </c>
      <c r="Y9" s="25">
        <v>2.3013347320001429</v>
      </c>
      <c r="Z9" s="25">
        <f t="shared" si="2"/>
        <v>7.3013347320001429</v>
      </c>
      <c r="AA9" s="24">
        <v>476862</v>
      </c>
      <c r="AB9" s="25">
        <v>85.87</v>
      </c>
      <c r="AC9" s="25">
        <v>0.25</v>
      </c>
      <c r="AD9" s="24">
        <v>504204</v>
      </c>
      <c r="AE9" s="33">
        <v>8.8999999999999996E-2</v>
      </c>
      <c r="AF9" s="25">
        <v>3.2515864004710397E-2</v>
      </c>
      <c r="AG9" s="34">
        <v>1.9649931113335</v>
      </c>
      <c r="AH9" s="35">
        <v>20</v>
      </c>
      <c r="AI9" s="25">
        <v>35.520000000000003</v>
      </c>
      <c r="AJ9" s="25"/>
      <c r="AK9" s="34">
        <v>53.9</v>
      </c>
      <c r="AL9" s="24">
        <v>554452</v>
      </c>
      <c r="AM9" s="33">
        <v>0.107</v>
      </c>
      <c r="AN9" s="25">
        <v>0.04</v>
      </c>
      <c r="AO9" s="34">
        <v>2</v>
      </c>
      <c r="AP9" s="35">
        <v>20</v>
      </c>
      <c r="AQ9" s="25">
        <v>38.520000000000003</v>
      </c>
      <c r="AR9" s="25"/>
      <c r="AS9" s="25">
        <v>53.4</v>
      </c>
      <c r="AT9" s="24">
        <v>219111</v>
      </c>
      <c r="AU9" s="25">
        <v>84.87</v>
      </c>
      <c r="AV9" s="25">
        <v>0.25</v>
      </c>
      <c r="AW9" s="34"/>
      <c r="AX9" s="35"/>
      <c r="AY9" s="25"/>
      <c r="AZ9" s="25"/>
      <c r="BA9" s="34"/>
      <c r="BB9" s="24"/>
      <c r="BC9" s="48"/>
      <c r="BD9" s="49"/>
      <c r="BE9" s="49"/>
      <c r="BF9" s="49"/>
      <c r="BG9" s="49"/>
      <c r="BH9" s="49"/>
      <c r="BI9" s="49"/>
      <c r="BJ9" s="24"/>
      <c r="BK9" s="33"/>
      <c r="BL9" s="25"/>
      <c r="BM9" s="25"/>
      <c r="BN9" s="25"/>
      <c r="BO9" s="25"/>
      <c r="BP9" s="25"/>
      <c r="BQ9" s="25"/>
      <c r="BR9" s="42">
        <v>164508</v>
      </c>
      <c r="BS9" s="33">
        <v>7.1999999999999995E-2</v>
      </c>
      <c r="BT9" s="25">
        <v>0.06</v>
      </c>
      <c r="BU9" s="34">
        <v>2.2000000000000002</v>
      </c>
      <c r="BV9" s="35">
        <v>22</v>
      </c>
      <c r="BW9" s="25">
        <v>57.43</v>
      </c>
      <c r="BX9" s="25">
        <v>0.53</v>
      </c>
      <c r="BY9" s="25">
        <v>8.6</v>
      </c>
      <c r="BZ9" s="24"/>
      <c r="CA9" s="33"/>
      <c r="CB9" s="25"/>
      <c r="CC9" s="34"/>
      <c r="CD9" s="35"/>
      <c r="CE9" s="25"/>
      <c r="CF9" s="25"/>
      <c r="CG9" s="25"/>
      <c r="CH9" s="24">
        <v>526953</v>
      </c>
      <c r="CI9" s="33">
        <v>6.7000000000000004E-2</v>
      </c>
      <c r="CJ9" s="25">
        <v>4.5912143967298799E-2</v>
      </c>
      <c r="CK9" s="34">
        <v>2.2000000000000002</v>
      </c>
      <c r="CL9" s="35">
        <v>22</v>
      </c>
      <c r="CM9" s="25">
        <v>57.04</v>
      </c>
      <c r="CN9" s="25">
        <v>0.5</v>
      </c>
      <c r="CO9" s="34">
        <v>9</v>
      </c>
      <c r="CP9" s="24">
        <v>43247</v>
      </c>
      <c r="CQ9" s="33">
        <v>0.10299999999999999</v>
      </c>
      <c r="CR9" s="25">
        <v>0.04</v>
      </c>
      <c r="CS9" s="34">
        <v>2.2000000000000002</v>
      </c>
      <c r="CT9" s="35">
        <v>22</v>
      </c>
      <c r="CU9" s="25">
        <v>50.23</v>
      </c>
      <c r="CV9" s="25">
        <v>1</v>
      </c>
      <c r="CW9" s="24">
        <v>1084861</v>
      </c>
      <c r="CX9" s="33">
        <v>8.4000000000000005E-2</v>
      </c>
      <c r="CY9" s="25">
        <v>3.0410024878763299E-2</v>
      </c>
      <c r="CZ9" s="34">
        <v>1.8924828772226701</v>
      </c>
      <c r="DA9" s="35">
        <v>19</v>
      </c>
      <c r="DB9" s="25">
        <v>34.69</v>
      </c>
      <c r="DC9" s="34">
        <v>54.3</v>
      </c>
      <c r="DD9" s="42"/>
      <c r="DE9" s="49"/>
      <c r="DF9" s="49"/>
      <c r="DG9" s="49"/>
      <c r="DH9" s="49"/>
      <c r="DI9" s="49"/>
      <c r="DJ9" s="49"/>
      <c r="DK9" s="49"/>
      <c r="DL9" s="56"/>
      <c r="DM9" s="24"/>
      <c r="DN9" s="33"/>
      <c r="DO9" s="25"/>
      <c r="DP9" s="25"/>
      <c r="DQ9" s="25"/>
      <c r="DR9" s="25"/>
      <c r="DS9" s="25"/>
      <c r="DT9" s="25"/>
      <c r="DU9" s="57"/>
      <c r="DV9" s="49"/>
      <c r="DW9" s="49"/>
      <c r="DX9" s="49"/>
      <c r="DY9" s="49"/>
      <c r="DZ9" s="49"/>
      <c r="EA9" s="49"/>
      <c r="EB9" s="49"/>
      <c r="EC9" s="49"/>
      <c r="ED9" s="56"/>
      <c r="EE9" s="42"/>
      <c r="EF9" s="49"/>
      <c r="EG9" s="49"/>
      <c r="EH9" s="49"/>
      <c r="EI9" s="49"/>
      <c r="EJ9" s="49"/>
      <c r="EK9" s="49"/>
      <c r="EL9" s="49"/>
      <c r="EM9" s="58"/>
      <c r="EN9" s="39"/>
      <c r="EO9" s="40">
        <f t="shared" si="4"/>
        <v>46177</v>
      </c>
      <c r="EP9" s="40">
        <v>46163</v>
      </c>
      <c r="EQ9" s="40">
        <v>46165</v>
      </c>
      <c r="ER9" s="40" t="s">
        <v>122</v>
      </c>
      <c r="ES9" s="40"/>
      <c r="ET9" s="40">
        <v>45930</v>
      </c>
      <c r="EU9" s="40">
        <v>46150</v>
      </c>
      <c r="EV9" s="40" t="s">
        <v>105</v>
      </c>
      <c r="EW9" s="40"/>
      <c r="EX9" s="40">
        <v>45992</v>
      </c>
      <c r="EY9" s="40">
        <v>46176</v>
      </c>
      <c r="EZ9" s="40" t="s">
        <v>130</v>
      </c>
      <c r="FA9" s="40"/>
      <c r="FB9" s="40">
        <v>45688</v>
      </c>
      <c r="FC9" s="40">
        <v>46139</v>
      </c>
      <c r="FD9" s="40"/>
      <c r="FE9" s="40">
        <v>46038</v>
      </c>
      <c r="FF9" s="40">
        <v>46166</v>
      </c>
      <c r="FG9" s="40"/>
      <c r="FH9" s="40">
        <v>46055</v>
      </c>
      <c r="FI9" s="40">
        <v>46129</v>
      </c>
      <c r="FJ9" s="40"/>
      <c r="FK9" s="40">
        <v>46150</v>
      </c>
      <c r="FL9" s="40">
        <v>46162</v>
      </c>
      <c r="FM9" s="40"/>
      <c r="FN9" s="40"/>
      <c r="FO9" s="40"/>
      <c r="FP9" s="40" t="s">
        <v>80</v>
      </c>
      <c r="FQ9" s="40"/>
      <c r="FR9" s="40"/>
      <c r="FS9" s="40" t="s">
        <v>80</v>
      </c>
      <c r="FT9" s="40">
        <v>46158</v>
      </c>
      <c r="FU9" s="40">
        <v>46161</v>
      </c>
      <c r="FV9" s="40" t="s">
        <v>131</v>
      </c>
      <c r="FW9" s="40"/>
      <c r="FX9" s="40"/>
      <c r="FY9" s="40" t="s">
        <v>80</v>
      </c>
      <c r="FZ9" s="40">
        <v>46153</v>
      </c>
      <c r="GA9" s="40">
        <v>46165</v>
      </c>
      <c r="GB9" s="40"/>
      <c r="GC9" s="40">
        <v>46023</v>
      </c>
      <c r="GD9" s="40">
        <v>46162</v>
      </c>
      <c r="GE9" s="40" t="s">
        <v>78</v>
      </c>
      <c r="GF9" s="40">
        <v>46130</v>
      </c>
      <c r="GG9" s="40">
        <v>46164</v>
      </c>
      <c r="GH9" s="40"/>
      <c r="GI9" s="40"/>
      <c r="GJ9" s="40"/>
      <c r="GK9" s="40" t="s">
        <v>80</v>
      </c>
      <c r="GL9" s="40"/>
      <c r="GM9" s="40"/>
      <c r="GN9" s="40" t="s">
        <v>80</v>
      </c>
      <c r="GO9" s="40"/>
      <c r="GP9" s="40"/>
      <c r="GQ9" s="40" t="s">
        <v>80</v>
      </c>
      <c r="GR9" s="40"/>
      <c r="GS9" s="40"/>
      <c r="GT9" s="3" t="s">
        <v>80</v>
      </c>
    </row>
    <row r="10" spans="2:202" x14ac:dyDescent="0.35">
      <c r="B10" s="41">
        <f t="shared" si="3"/>
        <v>46178</v>
      </c>
      <c r="C10" s="24">
        <v>541254</v>
      </c>
      <c r="D10" s="25">
        <v>5.99</v>
      </c>
      <c r="E10" s="25">
        <v>0.33788377031950301</v>
      </c>
      <c r="F10" s="25">
        <v>1.7392729256737001</v>
      </c>
      <c r="G10" s="25">
        <v>51.728202309344297</v>
      </c>
      <c r="H10" s="25">
        <v>2.2127831398293498</v>
      </c>
      <c r="I10" s="25">
        <v>2.05964302623393</v>
      </c>
      <c r="J10" s="25">
        <f t="shared" si="0"/>
        <v>6.4852093058926297</v>
      </c>
      <c r="K10" s="24">
        <v>2593880</v>
      </c>
      <c r="L10" s="25">
        <v>5.35</v>
      </c>
      <c r="M10" s="25">
        <v>0.24573296064563299</v>
      </c>
      <c r="N10" s="25">
        <v>1.4165194906326199</v>
      </c>
      <c r="O10" s="25">
        <v>52.845729663118099</v>
      </c>
      <c r="P10" s="25">
        <v>2.0308134984987101</v>
      </c>
      <c r="Q10" s="25">
        <v>2.3830349561142299</v>
      </c>
      <c r="R10" s="25">
        <f t="shared" si="1"/>
        <v>6.44466195311165</v>
      </c>
      <c r="S10" s="24">
        <v>2491596</v>
      </c>
      <c r="T10" s="25">
        <v>5.68</v>
      </c>
      <c r="U10" s="25">
        <v>0.29428324076742035</v>
      </c>
      <c r="V10" s="25">
        <v>1.7533958956427929</v>
      </c>
      <c r="W10" s="25">
        <v>51.123669252759747</v>
      </c>
      <c r="X10" s="25">
        <v>2.4841524870003004</v>
      </c>
      <c r="Y10" s="25">
        <v>2.285977658097849</v>
      </c>
      <c r="Z10" s="25">
        <f t="shared" si="2"/>
        <v>7.2542826320984499</v>
      </c>
      <c r="AA10" s="24">
        <v>476862</v>
      </c>
      <c r="AB10" s="25">
        <v>85.87</v>
      </c>
      <c r="AC10" s="25">
        <v>0.25</v>
      </c>
      <c r="AD10" s="24">
        <v>504204</v>
      </c>
      <c r="AE10" s="33">
        <v>0.09</v>
      </c>
      <c r="AF10" s="25">
        <v>3.2515864004710397E-2</v>
      </c>
      <c r="AG10" s="34">
        <v>1.9649931113335</v>
      </c>
      <c r="AH10" s="35">
        <v>20</v>
      </c>
      <c r="AI10" s="25">
        <v>35.520000000000003</v>
      </c>
      <c r="AJ10" s="25"/>
      <c r="AK10" s="34">
        <v>53.9</v>
      </c>
      <c r="AL10" s="24">
        <v>554452</v>
      </c>
      <c r="AM10" s="33">
        <v>0.108</v>
      </c>
      <c r="AN10" s="25">
        <v>0.04</v>
      </c>
      <c r="AO10" s="34">
        <v>2</v>
      </c>
      <c r="AP10" s="35">
        <v>20</v>
      </c>
      <c r="AQ10" s="25">
        <v>38.520000000000003</v>
      </c>
      <c r="AR10" s="25"/>
      <c r="AS10" s="25">
        <v>53.4</v>
      </c>
      <c r="AT10" s="24">
        <v>219111</v>
      </c>
      <c r="AU10" s="25">
        <v>84.87</v>
      </c>
      <c r="AV10" s="25">
        <v>0.25</v>
      </c>
      <c r="AW10" s="34"/>
      <c r="AX10" s="35"/>
      <c r="AY10" s="25"/>
      <c r="AZ10" s="25"/>
      <c r="BA10" s="34"/>
      <c r="BB10" s="24"/>
      <c r="BC10" s="48"/>
      <c r="BD10" s="49"/>
      <c r="BE10" s="49"/>
      <c r="BF10" s="49"/>
      <c r="BG10" s="49"/>
      <c r="BH10" s="49"/>
      <c r="BI10" s="49"/>
      <c r="BJ10" s="24"/>
      <c r="BK10" s="33"/>
      <c r="BL10" s="25"/>
      <c r="BM10" s="25"/>
      <c r="BN10" s="25"/>
      <c r="BO10" s="25"/>
      <c r="BP10" s="25"/>
      <c r="BQ10" s="25"/>
      <c r="BR10" s="42">
        <v>136708</v>
      </c>
      <c r="BS10" s="33">
        <v>7.2999999999999995E-2</v>
      </c>
      <c r="BT10" s="25">
        <v>7.0000000000000007E-2</v>
      </c>
      <c r="BU10" s="34">
        <v>2.2000000000000002</v>
      </c>
      <c r="BV10" s="35">
        <v>22</v>
      </c>
      <c r="BW10" s="25">
        <v>57.43</v>
      </c>
      <c r="BX10" s="25">
        <v>0.53</v>
      </c>
      <c r="BY10" s="25">
        <v>8.6</v>
      </c>
      <c r="BZ10" s="24"/>
      <c r="CA10" s="33"/>
      <c r="CB10" s="25"/>
      <c r="CC10" s="34"/>
      <c r="CD10" s="35"/>
      <c r="CE10" s="25"/>
      <c r="CF10" s="25"/>
      <c r="CG10" s="25"/>
      <c r="CH10" s="24">
        <v>526953</v>
      </c>
      <c r="CI10" s="33">
        <v>6.8000000000000005E-2</v>
      </c>
      <c r="CJ10" s="25">
        <v>4.5912143967298799E-2</v>
      </c>
      <c r="CK10" s="34">
        <v>2.2000000000000002</v>
      </c>
      <c r="CL10" s="35">
        <v>22</v>
      </c>
      <c r="CM10" s="25">
        <v>57.04</v>
      </c>
      <c r="CN10" s="25">
        <v>0.5</v>
      </c>
      <c r="CO10" s="34">
        <v>9</v>
      </c>
      <c r="CP10" s="24">
        <v>43247</v>
      </c>
      <c r="CQ10" s="33">
        <v>0.108</v>
      </c>
      <c r="CR10" s="25">
        <v>0.05</v>
      </c>
      <c r="CS10" s="34">
        <v>2.2000000000000002</v>
      </c>
      <c r="CT10" s="35">
        <v>22</v>
      </c>
      <c r="CU10" s="25">
        <v>50.23</v>
      </c>
      <c r="CV10" s="25">
        <v>1</v>
      </c>
      <c r="CW10" s="24">
        <v>1084861</v>
      </c>
      <c r="CX10" s="33">
        <v>8.5000000000000006E-2</v>
      </c>
      <c r="CY10" s="25">
        <v>3.0410024878763299E-2</v>
      </c>
      <c r="CZ10" s="34">
        <v>1.8924828772226701</v>
      </c>
      <c r="DA10" s="35">
        <v>19</v>
      </c>
      <c r="DB10" s="25">
        <v>34.69</v>
      </c>
      <c r="DC10" s="34">
        <v>54.3</v>
      </c>
      <c r="DD10" s="42"/>
      <c r="DE10" s="49"/>
      <c r="DF10" s="49"/>
      <c r="DG10" s="49"/>
      <c r="DH10" s="49"/>
      <c r="DI10" s="49"/>
      <c r="DJ10" s="49"/>
      <c r="DK10" s="49"/>
      <c r="DL10" s="56"/>
      <c r="DM10" s="24"/>
      <c r="DN10" s="33"/>
      <c r="DO10" s="25"/>
      <c r="DP10" s="25"/>
      <c r="DQ10" s="25"/>
      <c r="DR10" s="25"/>
      <c r="DS10" s="25"/>
      <c r="DT10" s="25"/>
      <c r="DU10" s="57"/>
      <c r="DV10" s="49"/>
      <c r="DW10" s="49"/>
      <c r="DX10" s="49"/>
      <c r="DY10" s="49"/>
      <c r="DZ10" s="49"/>
      <c r="EA10" s="49"/>
      <c r="EB10" s="49"/>
      <c r="EC10" s="49"/>
      <c r="ED10" s="56"/>
      <c r="EE10" s="42"/>
      <c r="EF10" s="49"/>
      <c r="EG10" s="49"/>
      <c r="EH10" s="49"/>
      <c r="EI10" s="49"/>
      <c r="EJ10" s="49"/>
      <c r="EK10" s="49"/>
      <c r="EL10" s="49"/>
      <c r="EM10" s="58"/>
      <c r="EN10" s="39"/>
      <c r="EO10" s="40">
        <f t="shared" si="4"/>
        <v>46178</v>
      </c>
      <c r="EP10" s="40">
        <v>46163</v>
      </c>
      <c r="EQ10" s="40">
        <v>46165</v>
      </c>
      <c r="ER10" s="40" t="s">
        <v>122</v>
      </c>
      <c r="ES10" s="40"/>
      <c r="ET10" s="40">
        <v>45930</v>
      </c>
      <c r="EU10" s="40">
        <v>46150</v>
      </c>
      <c r="EV10" s="40" t="s">
        <v>105</v>
      </c>
      <c r="EW10" s="40"/>
      <c r="EX10" s="40">
        <v>45992</v>
      </c>
      <c r="EY10" s="40">
        <v>46177</v>
      </c>
      <c r="EZ10" s="40" t="s">
        <v>130</v>
      </c>
      <c r="FA10" s="40"/>
      <c r="FB10" s="40">
        <v>45688</v>
      </c>
      <c r="FC10" s="40">
        <v>46139</v>
      </c>
      <c r="FD10" s="40"/>
      <c r="FE10" s="40">
        <v>46038</v>
      </c>
      <c r="FF10" s="40">
        <v>46166</v>
      </c>
      <c r="FG10" s="40"/>
      <c r="FH10" s="40">
        <v>46055</v>
      </c>
      <c r="FI10" s="40">
        <v>46129</v>
      </c>
      <c r="FJ10" s="40"/>
      <c r="FK10" s="40">
        <v>46150</v>
      </c>
      <c r="FL10" s="40">
        <v>46162</v>
      </c>
      <c r="FM10" s="40"/>
      <c r="FN10" s="40"/>
      <c r="FO10" s="40"/>
      <c r="FP10" s="40" t="s">
        <v>80</v>
      </c>
      <c r="FQ10" s="40"/>
      <c r="FR10" s="40"/>
      <c r="FS10" s="40" t="s">
        <v>80</v>
      </c>
      <c r="FT10" s="40">
        <v>46158</v>
      </c>
      <c r="FU10" s="40">
        <v>46161</v>
      </c>
      <c r="FV10" s="40" t="s">
        <v>132</v>
      </c>
      <c r="FW10" s="40"/>
      <c r="FX10" s="40"/>
      <c r="FY10" s="40" t="s">
        <v>80</v>
      </c>
      <c r="FZ10" s="40">
        <v>46153</v>
      </c>
      <c r="GA10" s="40">
        <v>46165</v>
      </c>
      <c r="GB10" s="40"/>
      <c r="GC10" s="40">
        <v>46023</v>
      </c>
      <c r="GD10" s="40">
        <v>46162</v>
      </c>
      <c r="GE10" s="40" t="s">
        <v>78</v>
      </c>
      <c r="GF10" s="40">
        <v>46130</v>
      </c>
      <c r="GG10" s="40">
        <v>46164</v>
      </c>
      <c r="GH10" s="40"/>
      <c r="GI10" s="40"/>
      <c r="GJ10" s="40"/>
      <c r="GK10" s="40" t="s">
        <v>80</v>
      </c>
      <c r="GL10" s="40"/>
      <c r="GM10" s="40"/>
      <c r="GN10" s="40" t="s">
        <v>80</v>
      </c>
      <c r="GO10" s="40"/>
      <c r="GP10" s="40"/>
      <c r="GQ10" s="40" t="s">
        <v>80</v>
      </c>
      <c r="GR10" s="40"/>
      <c r="GS10" s="40"/>
      <c r="GT10" s="3" t="s">
        <v>80</v>
      </c>
    </row>
    <row r="11" spans="2:202" x14ac:dyDescent="0.35">
      <c r="B11" s="41">
        <f t="shared" si="3"/>
        <v>46179</v>
      </c>
      <c r="C11" s="24"/>
      <c r="D11" s="25"/>
      <c r="E11" s="25"/>
      <c r="F11" s="25"/>
      <c r="G11" s="25"/>
      <c r="H11" s="25"/>
      <c r="I11" s="25"/>
      <c r="J11" s="25"/>
      <c r="K11" s="24"/>
      <c r="L11" s="25"/>
      <c r="M11" s="25"/>
      <c r="N11" s="25"/>
      <c r="O11" s="25"/>
      <c r="P11" s="25"/>
      <c r="Q11" s="25"/>
      <c r="R11" s="25"/>
      <c r="S11" s="24"/>
      <c r="T11" s="25"/>
      <c r="U11" s="25"/>
      <c r="V11" s="25"/>
      <c r="W11" s="25"/>
      <c r="X11" s="25"/>
      <c r="Y11" s="25"/>
      <c r="Z11" s="25"/>
      <c r="AA11" s="24"/>
      <c r="AB11" s="25"/>
      <c r="AC11" s="25"/>
      <c r="AD11" s="24"/>
      <c r="AE11" s="33"/>
      <c r="AF11" s="25"/>
      <c r="AG11" s="34"/>
      <c r="AH11" s="35"/>
      <c r="AI11" s="25"/>
      <c r="AJ11" s="25"/>
      <c r="AK11" s="34"/>
      <c r="AL11" s="24"/>
      <c r="AM11" s="33"/>
      <c r="AN11" s="25"/>
      <c r="AO11" s="34"/>
      <c r="AP11" s="35"/>
      <c r="AQ11" s="25"/>
      <c r="AR11" s="25"/>
      <c r="AS11" s="25"/>
      <c r="AT11" s="24"/>
      <c r="AU11" s="25"/>
      <c r="AV11" s="25"/>
      <c r="AW11" s="34"/>
      <c r="AX11" s="35"/>
      <c r="AY11" s="25"/>
      <c r="AZ11" s="25"/>
      <c r="BA11" s="34"/>
      <c r="BB11" s="24"/>
      <c r="BC11" s="48"/>
      <c r="BD11" s="49"/>
      <c r="BE11" s="49"/>
      <c r="BF11" s="49"/>
      <c r="BG11" s="49"/>
      <c r="BH11" s="49"/>
      <c r="BI11" s="49"/>
      <c r="BJ11" s="24"/>
      <c r="BK11" s="33"/>
      <c r="BL11" s="25"/>
      <c r="BM11" s="25"/>
      <c r="BN11" s="25"/>
      <c r="BO11" s="25"/>
      <c r="BP11" s="25"/>
      <c r="BQ11" s="25"/>
      <c r="BR11" s="42"/>
      <c r="BS11" s="33"/>
      <c r="BT11" s="25"/>
      <c r="BU11" s="34"/>
      <c r="BV11" s="35"/>
      <c r="BW11" s="25"/>
      <c r="BX11" s="25"/>
      <c r="BY11" s="25"/>
      <c r="BZ11" s="42"/>
      <c r="CA11" s="48"/>
      <c r="CB11" s="49"/>
      <c r="CC11" s="50"/>
      <c r="CD11" s="51"/>
      <c r="CE11" s="49"/>
      <c r="CF11" s="49"/>
      <c r="CG11" s="49"/>
      <c r="CH11" s="42"/>
      <c r="CI11" s="33"/>
      <c r="CJ11" s="25"/>
      <c r="CK11" s="34"/>
      <c r="CL11" s="35"/>
      <c r="CM11" s="25"/>
      <c r="CN11" s="25"/>
      <c r="CO11" s="34"/>
      <c r="CP11" s="24"/>
      <c r="CQ11" s="33"/>
      <c r="CR11" s="25"/>
      <c r="CS11" s="34"/>
      <c r="CT11" s="35"/>
      <c r="CU11" s="25"/>
      <c r="CV11" s="25"/>
      <c r="CW11" s="24"/>
      <c r="CX11" s="33"/>
      <c r="CY11" s="25"/>
      <c r="CZ11" s="34"/>
      <c r="DA11" s="35"/>
      <c r="DB11" s="25"/>
      <c r="DC11" s="34"/>
      <c r="DD11" s="42"/>
      <c r="DE11" s="49"/>
      <c r="DF11" s="49"/>
      <c r="DG11" s="49"/>
      <c r="DH11" s="49"/>
      <c r="DI11" s="49"/>
      <c r="DJ11" s="49"/>
      <c r="DK11" s="49"/>
      <c r="DL11" s="56"/>
      <c r="DM11" s="24"/>
      <c r="DN11" s="33"/>
      <c r="DO11" s="25"/>
      <c r="DP11" s="25"/>
      <c r="DQ11" s="25"/>
      <c r="DR11" s="25"/>
      <c r="DS11" s="25"/>
      <c r="DT11" s="25"/>
      <c r="DU11" s="57"/>
      <c r="DV11" s="49"/>
      <c r="DW11" s="49"/>
      <c r="DX11" s="49"/>
      <c r="DY11" s="49"/>
      <c r="DZ11" s="49"/>
      <c r="EA11" s="49"/>
      <c r="EB11" s="49"/>
      <c r="EC11" s="49"/>
      <c r="ED11" s="56"/>
      <c r="EE11" s="42"/>
      <c r="EF11" s="49"/>
      <c r="EG11" s="49"/>
      <c r="EH11" s="49"/>
      <c r="EI11" s="49"/>
      <c r="EJ11" s="49"/>
      <c r="EK11" s="49"/>
      <c r="EL11" s="49"/>
      <c r="EM11" s="58"/>
      <c r="EN11" s="39"/>
      <c r="EO11" s="40">
        <f t="shared" si="4"/>
        <v>46179</v>
      </c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</row>
    <row r="12" spans="2:202" x14ac:dyDescent="0.35">
      <c r="B12" s="41">
        <f t="shared" si="3"/>
        <v>46180</v>
      </c>
      <c r="C12" s="24"/>
      <c r="D12" s="25"/>
      <c r="E12" s="25"/>
      <c r="F12" s="25"/>
      <c r="G12" s="25"/>
      <c r="H12" s="25"/>
      <c r="I12" s="25"/>
      <c r="J12" s="25"/>
      <c r="K12" s="24"/>
      <c r="L12" s="25"/>
      <c r="M12" s="25"/>
      <c r="N12" s="25"/>
      <c r="O12" s="25"/>
      <c r="P12" s="25"/>
      <c r="Q12" s="25"/>
      <c r="R12" s="25"/>
      <c r="S12" s="24"/>
      <c r="T12" s="25"/>
      <c r="U12" s="25"/>
      <c r="V12" s="25"/>
      <c r="W12" s="25"/>
      <c r="X12" s="25"/>
      <c r="Y12" s="25"/>
      <c r="Z12" s="25"/>
      <c r="AA12" s="24"/>
      <c r="AB12" s="25"/>
      <c r="AC12" s="25"/>
      <c r="AD12" s="24"/>
      <c r="AE12" s="33"/>
      <c r="AF12" s="25"/>
      <c r="AG12" s="34"/>
      <c r="AH12" s="35"/>
      <c r="AI12" s="25"/>
      <c r="AJ12" s="25"/>
      <c r="AK12" s="34"/>
      <c r="AL12" s="24"/>
      <c r="AM12" s="33"/>
      <c r="AN12" s="25"/>
      <c r="AO12" s="34"/>
      <c r="AP12" s="35"/>
      <c r="AQ12" s="25"/>
      <c r="AR12" s="25"/>
      <c r="AS12" s="25"/>
      <c r="AT12" s="24"/>
      <c r="AU12" s="25"/>
      <c r="AV12" s="25"/>
      <c r="AW12" s="34"/>
      <c r="AX12" s="35"/>
      <c r="AY12" s="25"/>
      <c r="AZ12" s="25"/>
      <c r="BA12" s="34"/>
      <c r="BB12" s="24"/>
      <c r="BC12" s="48"/>
      <c r="BD12" s="49"/>
      <c r="BE12" s="49"/>
      <c r="BF12" s="49"/>
      <c r="BG12" s="49"/>
      <c r="BH12" s="49"/>
      <c r="BI12" s="49"/>
      <c r="BJ12" s="24"/>
      <c r="BK12" s="33"/>
      <c r="BL12" s="25"/>
      <c r="BM12" s="25"/>
      <c r="BN12" s="25"/>
      <c r="BO12" s="25"/>
      <c r="BP12" s="25"/>
      <c r="BQ12" s="25"/>
      <c r="BR12" s="42"/>
      <c r="BS12" s="33"/>
      <c r="BT12" s="25"/>
      <c r="BU12" s="34"/>
      <c r="BV12" s="35"/>
      <c r="BW12" s="25"/>
      <c r="BX12" s="25"/>
      <c r="BY12" s="25"/>
      <c r="BZ12" s="42"/>
      <c r="CA12" s="48"/>
      <c r="CB12" s="49"/>
      <c r="CC12" s="50"/>
      <c r="CD12" s="51"/>
      <c r="CE12" s="49"/>
      <c r="CF12" s="49"/>
      <c r="CG12" s="49"/>
      <c r="CH12" s="42"/>
      <c r="CI12" s="33"/>
      <c r="CJ12" s="25"/>
      <c r="CK12" s="34"/>
      <c r="CL12" s="35"/>
      <c r="CM12" s="25"/>
      <c r="CN12" s="25"/>
      <c r="CO12" s="34"/>
      <c r="CP12" s="24"/>
      <c r="CQ12" s="33"/>
      <c r="CR12" s="25"/>
      <c r="CS12" s="34"/>
      <c r="CT12" s="35"/>
      <c r="CU12" s="25"/>
      <c r="CV12" s="25"/>
      <c r="CW12" s="24"/>
      <c r="CX12" s="33"/>
      <c r="CY12" s="25"/>
      <c r="CZ12" s="34"/>
      <c r="DA12" s="35"/>
      <c r="DB12" s="25"/>
      <c r="DC12" s="34"/>
      <c r="DD12" s="42"/>
      <c r="DE12" s="49"/>
      <c r="DF12" s="49"/>
      <c r="DG12" s="49"/>
      <c r="DH12" s="49"/>
      <c r="DI12" s="49"/>
      <c r="DJ12" s="49"/>
      <c r="DK12" s="49"/>
      <c r="DL12" s="56"/>
      <c r="DM12" s="24"/>
      <c r="DN12" s="33"/>
      <c r="DO12" s="25"/>
      <c r="DP12" s="25"/>
      <c r="DQ12" s="25"/>
      <c r="DR12" s="25"/>
      <c r="DS12" s="25"/>
      <c r="DT12" s="25"/>
      <c r="DU12" s="57"/>
      <c r="DV12" s="49"/>
      <c r="DW12" s="49"/>
      <c r="DX12" s="49"/>
      <c r="DY12" s="49"/>
      <c r="DZ12" s="49"/>
      <c r="EA12" s="49"/>
      <c r="EB12" s="49"/>
      <c r="EC12" s="49"/>
      <c r="ED12" s="56"/>
      <c r="EE12" s="42"/>
      <c r="EF12" s="49"/>
      <c r="EG12" s="49"/>
      <c r="EH12" s="49"/>
      <c r="EI12" s="49"/>
      <c r="EJ12" s="49"/>
      <c r="EK12" s="49"/>
      <c r="EL12" s="49"/>
      <c r="EM12" s="58"/>
      <c r="EN12" s="39"/>
      <c r="EO12" s="40">
        <f t="shared" si="4"/>
        <v>46180</v>
      </c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</row>
    <row r="13" spans="2:202" x14ac:dyDescent="0.35">
      <c r="B13" s="41">
        <f t="shared" si="3"/>
        <v>46181</v>
      </c>
      <c r="C13" s="24"/>
      <c r="D13" s="25"/>
      <c r="E13" s="25"/>
      <c r="F13" s="25"/>
      <c r="G13" s="25"/>
      <c r="H13" s="25"/>
      <c r="I13" s="25"/>
      <c r="J13" s="25"/>
      <c r="K13" s="24"/>
      <c r="L13" s="25"/>
      <c r="M13" s="25"/>
      <c r="N13" s="25"/>
      <c r="O13" s="25"/>
      <c r="P13" s="25"/>
      <c r="Q13" s="25"/>
      <c r="R13" s="25"/>
      <c r="S13" s="24"/>
      <c r="T13" s="25"/>
      <c r="U13" s="25"/>
      <c r="V13" s="25"/>
      <c r="W13" s="25"/>
      <c r="X13" s="25"/>
      <c r="Y13" s="25"/>
      <c r="Z13" s="25"/>
      <c r="AA13" s="24"/>
      <c r="AB13" s="25"/>
      <c r="AC13" s="25"/>
      <c r="AD13" s="24"/>
      <c r="AE13" s="33"/>
      <c r="AF13" s="25"/>
      <c r="AG13" s="34"/>
      <c r="AH13" s="35"/>
      <c r="AI13" s="25"/>
      <c r="AJ13" s="25"/>
      <c r="AK13" s="34"/>
      <c r="AL13" s="24"/>
      <c r="AM13" s="33"/>
      <c r="AN13" s="25"/>
      <c r="AO13" s="34"/>
      <c r="AP13" s="35"/>
      <c r="AQ13" s="25"/>
      <c r="AR13" s="25"/>
      <c r="AS13" s="25"/>
      <c r="AT13" s="24"/>
      <c r="AU13" s="25"/>
      <c r="AV13" s="25"/>
      <c r="AW13" s="34"/>
      <c r="AX13" s="35"/>
      <c r="AY13" s="25"/>
      <c r="AZ13" s="25"/>
      <c r="BA13" s="34"/>
      <c r="BB13" s="24"/>
      <c r="BC13" s="48"/>
      <c r="BD13" s="49"/>
      <c r="BE13" s="49"/>
      <c r="BF13" s="49"/>
      <c r="BG13" s="49"/>
      <c r="BH13" s="49"/>
      <c r="BI13" s="49"/>
      <c r="BJ13" s="24"/>
      <c r="BK13" s="33"/>
      <c r="BL13" s="25"/>
      <c r="BM13" s="25"/>
      <c r="BN13" s="25"/>
      <c r="BO13" s="25"/>
      <c r="BP13" s="25"/>
      <c r="BQ13" s="25"/>
      <c r="BR13" s="42"/>
      <c r="BS13" s="33"/>
      <c r="BT13" s="25"/>
      <c r="BU13" s="34"/>
      <c r="BV13" s="35"/>
      <c r="BW13" s="25"/>
      <c r="BX13" s="25"/>
      <c r="BY13" s="25"/>
      <c r="BZ13" s="42"/>
      <c r="CA13" s="48"/>
      <c r="CB13" s="49"/>
      <c r="CC13" s="50"/>
      <c r="CD13" s="51"/>
      <c r="CE13" s="49"/>
      <c r="CF13" s="49"/>
      <c r="CG13" s="49"/>
      <c r="CH13" s="42"/>
      <c r="CI13" s="33"/>
      <c r="CJ13" s="25"/>
      <c r="CK13" s="34"/>
      <c r="CL13" s="35"/>
      <c r="CM13" s="25"/>
      <c r="CN13" s="25"/>
      <c r="CO13" s="34"/>
      <c r="CP13" s="24"/>
      <c r="CQ13" s="33"/>
      <c r="CR13" s="25"/>
      <c r="CS13" s="34"/>
      <c r="CT13" s="35"/>
      <c r="CU13" s="25"/>
      <c r="CV13" s="25"/>
      <c r="CW13" s="24"/>
      <c r="CX13" s="33"/>
      <c r="CY13" s="25"/>
      <c r="CZ13" s="34"/>
      <c r="DA13" s="35"/>
      <c r="DB13" s="25"/>
      <c r="DC13" s="34"/>
      <c r="DD13" s="42"/>
      <c r="DE13" s="49"/>
      <c r="DF13" s="49"/>
      <c r="DG13" s="49"/>
      <c r="DH13" s="49"/>
      <c r="DI13" s="49"/>
      <c r="DJ13" s="49"/>
      <c r="DK13" s="49"/>
      <c r="DL13" s="56"/>
      <c r="DM13" s="24"/>
      <c r="DN13" s="33"/>
      <c r="DO13" s="25"/>
      <c r="DP13" s="25"/>
      <c r="DQ13" s="25"/>
      <c r="DR13" s="25"/>
      <c r="DS13" s="25"/>
      <c r="DT13" s="25"/>
      <c r="DU13" s="57"/>
      <c r="DV13" s="49"/>
      <c r="DW13" s="49"/>
      <c r="DX13" s="49"/>
      <c r="DY13" s="49"/>
      <c r="DZ13" s="49"/>
      <c r="EA13" s="49"/>
      <c r="EB13" s="49"/>
      <c r="EC13" s="49"/>
      <c r="ED13" s="56"/>
      <c r="EE13" s="42"/>
      <c r="EF13" s="49"/>
      <c r="EG13" s="49"/>
      <c r="EH13" s="49"/>
      <c r="EI13" s="49"/>
      <c r="EJ13" s="49"/>
      <c r="EK13" s="49"/>
      <c r="EL13" s="49"/>
      <c r="EM13" s="58"/>
      <c r="EN13" s="39"/>
      <c r="EO13" s="40">
        <f t="shared" si="4"/>
        <v>46181</v>
      </c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</row>
    <row r="14" spans="2:202" x14ac:dyDescent="0.35">
      <c r="B14" s="41">
        <f t="shared" si="3"/>
        <v>46182</v>
      </c>
      <c r="C14" s="24"/>
      <c r="D14" s="25"/>
      <c r="E14" s="25"/>
      <c r="F14" s="25"/>
      <c r="G14" s="25"/>
      <c r="H14" s="25"/>
      <c r="I14" s="25"/>
      <c r="J14" s="25"/>
      <c r="K14" s="42"/>
      <c r="L14" s="25"/>
      <c r="M14" s="25"/>
      <c r="N14" s="25"/>
      <c r="O14" s="25"/>
      <c r="P14" s="25"/>
      <c r="Q14" s="25"/>
      <c r="R14" s="25"/>
      <c r="S14" s="24"/>
      <c r="T14" s="25"/>
      <c r="U14" s="25"/>
      <c r="V14" s="25"/>
      <c r="W14" s="25"/>
      <c r="X14" s="25"/>
      <c r="Y14" s="25"/>
      <c r="Z14" s="25"/>
      <c r="AA14" s="24"/>
      <c r="AB14" s="25"/>
      <c r="AC14" s="25"/>
      <c r="AD14" s="24"/>
      <c r="AE14" s="33"/>
      <c r="AF14" s="25"/>
      <c r="AG14" s="34"/>
      <c r="AH14" s="35"/>
      <c r="AI14" s="25"/>
      <c r="AJ14" s="25"/>
      <c r="AK14" s="34"/>
      <c r="AL14" s="24"/>
      <c r="AM14" s="33"/>
      <c r="AN14" s="25"/>
      <c r="AO14" s="34"/>
      <c r="AP14" s="35"/>
      <c r="AQ14" s="25"/>
      <c r="AR14" s="25"/>
      <c r="AS14" s="25"/>
      <c r="AT14" s="24"/>
      <c r="AU14" s="25"/>
      <c r="AV14" s="25"/>
      <c r="AW14" s="34"/>
      <c r="AX14" s="35"/>
      <c r="AY14" s="25"/>
      <c r="AZ14" s="25"/>
      <c r="BA14" s="34"/>
      <c r="BB14" s="24"/>
      <c r="BC14" s="48"/>
      <c r="BD14" s="49"/>
      <c r="BE14" s="49"/>
      <c r="BF14" s="49"/>
      <c r="BG14" s="49"/>
      <c r="BH14" s="49"/>
      <c r="BI14" s="49"/>
      <c r="BJ14" s="24"/>
      <c r="BK14" s="33"/>
      <c r="BL14" s="25"/>
      <c r="BM14" s="25"/>
      <c r="BN14" s="25"/>
      <c r="BO14" s="25"/>
      <c r="BP14" s="25"/>
      <c r="BQ14" s="25"/>
      <c r="BR14" s="42"/>
      <c r="BS14" s="33"/>
      <c r="BT14" s="25"/>
      <c r="BU14" s="34"/>
      <c r="BV14" s="35"/>
      <c r="BW14" s="25"/>
      <c r="BX14" s="25"/>
      <c r="BY14" s="25"/>
      <c r="BZ14" s="42"/>
      <c r="CA14" s="48"/>
      <c r="CB14" s="49"/>
      <c r="CC14" s="50"/>
      <c r="CD14" s="51"/>
      <c r="CE14" s="49"/>
      <c r="CF14" s="49"/>
      <c r="CG14" s="49"/>
      <c r="CH14" s="42"/>
      <c r="CI14" s="48"/>
      <c r="CJ14" s="49"/>
      <c r="CK14" s="50"/>
      <c r="CL14" s="51"/>
      <c r="CM14" s="49"/>
      <c r="CN14" s="49"/>
      <c r="CO14" s="50"/>
      <c r="CP14" s="42"/>
      <c r="CQ14" s="48"/>
      <c r="CR14" s="49"/>
      <c r="CS14" s="34"/>
      <c r="CT14" s="35"/>
      <c r="CU14" s="49"/>
      <c r="CV14" s="49"/>
      <c r="CW14" s="24"/>
      <c r="CX14" s="33"/>
      <c r="CY14" s="25"/>
      <c r="CZ14" s="34"/>
      <c r="DA14" s="35"/>
      <c r="DB14" s="25"/>
      <c r="DC14" s="34"/>
      <c r="DD14" s="42"/>
      <c r="DE14" s="49"/>
      <c r="DF14" s="49"/>
      <c r="DG14" s="49"/>
      <c r="DH14" s="49"/>
      <c r="DI14" s="49"/>
      <c r="DJ14" s="49"/>
      <c r="DK14" s="49"/>
      <c r="DL14" s="56"/>
      <c r="DM14" s="24"/>
      <c r="DN14" s="33"/>
      <c r="DO14" s="25"/>
      <c r="DP14" s="25"/>
      <c r="DQ14" s="25"/>
      <c r="DR14" s="25"/>
      <c r="DS14" s="25"/>
      <c r="DT14" s="25"/>
      <c r="DU14" s="57"/>
      <c r="DV14" s="49"/>
      <c r="DW14" s="49"/>
      <c r="DX14" s="49"/>
      <c r="DY14" s="49"/>
      <c r="DZ14" s="49"/>
      <c r="EA14" s="49"/>
      <c r="EB14" s="49"/>
      <c r="EC14" s="49"/>
      <c r="ED14" s="56"/>
      <c r="EE14" s="42"/>
      <c r="EF14" s="49"/>
      <c r="EG14" s="49"/>
      <c r="EH14" s="49"/>
      <c r="EI14" s="49"/>
      <c r="EJ14" s="49"/>
      <c r="EK14" s="49"/>
      <c r="EL14" s="49"/>
      <c r="EM14" s="58"/>
      <c r="EN14" s="39"/>
      <c r="EO14" s="40">
        <f t="shared" si="4"/>
        <v>46182</v>
      </c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</row>
    <row r="15" spans="2:202" x14ac:dyDescent="0.35">
      <c r="B15" s="41">
        <f t="shared" si="3"/>
        <v>46183</v>
      </c>
      <c r="C15" s="24"/>
      <c r="D15" s="49"/>
      <c r="E15" s="49"/>
      <c r="F15" s="49"/>
      <c r="G15" s="25"/>
      <c r="H15" s="25"/>
      <c r="I15" s="25"/>
      <c r="J15" s="25"/>
      <c r="K15" s="42"/>
      <c r="L15" s="25"/>
      <c r="M15" s="25"/>
      <c r="N15" s="25"/>
      <c r="O15" s="25"/>
      <c r="P15" s="25"/>
      <c r="Q15" s="25"/>
      <c r="R15" s="25"/>
      <c r="S15" s="24"/>
      <c r="T15" s="25"/>
      <c r="U15" s="25"/>
      <c r="V15" s="25"/>
      <c r="W15" s="25"/>
      <c r="X15" s="25"/>
      <c r="Y15" s="25"/>
      <c r="Z15" s="25"/>
      <c r="AA15" s="24"/>
      <c r="AB15" s="25"/>
      <c r="AC15" s="25"/>
      <c r="AD15" s="24"/>
      <c r="AE15" s="33"/>
      <c r="AF15" s="25"/>
      <c r="AG15" s="34"/>
      <c r="AH15" s="35"/>
      <c r="AI15" s="25"/>
      <c r="AJ15" s="25"/>
      <c r="AK15" s="34"/>
      <c r="AL15" s="24"/>
      <c r="AM15" s="33"/>
      <c r="AN15" s="25"/>
      <c r="AO15" s="34"/>
      <c r="AP15" s="35"/>
      <c r="AQ15" s="25"/>
      <c r="AR15" s="25"/>
      <c r="AS15" s="25"/>
      <c r="AT15" s="24"/>
      <c r="AU15" s="25"/>
      <c r="AV15" s="25"/>
      <c r="AW15" s="34"/>
      <c r="AX15" s="35"/>
      <c r="AY15" s="25"/>
      <c r="AZ15" s="25"/>
      <c r="BA15" s="34"/>
      <c r="BB15" s="24"/>
      <c r="BC15" s="48"/>
      <c r="BD15" s="49"/>
      <c r="BE15" s="49"/>
      <c r="BF15" s="49"/>
      <c r="BG15" s="49"/>
      <c r="BH15" s="49"/>
      <c r="BI15" s="49"/>
      <c r="BJ15" s="24"/>
      <c r="BK15" s="33"/>
      <c r="BL15" s="25"/>
      <c r="BM15" s="25"/>
      <c r="BN15" s="25"/>
      <c r="BO15" s="25"/>
      <c r="BP15" s="25"/>
      <c r="BQ15" s="25"/>
      <c r="BR15" s="42"/>
      <c r="BS15" s="33"/>
      <c r="BT15" s="25"/>
      <c r="BU15" s="34"/>
      <c r="BV15" s="35"/>
      <c r="BW15" s="25"/>
      <c r="BX15" s="25"/>
      <c r="BY15" s="25"/>
      <c r="BZ15" s="42"/>
      <c r="CA15" s="48"/>
      <c r="CB15" s="49"/>
      <c r="CC15" s="50"/>
      <c r="CD15" s="51"/>
      <c r="CE15" s="49"/>
      <c r="CF15" s="49"/>
      <c r="CG15" s="49"/>
      <c r="CH15" s="42"/>
      <c r="CI15" s="48"/>
      <c r="CJ15" s="49"/>
      <c r="CK15" s="50"/>
      <c r="CL15" s="51"/>
      <c r="CM15" s="49"/>
      <c r="CN15" s="49"/>
      <c r="CO15" s="50"/>
      <c r="CP15" s="42"/>
      <c r="CQ15" s="48"/>
      <c r="CR15" s="49"/>
      <c r="CS15" s="34"/>
      <c r="CT15" s="35"/>
      <c r="CU15" s="49"/>
      <c r="CV15" s="49"/>
      <c r="CW15" s="24"/>
      <c r="CX15" s="33"/>
      <c r="CY15" s="25"/>
      <c r="CZ15" s="34"/>
      <c r="DA15" s="35"/>
      <c r="DB15" s="25"/>
      <c r="DC15" s="34"/>
      <c r="DD15" s="42"/>
      <c r="DE15" s="49"/>
      <c r="DF15" s="49"/>
      <c r="DG15" s="49"/>
      <c r="DH15" s="49"/>
      <c r="DI15" s="49"/>
      <c r="DJ15" s="49"/>
      <c r="DK15" s="49"/>
      <c r="DL15" s="56"/>
      <c r="DM15" s="24"/>
      <c r="DN15" s="33"/>
      <c r="DO15" s="25"/>
      <c r="DP15" s="25"/>
      <c r="DQ15" s="25"/>
      <c r="DR15" s="25"/>
      <c r="DS15" s="25"/>
      <c r="DT15" s="25"/>
      <c r="DU15" s="57"/>
      <c r="DV15" s="49"/>
      <c r="DW15" s="49"/>
      <c r="DX15" s="49"/>
      <c r="DY15" s="49"/>
      <c r="DZ15" s="49"/>
      <c r="EA15" s="49"/>
      <c r="EB15" s="49"/>
      <c r="EC15" s="49"/>
      <c r="ED15" s="56"/>
      <c r="EE15" s="42"/>
      <c r="EF15" s="49"/>
      <c r="EG15" s="49"/>
      <c r="EH15" s="49"/>
      <c r="EI15" s="49"/>
      <c r="EJ15" s="49"/>
      <c r="EK15" s="49"/>
      <c r="EL15" s="49"/>
      <c r="EM15" s="58"/>
      <c r="EN15" s="39"/>
      <c r="EO15" s="40">
        <f t="shared" si="4"/>
        <v>46183</v>
      </c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</row>
    <row r="16" spans="2:202" x14ac:dyDescent="0.35">
      <c r="B16" s="41">
        <f t="shared" si="3"/>
        <v>46184</v>
      </c>
      <c r="C16" s="24"/>
      <c r="D16" s="49"/>
      <c r="E16" s="49"/>
      <c r="F16" s="49"/>
      <c r="G16" s="25"/>
      <c r="H16" s="25"/>
      <c r="I16" s="25"/>
      <c r="J16" s="25"/>
      <c r="K16" s="42"/>
      <c r="L16" s="25"/>
      <c r="M16" s="25"/>
      <c r="N16" s="25"/>
      <c r="O16" s="25"/>
      <c r="P16" s="25"/>
      <c r="Q16" s="25"/>
      <c r="R16" s="25"/>
      <c r="S16" s="24"/>
      <c r="T16" s="25"/>
      <c r="U16" s="25"/>
      <c r="V16" s="25"/>
      <c r="W16" s="25"/>
      <c r="X16" s="25"/>
      <c r="Y16" s="25"/>
      <c r="Z16" s="25"/>
      <c r="AA16" s="24"/>
      <c r="AB16" s="25"/>
      <c r="AC16" s="25"/>
      <c r="AD16" s="24"/>
      <c r="AE16" s="33"/>
      <c r="AF16" s="25"/>
      <c r="AG16" s="34"/>
      <c r="AH16" s="35"/>
      <c r="AI16" s="25"/>
      <c r="AJ16" s="25"/>
      <c r="AK16" s="34"/>
      <c r="AL16" s="24"/>
      <c r="AM16" s="33"/>
      <c r="AN16" s="25"/>
      <c r="AO16" s="34"/>
      <c r="AP16" s="35"/>
      <c r="AQ16" s="25"/>
      <c r="AR16" s="25"/>
      <c r="AS16" s="25"/>
      <c r="AT16" s="24"/>
      <c r="AU16" s="25"/>
      <c r="AV16" s="25"/>
      <c r="AW16" s="34"/>
      <c r="AX16" s="35"/>
      <c r="AY16" s="25"/>
      <c r="AZ16" s="25"/>
      <c r="BA16" s="34"/>
      <c r="BB16" s="24"/>
      <c r="BC16" s="48"/>
      <c r="BD16" s="49"/>
      <c r="BE16" s="49"/>
      <c r="BF16" s="49"/>
      <c r="BG16" s="49"/>
      <c r="BH16" s="49"/>
      <c r="BI16" s="49"/>
      <c r="BJ16" s="24"/>
      <c r="BK16" s="33"/>
      <c r="BL16" s="25"/>
      <c r="BM16" s="25"/>
      <c r="BN16" s="25"/>
      <c r="BO16" s="25"/>
      <c r="BP16" s="25"/>
      <c r="BQ16" s="25"/>
      <c r="BR16" s="42"/>
      <c r="BS16" s="33"/>
      <c r="BT16" s="25"/>
      <c r="BU16" s="34"/>
      <c r="BV16" s="35"/>
      <c r="BW16" s="25"/>
      <c r="BX16" s="25"/>
      <c r="BY16" s="25"/>
      <c r="BZ16" s="42"/>
      <c r="CA16" s="48"/>
      <c r="CB16" s="49"/>
      <c r="CC16" s="50"/>
      <c r="CD16" s="51"/>
      <c r="CE16" s="49"/>
      <c r="CF16" s="49"/>
      <c r="CG16" s="49"/>
      <c r="CH16" s="42"/>
      <c r="CI16" s="48"/>
      <c r="CJ16" s="49"/>
      <c r="CK16" s="50"/>
      <c r="CL16" s="51"/>
      <c r="CM16" s="49"/>
      <c r="CN16" s="49"/>
      <c r="CO16" s="50"/>
      <c r="CP16" s="42"/>
      <c r="CQ16" s="48"/>
      <c r="CR16" s="49"/>
      <c r="CS16" s="34"/>
      <c r="CT16" s="35"/>
      <c r="CU16" s="49"/>
      <c r="CV16" s="49"/>
      <c r="CW16" s="24"/>
      <c r="CX16" s="33"/>
      <c r="CY16" s="25"/>
      <c r="CZ16" s="34"/>
      <c r="DA16" s="35"/>
      <c r="DB16" s="25"/>
      <c r="DC16" s="34"/>
      <c r="DD16" s="42"/>
      <c r="DE16" s="49"/>
      <c r="DF16" s="49"/>
      <c r="DG16" s="49"/>
      <c r="DH16" s="49"/>
      <c r="DI16" s="49"/>
      <c r="DJ16" s="49"/>
      <c r="DK16" s="49"/>
      <c r="DL16" s="56"/>
      <c r="DM16" s="24"/>
      <c r="DN16" s="33"/>
      <c r="DO16" s="25"/>
      <c r="DP16" s="25"/>
      <c r="DQ16" s="25"/>
      <c r="DR16" s="25"/>
      <c r="DS16" s="25"/>
      <c r="DT16" s="25"/>
      <c r="DU16" s="57"/>
      <c r="DV16" s="49"/>
      <c r="DW16" s="49"/>
      <c r="DX16" s="49"/>
      <c r="DY16" s="49"/>
      <c r="DZ16" s="49"/>
      <c r="EA16" s="49"/>
      <c r="EB16" s="49"/>
      <c r="EC16" s="49"/>
      <c r="ED16" s="56"/>
      <c r="EE16" s="42"/>
      <c r="EF16" s="49"/>
      <c r="EG16" s="49"/>
      <c r="EH16" s="49"/>
      <c r="EI16" s="49"/>
      <c r="EJ16" s="49"/>
      <c r="EK16" s="49"/>
      <c r="EL16" s="49"/>
      <c r="EM16" s="58"/>
      <c r="EN16" s="39"/>
      <c r="EO16" s="40">
        <f t="shared" si="4"/>
        <v>46184</v>
      </c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</row>
    <row r="17" spans="2:201" x14ac:dyDescent="0.35">
      <c r="B17" s="41">
        <f t="shared" si="3"/>
        <v>46185</v>
      </c>
      <c r="C17" s="24"/>
      <c r="D17" s="49"/>
      <c r="E17" s="49"/>
      <c r="F17" s="49"/>
      <c r="G17" s="25"/>
      <c r="H17" s="25"/>
      <c r="I17" s="25"/>
      <c r="J17" s="25"/>
      <c r="K17" s="42"/>
      <c r="L17" s="25"/>
      <c r="M17" s="25"/>
      <c r="N17" s="25"/>
      <c r="O17" s="25"/>
      <c r="P17" s="25"/>
      <c r="Q17" s="25"/>
      <c r="R17" s="25"/>
      <c r="S17" s="24"/>
      <c r="T17" s="25"/>
      <c r="U17" s="25"/>
      <c r="V17" s="25"/>
      <c r="W17" s="25"/>
      <c r="X17" s="25"/>
      <c r="Y17" s="25"/>
      <c r="Z17" s="25"/>
      <c r="AA17" s="24"/>
      <c r="AB17" s="25"/>
      <c r="AC17" s="25"/>
      <c r="AD17" s="24"/>
      <c r="AE17" s="33"/>
      <c r="AF17" s="25"/>
      <c r="AG17" s="34"/>
      <c r="AH17" s="35"/>
      <c r="AI17" s="25"/>
      <c r="AJ17" s="25"/>
      <c r="AK17" s="34"/>
      <c r="AL17" s="24"/>
      <c r="AM17" s="33"/>
      <c r="AN17" s="25"/>
      <c r="AO17" s="34"/>
      <c r="AP17" s="35"/>
      <c r="AQ17" s="25"/>
      <c r="AR17" s="25"/>
      <c r="AS17" s="25"/>
      <c r="AT17" s="24"/>
      <c r="AU17" s="25"/>
      <c r="AV17" s="25"/>
      <c r="AW17" s="34"/>
      <c r="AX17" s="35"/>
      <c r="AY17" s="25"/>
      <c r="AZ17" s="25"/>
      <c r="BA17" s="34"/>
      <c r="BB17" s="24"/>
      <c r="BC17" s="48"/>
      <c r="BD17" s="49"/>
      <c r="BE17" s="49"/>
      <c r="BF17" s="49"/>
      <c r="BG17" s="49"/>
      <c r="BH17" s="49"/>
      <c r="BI17" s="49"/>
      <c r="BJ17" s="24"/>
      <c r="BK17" s="33"/>
      <c r="BL17" s="25"/>
      <c r="BM17" s="25"/>
      <c r="BN17" s="25"/>
      <c r="BO17" s="25"/>
      <c r="BP17" s="25"/>
      <c r="BQ17" s="25"/>
      <c r="BR17" s="42"/>
      <c r="BS17" s="33"/>
      <c r="BT17" s="25"/>
      <c r="BU17" s="34"/>
      <c r="BV17" s="35"/>
      <c r="BW17" s="25"/>
      <c r="BX17" s="25"/>
      <c r="BY17" s="25"/>
      <c r="BZ17" s="42"/>
      <c r="CA17" s="48"/>
      <c r="CB17" s="49"/>
      <c r="CC17" s="50"/>
      <c r="CD17" s="51"/>
      <c r="CE17" s="49"/>
      <c r="CF17" s="49"/>
      <c r="CG17" s="49"/>
      <c r="CH17" s="42"/>
      <c r="CI17" s="48"/>
      <c r="CJ17" s="49"/>
      <c r="CK17" s="50"/>
      <c r="CL17" s="51"/>
      <c r="CM17" s="49"/>
      <c r="CN17" s="49"/>
      <c r="CO17" s="50"/>
      <c r="CP17" s="42"/>
      <c r="CQ17" s="48"/>
      <c r="CR17" s="49"/>
      <c r="CS17" s="34"/>
      <c r="CT17" s="35"/>
      <c r="CU17" s="49"/>
      <c r="CV17" s="49"/>
      <c r="CW17" s="24"/>
      <c r="CX17" s="33"/>
      <c r="CY17" s="25"/>
      <c r="CZ17" s="34"/>
      <c r="DA17" s="35"/>
      <c r="DB17" s="25"/>
      <c r="DC17" s="34"/>
      <c r="DD17" s="42"/>
      <c r="DE17" s="49"/>
      <c r="DF17" s="49"/>
      <c r="DG17" s="49"/>
      <c r="DH17" s="49"/>
      <c r="DI17" s="49"/>
      <c r="DJ17" s="49"/>
      <c r="DK17" s="49"/>
      <c r="DL17" s="56"/>
      <c r="DM17" s="24"/>
      <c r="DN17" s="33"/>
      <c r="DO17" s="25"/>
      <c r="DP17" s="25"/>
      <c r="DQ17" s="25"/>
      <c r="DR17" s="25"/>
      <c r="DS17" s="25"/>
      <c r="DT17" s="25"/>
      <c r="DU17" s="57"/>
      <c r="DV17" s="49"/>
      <c r="DW17" s="49"/>
      <c r="DX17" s="49"/>
      <c r="DY17" s="49"/>
      <c r="DZ17" s="49"/>
      <c r="EA17" s="49"/>
      <c r="EB17" s="49"/>
      <c r="EC17" s="49"/>
      <c r="ED17" s="56"/>
      <c r="EE17" s="42"/>
      <c r="EF17" s="49"/>
      <c r="EG17" s="49"/>
      <c r="EH17" s="49"/>
      <c r="EI17" s="49"/>
      <c r="EJ17" s="49"/>
      <c r="EK17" s="49"/>
      <c r="EL17" s="49"/>
      <c r="EM17" s="58"/>
      <c r="EN17" s="39"/>
      <c r="EO17" s="40">
        <f t="shared" si="4"/>
        <v>46185</v>
      </c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</row>
    <row r="18" spans="2:201" x14ac:dyDescent="0.35">
      <c r="B18" s="41">
        <f t="shared" si="3"/>
        <v>46186</v>
      </c>
      <c r="C18" s="24"/>
      <c r="D18" s="49"/>
      <c r="E18" s="49"/>
      <c r="F18" s="49"/>
      <c r="G18" s="25"/>
      <c r="H18" s="25"/>
      <c r="I18" s="25"/>
      <c r="J18" s="25"/>
      <c r="K18" s="42"/>
      <c r="L18" s="25"/>
      <c r="M18" s="25"/>
      <c r="N18" s="25"/>
      <c r="O18" s="25"/>
      <c r="P18" s="25"/>
      <c r="Q18" s="25"/>
      <c r="R18" s="25"/>
      <c r="S18" s="24"/>
      <c r="T18" s="25"/>
      <c r="U18" s="25"/>
      <c r="V18" s="25"/>
      <c r="W18" s="25"/>
      <c r="X18" s="25"/>
      <c r="Y18" s="25"/>
      <c r="Z18" s="25"/>
      <c r="AA18" s="24"/>
      <c r="AB18" s="25"/>
      <c r="AC18" s="25"/>
      <c r="AD18" s="24"/>
      <c r="AE18" s="33"/>
      <c r="AF18" s="25"/>
      <c r="AG18" s="34"/>
      <c r="AH18" s="35"/>
      <c r="AI18" s="25"/>
      <c r="AJ18" s="25"/>
      <c r="AK18" s="34"/>
      <c r="AL18" s="24"/>
      <c r="AM18" s="33"/>
      <c r="AN18" s="25"/>
      <c r="AO18" s="34"/>
      <c r="AP18" s="35"/>
      <c r="AQ18" s="25"/>
      <c r="AR18" s="25"/>
      <c r="AS18" s="25"/>
      <c r="AT18" s="24"/>
      <c r="AU18" s="25"/>
      <c r="AV18" s="25"/>
      <c r="AW18" s="34"/>
      <c r="AX18" s="35"/>
      <c r="AY18" s="25"/>
      <c r="AZ18" s="25"/>
      <c r="BA18" s="34"/>
      <c r="BB18" s="24"/>
      <c r="BC18" s="48"/>
      <c r="BD18" s="49"/>
      <c r="BE18" s="49"/>
      <c r="BF18" s="49"/>
      <c r="BG18" s="49"/>
      <c r="BH18" s="49"/>
      <c r="BI18" s="49"/>
      <c r="BJ18" s="24"/>
      <c r="BK18" s="33"/>
      <c r="BL18" s="25"/>
      <c r="BM18" s="25"/>
      <c r="BN18" s="25"/>
      <c r="BO18" s="25"/>
      <c r="BP18" s="25"/>
      <c r="BQ18" s="25"/>
      <c r="BR18" s="42"/>
      <c r="BS18" s="33"/>
      <c r="BT18" s="25"/>
      <c r="BU18" s="34"/>
      <c r="BV18" s="35"/>
      <c r="BW18" s="25"/>
      <c r="BX18" s="25"/>
      <c r="BY18" s="25"/>
      <c r="BZ18" s="42"/>
      <c r="CA18" s="48"/>
      <c r="CB18" s="49"/>
      <c r="CC18" s="50"/>
      <c r="CD18" s="51"/>
      <c r="CE18" s="49"/>
      <c r="CF18" s="49"/>
      <c r="CG18" s="49"/>
      <c r="CH18" s="42"/>
      <c r="CI18" s="48"/>
      <c r="CJ18" s="49"/>
      <c r="CK18" s="50"/>
      <c r="CL18" s="51"/>
      <c r="CM18" s="49"/>
      <c r="CN18" s="49"/>
      <c r="CO18" s="50"/>
      <c r="CP18" s="42"/>
      <c r="CQ18" s="48"/>
      <c r="CR18" s="49"/>
      <c r="CS18" s="34"/>
      <c r="CT18" s="35"/>
      <c r="CU18" s="49"/>
      <c r="CV18" s="49"/>
      <c r="CW18" s="24"/>
      <c r="CX18" s="33"/>
      <c r="CY18" s="25"/>
      <c r="CZ18" s="34"/>
      <c r="DA18" s="35"/>
      <c r="DB18" s="25"/>
      <c r="DC18" s="34"/>
      <c r="DD18" s="42"/>
      <c r="DE18" s="49"/>
      <c r="DF18" s="49"/>
      <c r="DG18" s="49"/>
      <c r="DH18" s="49"/>
      <c r="DI18" s="49"/>
      <c r="DJ18" s="49"/>
      <c r="DK18" s="49"/>
      <c r="DL18" s="56"/>
      <c r="DM18" s="24"/>
      <c r="DN18" s="33"/>
      <c r="DO18" s="25"/>
      <c r="DP18" s="25"/>
      <c r="DQ18" s="25"/>
      <c r="DR18" s="25"/>
      <c r="DS18" s="25"/>
      <c r="DT18" s="25"/>
      <c r="DU18" s="57"/>
      <c r="DV18" s="49"/>
      <c r="DW18" s="49"/>
      <c r="DX18" s="49"/>
      <c r="DY18" s="49"/>
      <c r="DZ18" s="49"/>
      <c r="EA18" s="49"/>
      <c r="EB18" s="49"/>
      <c r="EC18" s="49"/>
      <c r="ED18" s="56"/>
      <c r="EE18" s="42"/>
      <c r="EF18" s="49"/>
      <c r="EG18" s="49"/>
      <c r="EH18" s="49"/>
      <c r="EI18" s="49"/>
      <c r="EJ18" s="49"/>
      <c r="EK18" s="49"/>
      <c r="EL18" s="49"/>
      <c r="EM18" s="58"/>
      <c r="EN18" s="39"/>
      <c r="EO18" s="40">
        <f t="shared" si="4"/>
        <v>46186</v>
      </c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</row>
    <row r="19" spans="2:201" x14ac:dyDescent="0.35">
      <c r="B19" s="41">
        <f t="shared" si="3"/>
        <v>46187</v>
      </c>
      <c r="C19" s="24"/>
      <c r="D19" s="49"/>
      <c r="E19" s="49"/>
      <c r="F19" s="49"/>
      <c r="G19" s="25"/>
      <c r="H19" s="25"/>
      <c r="I19" s="25"/>
      <c r="J19" s="25"/>
      <c r="K19" s="42"/>
      <c r="L19" s="25"/>
      <c r="M19" s="25"/>
      <c r="N19" s="25"/>
      <c r="O19" s="25"/>
      <c r="P19" s="25"/>
      <c r="Q19" s="25"/>
      <c r="R19" s="25"/>
      <c r="S19" s="24"/>
      <c r="T19" s="25"/>
      <c r="U19" s="25"/>
      <c r="V19" s="25"/>
      <c r="W19" s="25"/>
      <c r="X19" s="25"/>
      <c r="Y19" s="25"/>
      <c r="Z19" s="25"/>
      <c r="AA19" s="24"/>
      <c r="AB19" s="25"/>
      <c r="AC19" s="25"/>
      <c r="AD19" s="24"/>
      <c r="AE19" s="33"/>
      <c r="AF19" s="25"/>
      <c r="AG19" s="34"/>
      <c r="AH19" s="35"/>
      <c r="AI19" s="25"/>
      <c r="AJ19" s="25"/>
      <c r="AK19" s="34"/>
      <c r="AL19" s="24"/>
      <c r="AM19" s="33"/>
      <c r="AN19" s="25"/>
      <c r="AO19" s="34"/>
      <c r="AP19" s="35"/>
      <c r="AQ19" s="25"/>
      <c r="AR19" s="25"/>
      <c r="AS19" s="25"/>
      <c r="AT19" s="24"/>
      <c r="AU19" s="25"/>
      <c r="AV19" s="25"/>
      <c r="AW19" s="34"/>
      <c r="AX19" s="35"/>
      <c r="AY19" s="25"/>
      <c r="AZ19" s="25"/>
      <c r="BA19" s="34"/>
      <c r="BB19" s="24"/>
      <c r="BC19" s="48"/>
      <c r="BD19" s="49"/>
      <c r="BE19" s="49"/>
      <c r="BF19" s="49"/>
      <c r="BG19" s="49"/>
      <c r="BH19" s="49"/>
      <c r="BI19" s="49"/>
      <c r="BJ19" s="24"/>
      <c r="BK19" s="33"/>
      <c r="BL19" s="25"/>
      <c r="BM19" s="25"/>
      <c r="BN19" s="25"/>
      <c r="BO19" s="25"/>
      <c r="BP19" s="25"/>
      <c r="BQ19" s="25"/>
      <c r="BR19" s="42"/>
      <c r="BS19" s="33"/>
      <c r="BT19" s="25"/>
      <c r="BU19" s="34"/>
      <c r="BV19" s="35"/>
      <c r="BW19" s="25"/>
      <c r="BX19" s="25"/>
      <c r="BY19" s="25"/>
      <c r="BZ19" s="42"/>
      <c r="CA19" s="48"/>
      <c r="CB19" s="49"/>
      <c r="CC19" s="50"/>
      <c r="CD19" s="51"/>
      <c r="CE19" s="49"/>
      <c r="CF19" s="49"/>
      <c r="CG19" s="49"/>
      <c r="CH19" s="42"/>
      <c r="CI19" s="48"/>
      <c r="CJ19" s="49"/>
      <c r="CK19" s="50"/>
      <c r="CL19" s="51"/>
      <c r="CM19" s="49"/>
      <c r="CN19" s="49"/>
      <c r="CO19" s="50"/>
      <c r="CP19" s="42"/>
      <c r="CQ19" s="48"/>
      <c r="CR19" s="49"/>
      <c r="CS19" s="34"/>
      <c r="CT19" s="35"/>
      <c r="CU19" s="49"/>
      <c r="CV19" s="49"/>
      <c r="CW19" s="24"/>
      <c r="CX19" s="33"/>
      <c r="CY19" s="25"/>
      <c r="CZ19" s="34"/>
      <c r="DA19" s="35"/>
      <c r="DB19" s="25"/>
      <c r="DC19" s="34"/>
      <c r="DD19" s="42"/>
      <c r="DE19" s="49"/>
      <c r="DF19" s="49"/>
      <c r="DG19" s="49"/>
      <c r="DH19" s="49"/>
      <c r="DI19" s="49"/>
      <c r="DJ19" s="49"/>
      <c r="DK19" s="49"/>
      <c r="DL19" s="56"/>
      <c r="DM19" s="24"/>
      <c r="DN19" s="33"/>
      <c r="DO19" s="25"/>
      <c r="DP19" s="25"/>
      <c r="DQ19" s="25"/>
      <c r="DR19" s="25"/>
      <c r="DS19" s="25"/>
      <c r="DT19" s="25"/>
      <c r="DU19" s="57"/>
      <c r="DV19" s="49"/>
      <c r="DW19" s="49"/>
      <c r="DX19" s="49"/>
      <c r="DY19" s="49"/>
      <c r="DZ19" s="49"/>
      <c r="EA19" s="49"/>
      <c r="EB19" s="49"/>
      <c r="EC19" s="49"/>
      <c r="ED19" s="56"/>
      <c r="EE19" s="42"/>
      <c r="EF19" s="49"/>
      <c r="EG19" s="49"/>
      <c r="EH19" s="49"/>
      <c r="EI19" s="49"/>
      <c r="EJ19" s="49"/>
      <c r="EK19" s="49"/>
      <c r="EL19" s="49"/>
      <c r="EM19" s="58"/>
      <c r="EN19" s="39"/>
      <c r="EO19" s="40">
        <f t="shared" si="4"/>
        <v>46187</v>
      </c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</row>
    <row r="20" spans="2:201" x14ac:dyDescent="0.35">
      <c r="B20" s="41">
        <f t="shared" si="3"/>
        <v>46188</v>
      </c>
      <c r="C20" s="24"/>
      <c r="D20" s="49"/>
      <c r="E20" s="49"/>
      <c r="F20" s="49"/>
      <c r="G20" s="25"/>
      <c r="H20" s="25"/>
      <c r="I20" s="25"/>
      <c r="J20" s="25"/>
      <c r="K20" s="42"/>
      <c r="L20" s="25"/>
      <c r="M20" s="25"/>
      <c r="N20" s="25"/>
      <c r="O20" s="25"/>
      <c r="P20" s="25"/>
      <c r="Q20" s="25"/>
      <c r="R20" s="25"/>
      <c r="S20" s="24"/>
      <c r="T20" s="25"/>
      <c r="U20" s="25"/>
      <c r="V20" s="25"/>
      <c r="W20" s="25"/>
      <c r="X20" s="25"/>
      <c r="Y20" s="25"/>
      <c r="Z20" s="25"/>
      <c r="AA20" s="24"/>
      <c r="AB20" s="25"/>
      <c r="AC20" s="25"/>
      <c r="AD20" s="24"/>
      <c r="AE20" s="33"/>
      <c r="AF20" s="25"/>
      <c r="AG20" s="34"/>
      <c r="AH20" s="35"/>
      <c r="AI20" s="25"/>
      <c r="AJ20" s="25"/>
      <c r="AK20" s="34"/>
      <c r="AL20" s="24"/>
      <c r="AM20" s="33"/>
      <c r="AN20" s="25"/>
      <c r="AO20" s="34"/>
      <c r="AP20" s="35"/>
      <c r="AQ20" s="25"/>
      <c r="AR20" s="25"/>
      <c r="AS20" s="25"/>
      <c r="AT20" s="24"/>
      <c r="AU20" s="25"/>
      <c r="AV20" s="25"/>
      <c r="AW20" s="34"/>
      <c r="AX20" s="35"/>
      <c r="AY20" s="25"/>
      <c r="AZ20" s="25"/>
      <c r="BA20" s="34"/>
      <c r="BB20" s="24"/>
      <c r="BC20" s="48"/>
      <c r="BD20" s="49"/>
      <c r="BE20" s="49"/>
      <c r="BF20" s="49"/>
      <c r="BG20" s="49"/>
      <c r="BH20" s="49"/>
      <c r="BI20" s="49"/>
      <c r="BJ20" s="24"/>
      <c r="BK20" s="33"/>
      <c r="BL20" s="25"/>
      <c r="BM20" s="25"/>
      <c r="BN20" s="25"/>
      <c r="BO20" s="25"/>
      <c r="BP20" s="25"/>
      <c r="BQ20" s="25"/>
      <c r="BR20" s="42"/>
      <c r="BS20" s="33"/>
      <c r="BT20" s="25"/>
      <c r="BU20" s="34"/>
      <c r="BV20" s="35"/>
      <c r="BW20" s="25"/>
      <c r="BX20" s="25"/>
      <c r="BY20" s="25"/>
      <c r="BZ20" s="42"/>
      <c r="CA20" s="48"/>
      <c r="CB20" s="49"/>
      <c r="CC20" s="50"/>
      <c r="CD20" s="51"/>
      <c r="CE20" s="49"/>
      <c r="CF20" s="49"/>
      <c r="CG20" s="49"/>
      <c r="CH20" s="42"/>
      <c r="CI20" s="48"/>
      <c r="CJ20" s="49"/>
      <c r="CK20" s="50"/>
      <c r="CL20" s="51"/>
      <c r="CM20" s="49"/>
      <c r="CN20" s="49"/>
      <c r="CO20" s="50"/>
      <c r="CP20" s="42"/>
      <c r="CQ20" s="48"/>
      <c r="CR20" s="49"/>
      <c r="CS20" s="34"/>
      <c r="CT20" s="35"/>
      <c r="CU20" s="49"/>
      <c r="CV20" s="49"/>
      <c r="CW20" s="42"/>
      <c r="CX20" s="33"/>
      <c r="CY20" s="25"/>
      <c r="CZ20" s="34"/>
      <c r="DA20" s="35"/>
      <c r="DB20" s="25"/>
      <c r="DC20" s="34"/>
      <c r="DD20" s="42"/>
      <c r="DE20" s="49"/>
      <c r="DF20" s="49"/>
      <c r="DG20" s="49"/>
      <c r="DH20" s="49"/>
      <c r="DI20" s="49"/>
      <c r="DJ20" s="49"/>
      <c r="DK20" s="49"/>
      <c r="DL20" s="56"/>
      <c r="DM20" s="24"/>
      <c r="DN20" s="33"/>
      <c r="DO20" s="25"/>
      <c r="DP20" s="25"/>
      <c r="DQ20" s="25"/>
      <c r="DR20" s="25"/>
      <c r="DS20" s="25"/>
      <c r="DT20" s="25"/>
      <c r="DU20" s="57"/>
      <c r="DV20" s="49"/>
      <c r="DW20" s="49"/>
      <c r="DX20" s="49"/>
      <c r="DY20" s="49"/>
      <c r="DZ20" s="49"/>
      <c r="EA20" s="49"/>
      <c r="EB20" s="49"/>
      <c r="EC20" s="49"/>
      <c r="ED20" s="56"/>
      <c r="EE20" s="42"/>
      <c r="EF20" s="49"/>
      <c r="EG20" s="49"/>
      <c r="EH20" s="49"/>
      <c r="EI20" s="49"/>
      <c r="EJ20" s="49"/>
      <c r="EK20" s="49"/>
      <c r="EL20" s="49"/>
      <c r="EM20" s="58"/>
      <c r="EN20" s="39"/>
      <c r="EO20" s="40">
        <f t="shared" si="4"/>
        <v>46188</v>
      </c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</row>
    <row r="21" spans="2:201" x14ac:dyDescent="0.35">
      <c r="B21" s="41">
        <f t="shared" si="3"/>
        <v>46189</v>
      </c>
      <c r="C21" s="24"/>
      <c r="D21" s="49"/>
      <c r="E21" s="49"/>
      <c r="F21" s="49"/>
      <c r="G21" s="25"/>
      <c r="H21" s="25"/>
      <c r="I21" s="25"/>
      <c r="J21" s="25"/>
      <c r="K21" s="42"/>
      <c r="L21" s="25"/>
      <c r="M21" s="25"/>
      <c r="N21" s="25"/>
      <c r="O21" s="25"/>
      <c r="P21" s="25"/>
      <c r="Q21" s="25"/>
      <c r="R21" s="25"/>
      <c r="S21" s="26"/>
      <c r="T21" s="25"/>
      <c r="U21" s="25"/>
      <c r="V21" s="25"/>
      <c r="W21" s="25"/>
      <c r="X21" s="25"/>
      <c r="Y21" s="25"/>
      <c r="Z21" s="25"/>
      <c r="AA21" s="24"/>
      <c r="AB21" s="25"/>
      <c r="AC21" s="25"/>
      <c r="AD21" s="24"/>
      <c r="AE21" s="33"/>
      <c r="AF21" s="25"/>
      <c r="AG21" s="34"/>
      <c r="AH21" s="35"/>
      <c r="AI21" s="25"/>
      <c r="AJ21" s="25"/>
      <c r="AK21" s="34"/>
      <c r="AL21" s="24"/>
      <c r="AM21" s="33"/>
      <c r="AN21" s="25"/>
      <c r="AO21" s="34"/>
      <c r="AP21" s="35"/>
      <c r="AQ21" s="25"/>
      <c r="AR21" s="25"/>
      <c r="AS21" s="25"/>
      <c r="AT21" s="24"/>
      <c r="AU21" s="25"/>
      <c r="AV21" s="25"/>
      <c r="AW21" s="34"/>
      <c r="AX21" s="35"/>
      <c r="AY21" s="25"/>
      <c r="AZ21" s="25"/>
      <c r="BA21" s="34"/>
      <c r="BB21" s="24"/>
      <c r="BC21" s="48"/>
      <c r="BD21" s="49"/>
      <c r="BE21" s="49"/>
      <c r="BF21" s="49"/>
      <c r="BG21" s="49"/>
      <c r="BH21" s="49"/>
      <c r="BI21" s="49"/>
      <c r="BJ21" s="24"/>
      <c r="BK21" s="33"/>
      <c r="BL21" s="25"/>
      <c r="BM21" s="25"/>
      <c r="BN21" s="25"/>
      <c r="BO21" s="25"/>
      <c r="BP21" s="25"/>
      <c r="BQ21" s="25"/>
      <c r="BR21" s="42"/>
      <c r="BS21" s="33"/>
      <c r="BT21" s="25"/>
      <c r="BU21" s="34"/>
      <c r="BV21" s="35"/>
      <c r="BW21" s="25"/>
      <c r="BX21" s="25"/>
      <c r="BY21" s="25"/>
      <c r="BZ21" s="42"/>
      <c r="CA21" s="48"/>
      <c r="CB21" s="49"/>
      <c r="CC21" s="50"/>
      <c r="CD21" s="51"/>
      <c r="CE21" s="49"/>
      <c r="CF21" s="49"/>
      <c r="CG21" s="49"/>
      <c r="CH21" s="42"/>
      <c r="CI21" s="48"/>
      <c r="CJ21" s="49"/>
      <c r="CK21" s="50"/>
      <c r="CL21" s="51"/>
      <c r="CM21" s="49"/>
      <c r="CN21" s="49"/>
      <c r="CO21" s="50"/>
      <c r="CP21" s="42"/>
      <c r="CQ21" s="48"/>
      <c r="CR21" s="49"/>
      <c r="CS21" s="34"/>
      <c r="CT21" s="35"/>
      <c r="CU21" s="49"/>
      <c r="CV21" s="49"/>
      <c r="CW21" s="42"/>
      <c r="CX21" s="33"/>
      <c r="CY21" s="25"/>
      <c r="CZ21" s="34"/>
      <c r="DA21" s="35"/>
      <c r="DB21" s="25"/>
      <c r="DC21" s="34"/>
      <c r="DD21" s="42"/>
      <c r="DE21" s="49"/>
      <c r="DF21" s="49"/>
      <c r="DG21" s="49"/>
      <c r="DH21" s="49"/>
      <c r="DI21" s="49"/>
      <c r="DJ21" s="49"/>
      <c r="DK21" s="49"/>
      <c r="DL21" s="56"/>
      <c r="DM21" s="24"/>
      <c r="DN21" s="33"/>
      <c r="DO21" s="25"/>
      <c r="DP21" s="25"/>
      <c r="DQ21" s="25"/>
      <c r="DR21" s="25"/>
      <c r="DS21" s="25"/>
      <c r="DT21" s="25"/>
      <c r="DU21" s="57"/>
      <c r="DV21" s="49"/>
      <c r="DW21" s="49"/>
      <c r="DX21" s="49"/>
      <c r="DY21" s="49"/>
      <c r="DZ21" s="49"/>
      <c r="EA21" s="49"/>
      <c r="EB21" s="49"/>
      <c r="EC21" s="49"/>
      <c r="ED21" s="56"/>
      <c r="EE21" s="42"/>
      <c r="EF21" s="49"/>
      <c r="EG21" s="49"/>
      <c r="EH21" s="49"/>
      <c r="EI21" s="49"/>
      <c r="EJ21" s="49"/>
      <c r="EK21" s="49"/>
      <c r="EL21" s="49"/>
      <c r="EM21" s="58"/>
      <c r="EN21" s="39"/>
      <c r="EO21" s="40">
        <f t="shared" si="4"/>
        <v>46189</v>
      </c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</row>
    <row r="22" spans="2:201" x14ac:dyDescent="0.35">
      <c r="B22" s="41">
        <f t="shared" si="3"/>
        <v>46190</v>
      </c>
      <c r="C22" s="24"/>
      <c r="D22" s="49"/>
      <c r="E22" s="49"/>
      <c r="F22" s="49"/>
      <c r="G22" s="25"/>
      <c r="H22" s="25"/>
      <c r="I22" s="25"/>
      <c r="J22" s="25"/>
      <c r="K22" s="42"/>
      <c r="L22" s="25"/>
      <c r="M22" s="25"/>
      <c r="N22" s="25"/>
      <c r="O22" s="25"/>
      <c r="P22" s="25"/>
      <c r="Q22" s="25"/>
      <c r="R22" s="25"/>
      <c r="S22" s="26"/>
      <c r="T22" s="25"/>
      <c r="U22" s="25"/>
      <c r="V22" s="25"/>
      <c r="W22" s="25"/>
      <c r="X22" s="25"/>
      <c r="Y22" s="25"/>
      <c r="Z22" s="25"/>
      <c r="AA22" s="24"/>
      <c r="AB22" s="25"/>
      <c r="AC22" s="25"/>
      <c r="AD22" s="24"/>
      <c r="AE22" s="33"/>
      <c r="AF22" s="25"/>
      <c r="AG22" s="34"/>
      <c r="AH22" s="35"/>
      <c r="AI22" s="25"/>
      <c r="AJ22" s="25"/>
      <c r="AK22" s="34"/>
      <c r="AL22" s="24"/>
      <c r="AM22" s="33"/>
      <c r="AN22" s="25"/>
      <c r="AO22" s="34"/>
      <c r="AP22" s="35"/>
      <c r="AQ22" s="25"/>
      <c r="AR22" s="25"/>
      <c r="AS22" s="25"/>
      <c r="AT22" s="24"/>
      <c r="AU22" s="25"/>
      <c r="AV22" s="25"/>
      <c r="AW22" s="34"/>
      <c r="AX22" s="35"/>
      <c r="AY22" s="25"/>
      <c r="AZ22" s="25"/>
      <c r="BA22" s="34"/>
      <c r="BB22" s="24"/>
      <c r="BC22" s="48"/>
      <c r="BD22" s="49"/>
      <c r="BE22" s="49"/>
      <c r="BF22" s="49"/>
      <c r="BG22" s="49"/>
      <c r="BH22" s="49"/>
      <c r="BI22" s="49"/>
      <c r="BJ22" s="24"/>
      <c r="BK22" s="33"/>
      <c r="BL22" s="25"/>
      <c r="BM22" s="25"/>
      <c r="BN22" s="25"/>
      <c r="BO22" s="25"/>
      <c r="BP22" s="25"/>
      <c r="BQ22" s="25"/>
      <c r="BR22" s="42"/>
      <c r="BS22" s="33"/>
      <c r="BT22" s="25"/>
      <c r="BU22" s="34"/>
      <c r="BV22" s="35"/>
      <c r="BW22" s="25"/>
      <c r="BX22" s="25"/>
      <c r="BY22" s="25"/>
      <c r="BZ22" s="42"/>
      <c r="CA22" s="48"/>
      <c r="CB22" s="49"/>
      <c r="CC22" s="50"/>
      <c r="CD22" s="51"/>
      <c r="CE22" s="49"/>
      <c r="CF22" s="49"/>
      <c r="CG22" s="49"/>
      <c r="CH22" s="42"/>
      <c r="CI22" s="48"/>
      <c r="CJ22" s="49"/>
      <c r="CK22" s="50"/>
      <c r="CL22" s="51"/>
      <c r="CM22" s="49"/>
      <c r="CN22" s="49"/>
      <c r="CO22" s="50"/>
      <c r="CP22" s="42"/>
      <c r="CQ22" s="48"/>
      <c r="CR22" s="49"/>
      <c r="CS22" s="50"/>
      <c r="CT22" s="51"/>
      <c r="CU22" s="49"/>
      <c r="CV22" s="49"/>
      <c r="CW22" s="42"/>
      <c r="CX22" s="33"/>
      <c r="CY22" s="25"/>
      <c r="CZ22" s="34"/>
      <c r="DA22" s="35"/>
      <c r="DB22" s="25"/>
      <c r="DC22" s="34"/>
      <c r="DD22" s="42"/>
      <c r="DE22" s="49"/>
      <c r="DF22" s="49"/>
      <c r="DG22" s="49"/>
      <c r="DH22" s="49"/>
      <c r="DI22" s="49"/>
      <c r="DJ22" s="49"/>
      <c r="DK22" s="49"/>
      <c r="DL22" s="56"/>
      <c r="DM22" s="24"/>
      <c r="DN22" s="33"/>
      <c r="DO22" s="25"/>
      <c r="DP22" s="25"/>
      <c r="DQ22" s="25"/>
      <c r="DR22" s="25"/>
      <c r="DS22" s="25"/>
      <c r="DT22" s="25"/>
      <c r="DU22" s="57"/>
      <c r="DV22" s="49"/>
      <c r="DW22" s="49"/>
      <c r="DX22" s="49"/>
      <c r="DY22" s="49"/>
      <c r="DZ22" s="49"/>
      <c r="EA22" s="49"/>
      <c r="EB22" s="49"/>
      <c r="EC22" s="49"/>
      <c r="ED22" s="56"/>
      <c r="EE22" s="42"/>
      <c r="EF22" s="49"/>
      <c r="EG22" s="49"/>
      <c r="EH22" s="49"/>
      <c r="EI22" s="49"/>
      <c r="EJ22" s="49"/>
      <c r="EK22" s="49"/>
      <c r="EL22" s="49"/>
      <c r="EM22" s="58"/>
      <c r="EN22" s="39"/>
      <c r="EO22" s="40">
        <f t="shared" si="4"/>
        <v>46190</v>
      </c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</row>
    <row r="23" spans="2:201" x14ac:dyDescent="0.35">
      <c r="B23" s="41">
        <f t="shared" si="3"/>
        <v>46191</v>
      </c>
      <c r="C23" s="24"/>
      <c r="D23" s="49"/>
      <c r="E23" s="49"/>
      <c r="F23" s="49"/>
      <c r="G23" s="25"/>
      <c r="H23" s="25"/>
      <c r="I23" s="25"/>
      <c r="J23" s="25"/>
      <c r="K23" s="42"/>
      <c r="L23" s="25"/>
      <c r="M23" s="25"/>
      <c r="N23" s="25"/>
      <c r="O23" s="25"/>
      <c r="P23" s="25"/>
      <c r="Q23" s="25"/>
      <c r="R23" s="25"/>
      <c r="S23" s="26"/>
      <c r="T23" s="25"/>
      <c r="U23" s="25"/>
      <c r="V23" s="25"/>
      <c r="W23" s="25"/>
      <c r="X23" s="25"/>
      <c r="Y23" s="25"/>
      <c r="Z23" s="25"/>
      <c r="AA23" s="24"/>
      <c r="AB23" s="25"/>
      <c r="AC23" s="25"/>
      <c r="AD23" s="24"/>
      <c r="AE23" s="33"/>
      <c r="AF23" s="25"/>
      <c r="AG23" s="34"/>
      <c r="AH23" s="35"/>
      <c r="AI23" s="25"/>
      <c r="AJ23" s="25"/>
      <c r="AK23" s="34"/>
      <c r="AL23" s="24"/>
      <c r="AM23" s="33"/>
      <c r="AN23" s="25"/>
      <c r="AO23" s="34"/>
      <c r="AP23" s="35"/>
      <c r="AQ23" s="25"/>
      <c r="AR23" s="25"/>
      <c r="AS23" s="25"/>
      <c r="AT23" s="24"/>
      <c r="AU23" s="25"/>
      <c r="AV23" s="25"/>
      <c r="AW23" s="34"/>
      <c r="AX23" s="35"/>
      <c r="AY23" s="25"/>
      <c r="AZ23" s="25"/>
      <c r="BA23" s="34"/>
      <c r="BB23" s="24"/>
      <c r="BC23" s="48"/>
      <c r="BD23" s="49"/>
      <c r="BE23" s="49"/>
      <c r="BF23" s="49"/>
      <c r="BG23" s="49"/>
      <c r="BH23" s="49"/>
      <c r="BI23" s="49"/>
      <c r="BJ23" s="24"/>
      <c r="BK23" s="33"/>
      <c r="BL23" s="25"/>
      <c r="BM23" s="25"/>
      <c r="BN23" s="25"/>
      <c r="BO23" s="25"/>
      <c r="BP23" s="25"/>
      <c r="BQ23" s="25"/>
      <c r="BR23" s="42"/>
      <c r="BS23" s="33"/>
      <c r="BT23" s="25"/>
      <c r="BU23" s="34"/>
      <c r="BV23" s="35"/>
      <c r="BW23" s="25"/>
      <c r="BX23" s="25"/>
      <c r="BY23" s="25"/>
      <c r="BZ23" s="42"/>
      <c r="CA23" s="48"/>
      <c r="CB23" s="49"/>
      <c r="CC23" s="50"/>
      <c r="CD23" s="51"/>
      <c r="CE23" s="49"/>
      <c r="CF23" s="49"/>
      <c r="CG23" s="49"/>
      <c r="CH23" s="42"/>
      <c r="CI23" s="48"/>
      <c r="CJ23" s="49"/>
      <c r="CK23" s="50"/>
      <c r="CL23" s="51"/>
      <c r="CM23" s="49"/>
      <c r="CN23" s="49"/>
      <c r="CO23" s="50"/>
      <c r="CP23" s="42"/>
      <c r="CQ23" s="48"/>
      <c r="CR23" s="49"/>
      <c r="CS23" s="50"/>
      <c r="CT23" s="51"/>
      <c r="CU23" s="49"/>
      <c r="CV23" s="49"/>
      <c r="CW23" s="42"/>
      <c r="CX23" s="33"/>
      <c r="CY23" s="25"/>
      <c r="CZ23" s="34"/>
      <c r="DA23" s="35"/>
      <c r="DB23" s="25"/>
      <c r="DC23" s="34"/>
      <c r="DD23" s="42"/>
      <c r="DE23" s="49"/>
      <c r="DF23" s="49"/>
      <c r="DG23" s="49"/>
      <c r="DH23" s="49"/>
      <c r="DI23" s="49"/>
      <c r="DJ23" s="49"/>
      <c r="DK23" s="49"/>
      <c r="DL23" s="56"/>
      <c r="DM23" s="24"/>
      <c r="DN23" s="33"/>
      <c r="DO23" s="25"/>
      <c r="DP23" s="25"/>
      <c r="DQ23" s="25"/>
      <c r="DR23" s="25"/>
      <c r="DS23" s="25"/>
      <c r="DT23" s="25"/>
      <c r="DU23" s="57"/>
      <c r="DV23" s="49"/>
      <c r="DW23" s="49"/>
      <c r="DX23" s="49"/>
      <c r="DY23" s="49"/>
      <c r="DZ23" s="49"/>
      <c r="EA23" s="49"/>
      <c r="EB23" s="49"/>
      <c r="EC23" s="49"/>
      <c r="ED23" s="56"/>
      <c r="EE23" s="42"/>
      <c r="EF23" s="49"/>
      <c r="EG23" s="49"/>
      <c r="EH23" s="49"/>
      <c r="EI23" s="49"/>
      <c r="EJ23" s="49"/>
      <c r="EK23" s="49"/>
      <c r="EL23" s="49"/>
      <c r="EM23" s="58"/>
      <c r="EN23" s="39"/>
      <c r="EO23" s="40">
        <f t="shared" si="4"/>
        <v>46191</v>
      </c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</row>
    <row r="24" spans="2:201" x14ac:dyDescent="0.35">
      <c r="B24" s="41">
        <f t="shared" si="3"/>
        <v>46192</v>
      </c>
      <c r="C24" s="24"/>
      <c r="D24" s="49"/>
      <c r="E24" s="49"/>
      <c r="F24" s="49"/>
      <c r="G24" s="25"/>
      <c r="H24" s="25"/>
      <c r="I24" s="25"/>
      <c r="J24" s="25"/>
      <c r="K24" s="42"/>
      <c r="L24" s="25"/>
      <c r="M24" s="25"/>
      <c r="N24" s="25"/>
      <c r="O24" s="25"/>
      <c r="P24" s="25"/>
      <c r="Q24" s="25"/>
      <c r="R24" s="25"/>
      <c r="S24" s="26"/>
      <c r="T24" s="25"/>
      <c r="U24" s="25"/>
      <c r="V24" s="25"/>
      <c r="W24" s="25"/>
      <c r="X24" s="25"/>
      <c r="Y24" s="25"/>
      <c r="Z24" s="25"/>
      <c r="AA24" s="24"/>
      <c r="AB24" s="25"/>
      <c r="AC24" s="25"/>
      <c r="AD24" s="24"/>
      <c r="AE24" s="33"/>
      <c r="AF24" s="25"/>
      <c r="AG24" s="34"/>
      <c r="AH24" s="35"/>
      <c r="AI24" s="25"/>
      <c r="AJ24" s="25"/>
      <c r="AK24" s="34"/>
      <c r="AL24" s="24"/>
      <c r="AM24" s="33"/>
      <c r="AN24" s="25"/>
      <c r="AO24" s="34"/>
      <c r="AP24" s="35"/>
      <c r="AQ24" s="25"/>
      <c r="AR24" s="25"/>
      <c r="AS24" s="25"/>
      <c r="AT24" s="24"/>
      <c r="AU24" s="25"/>
      <c r="AV24" s="25"/>
      <c r="AW24" s="34"/>
      <c r="AX24" s="35"/>
      <c r="AY24" s="25"/>
      <c r="AZ24" s="25"/>
      <c r="BA24" s="34"/>
      <c r="BB24" s="24"/>
      <c r="BC24" s="48"/>
      <c r="BD24" s="49"/>
      <c r="BE24" s="49"/>
      <c r="BF24" s="49"/>
      <c r="BG24" s="49"/>
      <c r="BH24" s="49"/>
      <c r="BI24" s="49"/>
      <c r="BJ24" s="24"/>
      <c r="BK24" s="33"/>
      <c r="BL24" s="25"/>
      <c r="BM24" s="25"/>
      <c r="BN24" s="25"/>
      <c r="BO24" s="25"/>
      <c r="BP24" s="25"/>
      <c r="BQ24" s="25"/>
      <c r="BR24" s="42"/>
      <c r="BS24" s="33"/>
      <c r="BT24" s="25"/>
      <c r="BU24" s="34"/>
      <c r="BV24" s="35"/>
      <c r="BW24" s="25"/>
      <c r="BX24" s="25"/>
      <c r="BY24" s="25"/>
      <c r="BZ24" s="42"/>
      <c r="CA24" s="48"/>
      <c r="CB24" s="49"/>
      <c r="CC24" s="50"/>
      <c r="CD24" s="51"/>
      <c r="CE24" s="49"/>
      <c r="CF24" s="49"/>
      <c r="CG24" s="49"/>
      <c r="CH24" s="42"/>
      <c r="CI24" s="48"/>
      <c r="CJ24" s="49"/>
      <c r="CK24" s="50"/>
      <c r="CL24" s="51"/>
      <c r="CM24" s="49"/>
      <c r="CN24" s="49"/>
      <c r="CO24" s="50"/>
      <c r="CP24" s="42"/>
      <c r="CQ24" s="48"/>
      <c r="CR24" s="49"/>
      <c r="CS24" s="50"/>
      <c r="CT24" s="51"/>
      <c r="CU24" s="49"/>
      <c r="CV24" s="49"/>
      <c r="CW24" s="42"/>
      <c r="CX24" s="33"/>
      <c r="CY24" s="25"/>
      <c r="CZ24" s="34"/>
      <c r="DA24" s="35"/>
      <c r="DB24" s="25"/>
      <c r="DC24" s="34"/>
      <c r="DD24" s="42"/>
      <c r="DE24" s="49"/>
      <c r="DF24" s="49"/>
      <c r="DG24" s="49"/>
      <c r="DH24" s="49"/>
      <c r="DI24" s="49"/>
      <c r="DJ24" s="49"/>
      <c r="DK24" s="49"/>
      <c r="DL24" s="56"/>
      <c r="DM24" s="24"/>
      <c r="DN24" s="33"/>
      <c r="DO24" s="25"/>
      <c r="DP24" s="25"/>
      <c r="DQ24" s="25"/>
      <c r="DR24" s="25"/>
      <c r="DS24" s="25"/>
      <c r="DT24" s="25"/>
      <c r="DU24" s="57"/>
      <c r="DV24" s="49"/>
      <c r="DW24" s="49"/>
      <c r="DX24" s="49"/>
      <c r="DY24" s="49"/>
      <c r="DZ24" s="49"/>
      <c r="EA24" s="49"/>
      <c r="EB24" s="49"/>
      <c r="EC24" s="49"/>
      <c r="ED24" s="56"/>
      <c r="EE24" s="42"/>
      <c r="EF24" s="49"/>
      <c r="EG24" s="49"/>
      <c r="EH24" s="49"/>
      <c r="EI24" s="49"/>
      <c r="EJ24" s="49"/>
      <c r="EK24" s="49"/>
      <c r="EL24" s="49"/>
      <c r="EM24" s="58"/>
      <c r="EN24" s="39"/>
      <c r="EO24" s="40">
        <f t="shared" si="4"/>
        <v>46192</v>
      </c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</row>
    <row r="25" spans="2:201" x14ac:dyDescent="0.35">
      <c r="B25" s="41">
        <f t="shared" si="3"/>
        <v>46193</v>
      </c>
      <c r="C25" s="24"/>
      <c r="D25" s="49"/>
      <c r="E25" s="49"/>
      <c r="F25" s="49"/>
      <c r="G25" s="25"/>
      <c r="H25" s="25"/>
      <c r="I25" s="25"/>
      <c r="J25" s="25"/>
      <c r="K25" s="42"/>
      <c r="L25" s="25"/>
      <c r="M25" s="25"/>
      <c r="N25" s="25"/>
      <c r="O25" s="25"/>
      <c r="P25" s="25"/>
      <c r="Q25" s="25"/>
      <c r="R25" s="25"/>
      <c r="S25" s="26"/>
      <c r="T25" s="25"/>
      <c r="U25" s="25"/>
      <c r="V25" s="25"/>
      <c r="W25" s="27"/>
      <c r="X25" s="25"/>
      <c r="Y25" s="25"/>
      <c r="Z25" s="25"/>
      <c r="AA25" s="24"/>
      <c r="AB25" s="25"/>
      <c r="AC25" s="25"/>
      <c r="AD25" s="24"/>
      <c r="AE25" s="33"/>
      <c r="AF25" s="25"/>
      <c r="AG25" s="34"/>
      <c r="AH25" s="35"/>
      <c r="AI25" s="25"/>
      <c r="AJ25" s="25"/>
      <c r="AK25" s="34"/>
      <c r="AL25" s="24"/>
      <c r="AM25" s="33"/>
      <c r="AN25" s="25"/>
      <c r="AO25" s="34"/>
      <c r="AP25" s="35"/>
      <c r="AQ25" s="25"/>
      <c r="AR25" s="25"/>
      <c r="AS25" s="25"/>
      <c r="AT25" s="24"/>
      <c r="AU25" s="25"/>
      <c r="AV25" s="25"/>
      <c r="AW25" s="34"/>
      <c r="AX25" s="35"/>
      <c r="AY25" s="25"/>
      <c r="AZ25" s="25"/>
      <c r="BA25" s="34"/>
      <c r="BB25" s="24"/>
      <c r="BC25" s="48"/>
      <c r="BD25" s="49"/>
      <c r="BE25" s="49"/>
      <c r="BF25" s="49"/>
      <c r="BG25" s="49"/>
      <c r="BH25" s="49"/>
      <c r="BI25" s="49"/>
      <c r="BJ25" s="24"/>
      <c r="BK25" s="33"/>
      <c r="BL25" s="25"/>
      <c r="BM25" s="25"/>
      <c r="BN25" s="25"/>
      <c r="BO25" s="25"/>
      <c r="BP25" s="25"/>
      <c r="BQ25" s="25"/>
      <c r="BR25" s="42"/>
      <c r="BS25" s="33"/>
      <c r="BT25" s="25"/>
      <c r="BU25" s="34"/>
      <c r="BV25" s="35"/>
      <c r="BW25" s="25"/>
      <c r="BX25" s="25"/>
      <c r="BY25" s="25"/>
      <c r="BZ25" s="42"/>
      <c r="CA25" s="48"/>
      <c r="CB25" s="49"/>
      <c r="CC25" s="50"/>
      <c r="CD25" s="51"/>
      <c r="CE25" s="49"/>
      <c r="CF25" s="49"/>
      <c r="CG25" s="49"/>
      <c r="CH25" s="42"/>
      <c r="CI25" s="48"/>
      <c r="CJ25" s="49"/>
      <c r="CK25" s="50"/>
      <c r="CL25" s="51"/>
      <c r="CM25" s="49"/>
      <c r="CN25" s="49"/>
      <c r="CO25" s="50"/>
      <c r="CP25" s="42"/>
      <c r="CQ25" s="48"/>
      <c r="CR25" s="49"/>
      <c r="CS25" s="50"/>
      <c r="CT25" s="51"/>
      <c r="CU25" s="49"/>
      <c r="CV25" s="49"/>
      <c r="CW25" s="42"/>
      <c r="CX25" s="33"/>
      <c r="CY25" s="25"/>
      <c r="CZ25" s="34"/>
      <c r="DA25" s="35"/>
      <c r="DB25" s="25"/>
      <c r="DC25" s="34"/>
      <c r="DD25" s="42"/>
      <c r="DE25" s="49"/>
      <c r="DF25" s="49"/>
      <c r="DG25" s="49"/>
      <c r="DH25" s="49"/>
      <c r="DI25" s="49"/>
      <c r="DJ25" s="49"/>
      <c r="DK25" s="49"/>
      <c r="DL25" s="56"/>
      <c r="DM25" s="24"/>
      <c r="DN25" s="33"/>
      <c r="DO25" s="25"/>
      <c r="DP25" s="25"/>
      <c r="DQ25" s="25"/>
      <c r="DR25" s="25"/>
      <c r="DS25" s="25"/>
      <c r="DT25" s="25"/>
      <c r="DU25" s="57"/>
      <c r="DV25" s="49"/>
      <c r="DW25" s="49"/>
      <c r="DX25" s="49"/>
      <c r="DY25" s="49"/>
      <c r="DZ25" s="49"/>
      <c r="EA25" s="49"/>
      <c r="EB25" s="49"/>
      <c r="EC25" s="49"/>
      <c r="ED25" s="56"/>
      <c r="EE25" s="42"/>
      <c r="EF25" s="49"/>
      <c r="EG25" s="49"/>
      <c r="EH25" s="49"/>
      <c r="EI25" s="49"/>
      <c r="EJ25" s="49"/>
      <c r="EK25" s="49"/>
      <c r="EL25" s="49"/>
      <c r="EM25" s="58"/>
      <c r="EN25" s="39"/>
      <c r="EO25" s="40">
        <f t="shared" si="4"/>
        <v>46193</v>
      </c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</row>
    <row r="26" spans="2:201" x14ac:dyDescent="0.35">
      <c r="B26" s="41">
        <f t="shared" si="3"/>
        <v>46194</v>
      </c>
      <c r="C26" s="24"/>
      <c r="D26" s="49"/>
      <c r="E26" s="49"/>
      <c r="F26" s="49"/>
      <c r="G26" s="25"/>
      <c r="H26" s="25"/>
      <c r="I26" s="25"/>
      <c r="J26" s="25"/>
      <c r="K26" s="42"/>
      <c r="L26" s="25"/>
      <c r="M26" s="25"/>
      <c r="N26" s="25"/>
      <c r="O26" s="25"/>
      <c r="P26" s="25"/>
      <c r="Q26" s="25"/>
      <c r="R26" s="25"/>
      <c r="S26" s="26"/>
      <c r="T26" s="25"/>
      <c r="U26" s="25"/>
      <c r="V26" s="25"/>
      <c r="W26" s="27"/>
      <c r="X26" s="25"/>
      <c r="Y26" s="25"/>
      <c r="Z26" s="25"/>
      <c r="AA26" s="24"/>
      <c r="AB26" s="25"/>
      <c r="AC26" s="25"/>
      <c r="AD26" s="24"/>
      <c r="AE26" s="33"/>
      <c r="AF26" s="25"/>
      <c r="AG26" s="34"/>
      <c r="AH26" s="35"/>
      <c r="AI26" s="25"/>
      <c r="AJ26" s="25"/>
      <c r="AK26" s="34"/>
      <c r="AL26" s="24"/>
      <c r="AM26" s="33"/>
      <c r="AN26" s="25"/>
      <c r="AO26" s="34"/>
      <c r="AP26" s="35"/>
      <c r="AQ26" s="25"/>
      <c r="AR26" s="25"/>
      <c r="AS26" s="25"/>
      <c r="AT26" s="24"/>
      <c r="AU26" s="25"/>
      <c r="AV26" s="25"/>
      <c r="AW26" s="34"/>
      <c r="AX26" s="35"/>
      <c r="AY26" s="25"/>
      <c r="AZ26" s="25"/>
      <c r="BA26" s="34"/>
      <c r="BB26" s="24"/>
      <c r="BC26" s="48"/>
      <c r="BD26" s="49"/>
      <c r="BE26" s="49"/>
      <c r="BF26" s="49"/>
      <c r="BG26" s="49"/>
      <c r="BH26" s="49"/>
      <c r="BI26" s="49"/>
      <c r="BJ26" s="24"/>
      <c r="BK26" s="33"/>
      <c r="BL26" s="25"/>
      <c r="BM26" s="25"/>
      <c r="BN26" s="25"/>
      <c r="BO26" s="25"/>
      <c r="BP26" s="25"/>
      <c r="BQ26" s="25"/>
      <c r="BR26" s="42"/>
      <c r="BS26" s="33"/>
      <c r="BT26" s="25"/>
      <c r="BU26" s="34"/>
      <c r="BV26" s="35"/>
      <c r="BW26" s="25"/>
      <c r="BX26" s="25"/>
      <c r="BY26" s="25"/>
      <c r="BZ26" s="42"/>
      <c r="CA26" s="48"/>
      <c r="CB26" s="49"/>
      <c r="CC26" s="50"/>
      <c r="CD26" s="51"/>
      <c r="CE26" s="49"/>
      <c r="CF26" s="49"/>
      <c r="CG26" s="49"/>
      <c r="CH26" s="42"/>
      <c r="CI26" s="48"/>
      <c r="CJ26" s="49"/>
      <c r="CK26" s="50"/>
      <c r="CL26" s="51"/>
      <c r="CM26" s="49"/>
      <c r="CN26" s="49"/>
      <c r="CO26" s="50"/>
      <c r="CP26" s="42"/>
      <c r="CQ26" s="48"/>
      <c r="CR26" s="49"/>
      <c r="CS26" s="50"/>
      <c r="CT26" s="51"/>
      <c r="CU26" s="49"/>
      <c r="CV26" s="49"/>
      <c r="CW26" s="42"/>
      <c r="CX26" s="33"/>
      <c r="CY26" s="25"/>
      <c r="CZ26" s="34"/>
      <c r="DA26" s="35"/>
      <c r="DB26" s="25"/>
      <c r="DC26" s="34"/>
      <c r="DD26" s="42"/>
      <c r="DE26" s="49"/>
      <c r="DF26" s="49"/>
      <c r="DG26" s="49"/>
      <c r="DH26" s="49"/>
      <c r="DI26" s="49"/>
      <c r="DJ26" s="49"/>
      <c r="DK26" s="49"/>
      <c r="DL26" s="56"/>
      <c r="DM26" s="24"/>
      <c r="DN26" s="33"/>
      <c r="DO26" s="25"/>
      <c r="DP26" s="25"/>
      <c r="DQ26" s="25"/>
      <c r="DR26" s="25"/>
      <c r="DS26" s="25"/>
      <c r="DT26" s="25"/>
      <c r="DU26" s="57"/>
      <c r="DV26" s="49"/>
      <c r="DW26" s="49"/>
      <c r="DX26" s="49"/>
      <c r="DY26" s="49"/>
      <c r="DZ26" s="49"/>
      <c r="EA26" s="49"/>
      <c r="EB26" s="49"/>
      <c r="EC26" s="49"/>
      <c r="ED26" s="56"/>
      <c r="EE26" s="42"/>
      <c r="EF26" s="49"/>
      <c r="EG26" s="49"/>
      <c r="EH26" s="49"/>
      <c r="EI26" s="49"/>
      <c r="EJ26" s="49"/>
      <c r="EK26" s="49"/>
      <c r="EL26" s="49"/>
      <c r="EM26" s="58"/>
      <c r="EN26" s="39"/>
      <c r="EO26" s="40">
        <f t="shared" si="4"/>
        <v>46194</v>
      </c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</row>
    <row r="27" spans="2:201" x14ac:dyDescent="0.35">
      <c r="B27" s="41">
        <f t="shared" si="3"/>
        <v>46195</v>
      </c>
      <c r="C27" s="24"/>
      <c r="D27" s="49"/>
      <c r="E27" s="49"/>
      <c r="F27" s="49"/>
      <c r="G27" s="25"/>
      <c r="H27" s="25"/>
      <c r="I27" s="25"/>
      <c r="J27" s="25"/>
      <c r="K27" s="42"/>
      <c r="L27" s="25"/>
      <c r="M27" s="25"/>
      <c r="N27" s="25"/>
      <c r="O27" s="25"/>
      <c r="P27" s="25"/>
      <c r="Q27" s="25"/>
      <c r="R27" s="25"/>
      <c r="S27" s="26"/>
      <c r="T27" s="25"/>
      <c r="U27" s="25"/>
      <c r="V27" s="25"/>
      <c r="W27" s="27"/>
      <c r="X27" s="25"/>
      <c r="Y27" s="25"/>
      <c r="Z27" s="25"/>
      <c r="AA27" s="24"/>
      <c r="AB27" s="25"/>
      <c r="AC27" s="25"/>
      <c r="AD27" s="24"/>
      <c r="AE27" s="33"/>
      <c r="AF27" s="25"/>
      <c r="AG27" s="34"/>
      <c r="AH27" s="35"/>
      <c r="AI27" s="25"/>
      <c r="AJ27" s="25"/>
      <c r="AK27" s="34"/>
      <c r="AL27" s="24"/>
      <c r="AM27" s="33"/>
      <c r="AN27" s="25"/>
      <c r="AO27" s="34"/>
      <c r="AP27" s="35"/>
      <c r="AQ27" s="25"/>
      <c r="AR27" s="25"/>
      <c r="AS27" s="25"/>
      <c r="AT27" s="42"/>
      <c r="AU27" s="25"/>
      <c r="AV27" s="25"/>
      <c r="AW27" s="34"/>
      <c r="AX27" s="35"/>
      <c r="AY27" s="25"/>
      <c r="AZ27" s="25"/>
      <c r="BA27" s="34"/>
      <c r="BB27" s="24"/>
      <c r="BC27" s="48"/>
      <c r="BD27" s="49"/>
      <c r="BE27" s="49"/>
      <c r="BF27" s="49"/>
      <c r="BG27" s="49"/>
      <c r="BH27" s="49"/>
      <c r="BI27" s="49"/>
      <c r="BJ27" s="24"/>
      <c r="BK27" s="33"/>
      <c r="BL27" s="25"/>
      <c r="BM27" s="25"/>
      <c r="BN27" s="25"/>
      <c r="BO27" s="25"/>
      <c r="BP27" s="25"/>
      <c r="BQ27" s="25"/>
      <c r="BR27" s="42"/>
      <c r="BS27" s="33"/>
      <c r="BT27" s="25"/>
      <c r="BU27" s="34"/>
      <c r="BV27" s="35"/>
      <c r="BW27" s="25"/>
      <c r="BX27" s="25"/>
      <c r="BY27" s="25"/>
      <c r="BZ27" s="42"/>
      <c r="CA27" s="48"/>
      <c r="CB27" s="49"/>
      <c r="CC27" s="50"/>
      <c r="CD27" s="51"/>
      <c r="CE27" s="49"/>
      <c r="CF27" s="49"/>
      <c r="CG27" s="49"/>
      <c r="CH27" s="42"/>
      <c r="CI27" s="48"/>
      <c r="CJ27" s="49"/>
      <c r="CK27" s="50"/>
      <c r="CL27" s="51"/>
      <c r="CM27" s="49"/>
      <c r="CN27" s="49"/>
      <c r="CO27" s="50"/>
      <c r="CP27" s="42"/>
      <c r="CQ27" s="48"/>
      <c r="CR27" s="49"/>
      <c r="CS27" s="50"/>
      <c r="CT27" s="51"/>
      <c r="CU27" s="49"/>
      <c r="CV27" s="49"/>
      <c r="CW27" s="42"/>
      <c r="CX27" s="33"/>
      <c r="CY27" s="25"/>
      <c r="CZ27" s="34"/>
      <c r="DA27" s="35"/>
      <c r="DB27" s="25"/>
      <c r="DC27" s="34"/>
      <c r="DD27" s="42"/>
      <c r="DE27" s="49"/>
      <c r="DF27" s="49"/>
      <c r="DG27" s="49"/>
      <c r="DH27" s="49"/>
      <c r="DI27" s="49"/>
      <c r="DJ27" s="49"/>
      <c r="DK27" s="49"/>
      <c r="DL27" s="56"/>
      <c r="DM27" s="24"/>
      <c r="DN27" s="33"/>
      <c r="DO27" s="25"/>
      <c r="DP27" s="25"/>
      <c r="DQ27" s="25"/>
      <c r="DR27" s="25"/>
      <c r="DS27" s="25"/>
      <c r="DT27" s="25"/>
      <c r="DU27" s="57"/>
      <c r="DV27" s="49"/>
      <c r="DW27" s="49"/>
      <c r="DX27" s="49"/>
      <c r="DY27" s="49"/>
      <c r="DZ27" s="49"/>
      <c r="EA27" s="49"/>
      <c r="EB27" s="49"/>
      <c r="EC27" s="49"/>
      <c r="ED27" s="56"/>
      <c r="EE27" s="42"/>
      <c r="EF27" s="49"/>
      <c r="EG27" s="49"/>
      <c r="EH27" s="49"/>
      <c r="EI27" s="49"/>
      <c r="EJ27" s="49"/>
      <c r="EK27" s="49"/>
      <c r="EL27" s="49"/>
      <c r="EM27" s="58"/>
      <c r="EN27" s="39"/>
      <c r="EO27" s="40">
        <f t="shared" si="4"/>
        <v>46195</v>
      </c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</row>
    <row r="28" spans="2:201" x14ac:dyDescent="0.35">
      <c r="B28" s="41">
        <f t="shared" si="3"/>
        <v>46196</v>
      </c>
      <c r="C28" s="24"/>
      <c r="D28" s="49"/>
      <c r="E28" s="49"/>
      <c r="F28" s="49"/>
      <c r="G28" s="25"/>
      <c r="H28" s="25"/>
      <c r="I28" s="25"/>
      <c r="J28" s="25"/>
      <c r="K28" s="42"/>
      <c r="L28" s="25"/>
      <c r="M28" s="25"/>
      <c r="N28" s="25"/>
      <c r="O28" s="25"/>
      <c r="P28" s="25"/>
      <c r="Q28" s="25"/>
      <c r="R28" s="25"/>
      <c r="S28" s="26"/>
      <c r="T28" s="25"/>
      <c r="U28" s="25"/>
      <c r="V28" s="25"/>
      <c r="W28" s="27"/>
      <c r="X28" s="25"/>
      <c r="Y28" s="25"/>
      <c r="Z28" s="25"/>
      <c r="AA28" s="24"/>
      <c r="AB28" s="25"/>
      <c r="AC28" s="25"/>
      <c r="AD28" s="24"/>
      <c r="AE28" s="33"/>
      <c r="AF28" s="25"/>
      <c r="AG28" s="34"/>
      <c r="AH28" s="35"/>
      <c r="AI28" s="25"/>
      <c r="AJ28" s="25"/>
      <c r="AK28" s="34"/>
      <c r="AL28" s="24"/>
      <c r="AM28" s="33"/>
      <c r="AN28" s="25"/>
      <c r="AO28" s="34"/>
      <c r="AP28" s="35"/>
      <c r="AQ28" s="25"/>
      <c r="AR28" s="25"/>
      <c r="AS28" s="25"/>
      <c r="AT28" s="42"/>
      <c r="AU28" s="25"/>
      <c r="AV28" s="25"/>
      <c r="AW28" s="34"/>
      <c r="AX28" s="35"/>
      <c r="AY28" s="25"/>
      <c r="AZ28" s="25"/>
      <c r="BA28" s="34"/>
      <c r="BB28" s="24"/>
      <c r="BC28" s="48"/>
      <c r="BD28" s="49"/>
      <c r="BE28" s="49"/>
      <c r="BF28" s="49"/>
      <c r="BG28" s="49"/>
      <c r="BH28" s="49"/>
      <c r="BI28" s="49"/>
      <c r="BJ28" s="24"/>
      <c r="BK28" s="33"/>
      <c r="BL28" s="25"/>
      <c r="BM28" s="25"/>
      <c r="BN28" s="25"/>
      <c r="BO28" s="25"/>
      <c r="BP28" s="25"/>
      <c r="BQ28" s="25"/>
      <c r="BR28" s="42"/>
      <c r="BS28" s="33"/>
      <c r="BT28" s="25"/>
      <c r="BU28" s="34"/>
      <c r="BV28" s="35"/>
      <c r="BW28" s="25"/>
      <c r="BX28" s="25"/>
      <c r="BY28" s="25"/>
      <c r="BZ28" s="42"/>
      <c r="CA28" s="48"/>
      <c r="CB28" s="49"/>
      <c r="CC28" s="50"/>
      <c r="CD28" s="51"/>
      <c r="CE28" s="49"/>
      <c r="CF28" s="49"/>
      <c r="CG28" s="49"/>
      <c r="CH28" s="42"/>
      <c r="CI28" s="48"/>
      <c r="CJ28" s="49"/>
      <c r="CK28" s="50"/>
      <c r="CL28" s="51"/>
      <c r="CM28" s="49"/>
      <c r="CN28" s="49"/>
      <c r="CO28" s="50"/>
      <c r="CP28" s="42"/>
      <c r="CQ28" s="48"/>
      <c r="CR28" s="49"/>
      <c r="CS28" s="50"/>
      <c r="CT28" s="51"/>
      <c r="CU28" s="49"/>
      <c r="CV28" s="49"/>
      <c r="CW28" s="42"/>
      <c r="CX28" s="33"/>
      <c r="CY28" s="25"/>
      <c r="CZ28" s="34"/>
      <c r="DA28" s="35"/>
      <c r="DB28" s="25"/>
      <c r="DC28" s="34"/>
      <c r="DD28" s="42"/>
      <c r="DE28" s="49"/>
      <c r="DF28" s="49"/>
      <c r="DG28" s="49"/>
      <c r="DH28" s="49"/>
      <c r="DI28" s="49"/>
      <c r="DJ28" s="49"/>
      <c r="DK28" s="49"/>
      <c r="DL28" s="56"/>
      <c r="DM28" s="24"/>
      <c r="DN28" s="33"/>
      <c r="DO28" s="25"/>
      <c r="DP28" s="25"/>
      <c r="DQ28" s="25"/>
      <c r="DR28" s="25"/>
      <c r="DS28" s="25"/>
      <c r="DT28" s="25"/>
      <c r="DU28" s="57"/>
      <c r="DV28" s="49"/>
      <c r="DW28" s="49"/>
      <c r="DX28" s="49"/>
      <c r="DY28" s="49"/>
      <c r="DZ28" s="49"/>
      <c r="EA28" s="49"/>
      <c r="EB28" s="49"/>
      <c r="EC28" s="49"/>
      <c r="ED28" s="56"/>
      <c r="EE28" s="42"/>
      <c r="EF28" s="49"/>
      <c r="EG28" s="49"/>
      <c r="EH28" s="49"/>
      <c r="EI28" s="49"/>
      <c r="EJ28" s="49"/>
      <c r="EK28" s="49"/>
      <c r="EL28" s="49"/>
      <c r="EM28" s="58"/>
      <c r="EN28" s="39"/>
      <c r="EO28" s="40">
        <f t="shared" si="4"/>
        <v>46196</v>
      </c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</row>
    <row r="29" spans="2:201" x14ac:dyDescent="0.35">
      <c r="B29" s="41">
        <f t="shared" si="3"/>
        <v>46197</v>
      </c>
      <c r="C29" s="24"/>
      <c r="D29" s="49"/>
      <c r="E29" s="49"/>
      <c r="F29" s="49"/>
      <c r="G29" s="25"/>
      <c r="H29" s="25"/>
      <c r="I29" s="25"/>
      <c r="J29" s="25"/>
      <c r="K29" s="42"/>
      <c r="L29" s="25"/>
      <c r="M29" s="25"/>
      <c r="N29" s="25"/>
      <c r="O29" s="25"/>
      <c r="P29" s="25"/>
      <c r="Q29" s="25"/>
      <c r="R29" s="25"/>
      <c r="S29" s="26"/>
      <c r="T29" s="25"/>
      <c r="U29" s="25"/>
      <c r="V29" s="25"/>
      <c r="W29" s="27"/>
      <c r="X29" s="25"/>
      <c r="Y29" s="25"/>
      <c r="Z29" s="25"/>
      <c r="AA29" s="24"/>
      <c r="AB29" s="25"/>
      <c r="AC29" s="25"/>
      <c r="AD29" s="24"/>
      <c r="AE29" s="33"/>
      <c r="AF29" s="25"/>
      <c r="AG29" s="34"/>
      <c r="AH29" s="35"/>
      <c r="AI29" s="25"/>
      <c r="AJ29" s="25"/>
      <c r="AK29" s="34"/>
      <c r="AL29" s="24"/>
      <c r="AM29" s="33"/>
      <c r="AN29" s="25"/>
      <c r="AO29" s="34"/>
      <c r="AP29" s="35"/>
      <c r="AQ29" s="25"/>
      <c r="AR29" s="25"/>
      <c r="AS29" s="25"/>
      <c r="AT29" s="42"/>
      <c r="AU29" s="25"/>
      <c r="AV29" s="25"/>
      <c r="AW29" s="34"/>
      <c r="AX29" s="35"/>
      <c r="AY29" s="25"/>
      <c r="AZ29" s="25"/>
      <c r="BA29" s="34"/>
      <c r="BB29" s="24"/>
      <c r="BC29" s="48"/>
      <c r="BD29" s="49"/>
      <c r="BE29" s="49"/>
      <c r="BF29" s="49"/>
      <c r="BG29" s="49"/>
      <c r="BH29" s="49"/>
      <c r="BI29" s="49"/>
      <c r="BJ29" s="24"/>
      <c r="BK29" s="33"/>
      <c r="BL29" s="25"/>
      <c r="BM29" s="25"/>
      <c r="BN29" s="25"/>
      <c r="BO29" s="25"/>
      <c r="BP29" s="25"/>
      <c r="BQ29" s="25"/>
      <c r="BR29" s="42"/>
      <c r="BS29" s="33"/>
      <c r="BT29" s="25"/>
      <c r="BU29" s="34"/>
      <c r="BV29" s="35"/>
      <c r="BW29" s="25"/>
      <c r="BX29" s="25"/>
      <c r="BY29" s="25"/>
      <c r="BZ29" s="42"/>
      <c r="CA29" s="48"/>
      <c r="CB29" s="49"/>
      <c r="CC29" s="50"/>
      <c r="CD29" s="51"/>
      <c r="CE29" s="49"/>
      <c r="CF29" s="49"/>
      <c r="CG29" s="49"/>
      <c r="CH29" s="42"/>
      <c r="CI29" s="48"/>
      <c r="CJ29" s="49"/>
      <c r="CK29" s="50"/>
      <c r="CL29" s="51"/>
      <c r="CM29" s="49"/>
      <c r="CN29" s="49"/>
      <c r="CO29" s="50"/>
      <c r="CP29" s="42"/>
      <c r="CQ29" s="48"/>
      <c r="CR29" s="49"/>
      <c r="CS29" s="50"/>
      <c r="CT29" s="51"/>
      <c r="CU29" s="49"/>
      <c r="CV29" s="49"/>
      <c r="CW29" s="42"/>
      <c r="CX29" s="33"/>
      <c r="CY29" s="25"/>
      <c r="CZ29" s="34"/>
      <c r="DA29" s="35"/>
      <c r="DB29" s="25"/>
      <c r="DC29" s="34"/>
      <c r="DD29" s="42"/>
      <c r="DE29" s="49"/>
      <c r="DF29" s="49"/>
      <c r="DG29" s="49"/>
      <c r="DH29" s="49"/>
      <c r="DI29" s="49"/>
      <c r="DJ29" s="49"/>
      <c r="DK29" s="49"/>
      <c r="DL29" s="56"/>
      <c r="DM29" s="24"/>
      <c r="DN29" s="33"/>
      <c r="DO29" s="25"/>
      <c r="DP29" s="25"/>
      <c r="DQ29" s="25"/>
      <c r="DR29" s="25"/>
      <c r="DS29" s="25"/>
      <c r="DT29" s="25"/>
      <c r="DU29" s="57"/>
      <c r="DV29" s="49"/>
      <c r="DW29" s="49"/>
      <c r="DX29" s="49"/>
      <c r="DY29" s="49"/>
      <c r="DZ29" s="49"/>
      <c r="EA29" s="49"/>
      <c r="EB29" s="49"/>
      <c r="EC29" s="49"/>
      <c r="ED29" s="56"/>
      <c r="EE29" s="42"/>
      <c r="EF29" s="49"/>
      <c r="EG29" s="49"/>
      <c r="EH29" s="49"/>
      <c r="EI29" s="49"/>
      <c r="EJ29" s="49"/>
      <c r="EK29" s="49"/>
      <c r="EL29" s="49"/>
      <c r="EM29" s="58"/>
      <c r="EN29" s="39"/>
      <c r="EO29" s="40">
        <f t="shared" si="4"/>
        <v>46197</v>
      </c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</row>
    <row r="30" spans="2:201" x14ac:dyDescent="0.35">
      <c r="B30" s="41">
        <f t="shared" si="3"/>
        <v>46198</v>
      </c>
      <c r="C30" s="24"/>
      <c r="D30" s="49"/>
      <c r="E30" s="49"/>
      <c r="F30" s="49"/>
      <c r="G30" s="25"/>
      <c r="H30" s="25"/>
      <c r="I30" s="25"/>
      <c r="J30" s="25"/>
      <c r="K30" s="42"/>
      <c r="L30" s="25"/>
      <c r="M30" s="25"/>
      <c r="N30" s="25"/>
      <c r="O30" s="25"/>
      <c r="P30" s="25"/>
      <c r="Q30" s="25"/>
      <c r="R30" s="25"/>
      <c r="S30" s="26"/>
      <c r="T30" s="25"/>
      <c r="U30" s="25"/>
      <c r="V30" s="25"/>
      <c r="W30" s="27"/>
      <c r="X30" s="25"/>
      <c r="Y30" s="25"/>
      <c r="Z30" s="25"/>
      <c r="AA30" s="24"/>
      <c r="AB30" s="25"/>
      <c r="AC30" s="25"/>
      <c r="AD30" s="24"/>
      <c r="AE30" s="33"/>
      <c r="AF30" s="25"/>
      <c r="AG30" s="34"/>
      <c r="AH30" s="35"/>
      <c r="AI30" s="25"/>
      <c r="AJ30" s="25"/>
      <c r="AK30" s="34"/>
      <c r="AL30" s="24"/>
      <c r="AM30" s="33"/>
      <c r="AN30" s="25"/>
      <c r="AO30" s="34"/>
      <c r="AP30" s="35"/>
      <c r="AQ30" s="25"/>
      <c r="AR30" s="25"/>
      <c r="AS30" s="25"/>
      <c r="AT30" s="42"/>
      <c r="AU30" s="25"/>
      <c r="AV30" s="25"/>
      <c r="AW30" s="34"/>
      <c r="AX30" s="35"/>
      <c r="AY30" s="25"/>
      <c r="AZ30" s="25"/>
      <c r="BA30" s="34"/>
      <c r="BB30" s="24"/>
      <c r="BC30" s="48"/>
      <c r="BD30" s="49"/>
      <c r="BE30" s="49"/>
      <c r="BF30" s="49"/>
      <c r="BG30" s="49"/>
      <c r="BH30" s="49"/>
      <c r="BI30" s="49"/>
      <c r="BJ30" s="24"/>
      <c r="BK30" s="33"/>
      <c r="BL30" s="25"/>
      <c r="BM30" s="25"/>
      <c r="BN30" s="25"/>
      <c r="BO30" s="25"/>
      <c r="BP30" s="25"/>
      <c r="BQ30" s="25"/>
      <c r="BR30" s="42"/>
      <c r="BS30" s="33"/>
      <c r="BT30" s="25"/>
      <c r="BU30" s="34"/>
      <c r="BV30" s="35"/>
      <c r="BW30" s="25"/>
      <c r="BX30" s="25"/>
      <c r="BY30" s="25"/>
      <c r="BZ30" s="42"/>
      <c r="CA30" s="48"/>
      <c r="CB30" s="49"/>
      <c r="CC30" s="50"/>
      <c r="CD30" s="51"/>
      <c r="CE30" s="49"/>
      <c r="CF30" s="49"/>
      <c r="CG30" s="49"/>
      <c r="CH30" s="42"/>
      <c r="CI30" s="48"/>
      <c r="CJ30" s="49"/>
      <c r="CK30" s="50"/>
      <c r="CL30" s="51"/>
      <c r="CM30" s="49"/>
      <c r="CN30" s="49"/>
      <c r="CO30" s="50"/>
      <c r="CP30" s="42"/>
      <c r="CQ30" s="48"/>
      <c r="CR30" s="49"/>
      <c r="CS30" s="50"/>
      <c r="CT30" s="51"/>
      <c r="CU30" s="49"/>
      <c r="CV30" s="49"/>
      <c r="CW30" s="42"/>
      <c r="CX30" s="33"/>
      <c r="CY30" s="25"/>
      <c r="CZ30" s="34"/>
      <c r="DA30" s="35"/>
      <c r="DB30" s="25"/>
      <c r="DC30" s="34"/>
      <c r="DD30" s="42"/>
      <c r="DE30" s="49"/>
      <c r="DF30" s="49"/>
      <c r="DG30" s="49"/>
      <c r="DH30" s="49"/>
      <c r="DI30" s="49"/>
      <c r="DJ30" s="49"/>
      <c r="DK30" s="49"/>
      <c r="DL30" s="56"/>
      <c r="DM30" s="24"/>
      <c r="DN30" s="33"/>
      <c r="DO30" s="25"/>
      <c r="DP30" s="25"/>
      <c r="DQ30" s="25"/>
      <c r="DR30" s="25"/>
      <c r="DS30" s="25"/>
      <c r="DT30" s="25"/>
      <c r="DU30" s="57"/>
      <c r="DV30" s="49"/>
      <c r="DW30" s="49"/>
      <c r="DX30" s="49"/>
      <c r="DY30" s="49"/>
      <c r="DZ30" s="49"/>
      <c r="EA30" s="49"/>
      <c r="EB30" s="49"/>
      <c r="EC30" s="49"/>
      <c r="ED30" s="56"/>
      <c r="EE30" s="42"/>
      <c r="EF30" s="49"/>
      <c r="EG30" s="49"/>
      <c r="EH30" s="49"/>
      <c r="EI30" s="49"/>
      <c r="EJ30" s="49"/>
      <c r="EK30" s="49"/>
      <c r="EL30" s="49"/>
      <c r="EM30" s="58"/>
      <c r="EN30" s="39"/>
      <c r="EO30" s="40">
        <f t="shared" si="4"/>
        <v>46198</v>
      </c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</row>
    <row r="31" spans="2:201" x14ac:dyDescent="0.35">
      <c r="B31" s="41">
        <f t="shared" si="3"/>
        <v>46199</v>
      </c>
      <c r="C31" s="24"/>
      <c r="D31" s="49"/>
      <c r="E31" s="49"/>
      <c r="F31" s="49"/>
      <c r="G31" s="25"/>
      <c r="H31" s="25"/>
      <c r="I31" s="25"/>
      <c r="J31" s="25"/>
      <c r="K31" s="42"/>
      <c r="L31" s="25"/>
      <c r="M31" s="25"/>
      <c r="N31" s="25"/>
      <c r="O31" s="25"/>
      <c r="P31" s="25"/>
      <c r="Q31" s="25"/>
      <c r="R31" s="25"/>
      <c r="S31" s="26"/>
      <c r="T31" s="25"/>
      <c r="U31" s="25"/>
      <c r="V31" s="25"/>
      <c r="W31" s="27"/>
      <c r="X31" s="25"/>
      <c r="Y31" s="25"/>
      <c r="Z31" s="25"/>
      <c r="AA31" s="24"/>
      <c r="AB31" s="25"/>
      <c r="AC31" s="25"/>
      <c r="AD31" s="24"/>
      <c r="AE31" s="33"/>
      <c r="AF31" s="25"/>
      <c r="AG31" s="34"/>
      <c r="AH31" s="35"/>
      <c r="AI31" s="25"/>
      <c r="AJ31" s="25"/>
      <c r="AK31" s="34"/>
      <c r="AL31" s="24"/>
      <c r="AM31" s="33"/>
      <c r="AN31" s="25"/>
      <c r="AO31" s="34"/>
      <c r="AP31" s="35"/>
      <c r="AQ31" s="25"/>
      <c r="AR31" s="25"/>
      <c r="AS31" s="25"/>
      <c r="AT31" s="42"/>
      <c r="AU31" s="25"/>
      <c r="AV31" s="25"/>
      <c r="AW31" s="34"/>
      <c r="AX31" s="35"/>
      <c r="AY31" s="25"/>
      <c r="AZ31" s="25"/>
      <c r="BA31" s="34"/>
      <c r="BB31" s="24"/>
      <c r="BC31" s="48"/>
      <c r="BD31" s="49"/>
      <c r="BE31" s="49"/>
      <c r="BF31" s="49"/>
      <c r="BG31" s="49"/>
      <c r="BH31" s="49"/>
      <c r="BI31" s="49"/>
      <c r="BJ31" s="24"/>
      <c r="BK31" s="33"/>
      <c r="BL31" s="25"/>
      <c r="BM31" s="25"/>
      <c r="BN31" s="25"/>
      <c r="BO31" s="25"/>
      <c r="BP31" s="25"/>
      <c r="BQ31" s="25"/>
      <c r="BR31" s="42"/>
      <c r="BS31" s="33"/>
      <c r="BT31" s="25"/>
      <c r="BU31" s="34"/>
      <c r="BV31" s="35"/>
      <c r="BW31" s="25"/>
      <c r="BX31" s="25"/>
      <c r="BY31" s="25"/>
      <c r="BZ31" s="42"/>
      <c r="CA31" s="48"/>
      <c r="CB31" s="49"/>
      <c r="CC31" s="50"/>
      <c r="CD31" s="51"/>
      <c r="CE31" s="49"/>
      <c r="CF31" s="49"/>
      <c r="CG31" s="49"/>
      <c r="CH31" s="42"/>
      <c r="CI31" s="48"/>
      <c r="CJ31" s="49"/>
      <c r="CK31" s="50"/>
      <c r="CL31" s="51"/>
      <c r="CM31" s="49"/>
      <c r="CN31" s="49"/>
      <c r="CO31" s="50"/>
      <c r="CP31" s="42"/>
      <c r="CQ31" s="48"/>
      <c r="CR31" s="49"/>
      <c r="CS31" s="50"/>
      <c r="CT31" s="51"/>
      <c r="CU31" s="49"/>
      <c r="CV31" s="49"/>
      <c r="CW31" s="42"/>
      <c r="CX31" s="33"/>
      <c r="CY31" s="25"/>
      <c r="CZ31" s="34"/>
      <c r="DA31" s="35"/>
      <c r="DB31" s="25"/>
      <c r="DC31" s="34"/>
      <c r="DD31" s="42"/>
      <c r="DE31" s="49"/>
      <c r="DF31" s="49"/>
      <c r="DG31" s="49"/>
      <c r="DH31" s="49"/>
      <c r="DI31" s="49"/>
      <c r="DJ31" s="49"/>
      <c r="DK31" s="49"/>
      <c r="DL31" s="56"/>
      <c r="DM31" s="24"/>
      <c r="DN31" s="33"/>
      <c r="DO31" s="25"/>
      <c r="DP31" s="25"/>
      <c r="DQ31" s="25"/>
      <c r="DR31" s="25"/>
      <c r="DS31" s="25"/>
      <c r="DT31" s="25"/>
      <c r="DU31" s="57"/>
      <c r="DV31" s="49"/>
      <c r="DW31" s="49"/>
      <c r="DX31" s="49"/>
      <c r="DY31" s="49"/>
      <c r="DZ31" s="49"/>
      <c r="EA31" s="49"/>
      <c r="EB31" s="49"/>
      <c r="EC31" s="49"/>
      <c r="ED31" s="56"/>
      <c r="EE31" s="42"/>
      <c r="EF31" s="49"/>
      <c r="EG31" s="49"/>
      <c r="EH31" s="49"/>
      <c r="EI31" s="49"/>
      <c r="EJ31" s="49"/>
      <c r="EK31" s="49"/>
      <c r="EL31" s="49"/>
      <c r="EM31" s="58"/>
      <c r="EN31" s="39"/>
      <c r="EO31" s="40">
        <f t="shared" si="4"/>
        <v>46199</v>
      </c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</row>
    <row r="32" spans="2:201" x14ac:dyDescent="0.35">
      <c r="B32" s="41">
        <f t="shared" si="3"/>
        <v>46200</v>
      </c>
      <c r="C32" s="24"/>
      <c r="D32" s="49"/>
      <c r="E32" s="49"/>
      <c r="F32" s="49"/>
      <c r="G32" s="25"/>
      <c r="H32" s="25"/>
      <c r="I32" s="25"/>
      <c r="J32" s="25"/>
      <c r="K32" s="42"/>
      <c r="L32" s="25"/>
      <c r="M32" s="25"/>
      <c r="N32" s="25"/>
      <c r="O32" s="25"/>
      <c r="P32" s="25"/>
      <c r="Q32" s="25"/>
      <c r="R32" s="25"/>
      <c r="S32" s="26"/>
      <c r="T32" s="25"/>
      <c r="U32" s="25"/>
      <c r="V32" s="25"/>
      <c r="W32" s="27"/>
      <c r="X32" s="25"/>
      <c r="Y32" s="25"/>
      <c r="Z32" s="25"/>
      <c r="AA32" s="24"/>
      <c r="AB32" s="25"/>
      <c r="AC32" s="25"/>
      <c r="AD32" s="24"/>
      <c r="AE32" s="33"/>
      <c r="AF32" s="25"/>
      <c r="AG32" s="34"/>
      <c r="AH32" s="35"/>
      <c r="AI32" s="25"/>
      <c r="AJ32" s="25"/>
      <c r="AK32" s="34"/>
      <c r="AL32" s="24"/>
      <c r="AM32" s="33"/>
      <c r="AN32" s="25"/>
      <c r="AO32" s="34"/>
      <c r="AP32" s="35"/>
      <c r="AQ32" s="25"/>
      <c r="AR32" s="25"/>
      <c r="AS32" s="25"/>
      <c r="AT32" s="42"/>
      <c r="AU32" s="25"/>
      <c r="AV32" s="25"/>
      <c r="AW32" s="34"/>
      <c r="AX32" s="35"/>
      <c r="AY32" s="25"/>
      <c r="AZ32" s="25"/>
      <c r="BA32" s="34"/>
      <c r="BB32" s="24"/>
      <c r="BC32" s="48"/>
      <c r="BD32" s="49"/>
      <c r="BE32" s="49"/>
      <c r="BF32" s="49"/>
      <c r="BG32" s="49"/>
      <c r="BH32" s="49"/>
      <c r="BI32" s="49"/>
      <c r="BJ32" s="24"/>
      <c r="BK32" s="33"/>
      <c r="BL32" s="25"/>
      <c r="BM32" s="25"/>
      <c r="BN32" s="25"/>
      <c r="BO32" s="25"/>
      <c r="BP32" s="25"/>
      <c r="BQ32" s="25"/>
      <c r="BR32" s="42"/>
      <c r="BS32" s="33"/>
      <c r="BT32" s="25"/>
      <c r="BU32" s="34"/>
      <c r="BV32" s="35"/>
      <c r="BW32" s="25"/>
      <c r="BX32" s="25"/>
      <c r="BY32" s="25"/>
      <c r="BZ32" s="42"/>
      <c r="CA32" s="48"/>
      <c r="CB32" s="49"/>
      <c r="CC32" s="50"/>
      <c r="CD32" s="51"/>
      <c r="CE32" s="49"/>
      <c r="CF32" s="49"/>
      <c r="CG32" s="49"/>
      <c r="CH32" s="42"/>
      <c r="CI32" s="48"/>
      <c r="CJ32" s="49"/>
      <c r="CK32" s="50"/>
      <c r="CL32" s="51"/>
      <c r="CM32" s="49"/>
      <c r="CN32" s="49"/>
      <c r="CO32" s="50"/>
      <c r="CP32" s="42"/>
      <c r="CQ32" s="48"/>
      <c r="CR32" s="49"/>
      <c r="CS32" s="50"/>
      <c r="CT32" s="51"/>
      <c r="CU32" s="49"/>
      <c r="CV32" s="49"/>
      <c r="CW32" s="42"/>
      <c r="CX32" s="33"/>
      <c r="CY32" s="25"/>
      <c r="CZ32" s="34"/>
      <c r="DA32" s="35"/>
      <c r="DB32" s="25"/>
      <c r="DC32" s="34"/>
      <c r="DD32" s="42"/>
      <c r="DE32" s="49"/>
      <c r="DF32" s="49"/>
      <c r="DG32" s="49"/>
      <c r="DH32" s="49"/>
      <c r="DI32" s="49"/>
      <c r="DJ32" s="49"/>
      <c r="DK32" s="49"/>
      <c r="DL32" s="56"/>
      <c r="DM32" s="24"/>
      <c r="DN32" s="33"/>
      <c r="DO32" s="25"/>
      <c r="DP32" s="25"/>
      <c r="DQ32" s="25"/>
      <c r="DR32" s="25"/>
      <c r="DS32" s="25"/>
      <c r="DT32" s="25"/>
      <c r="DU32" s="57"/>
      <c r="DV32" s="49"/>
      <c r="DW32" s="49"/>
      <c r="DX32" s="49"/>
      <c r="DY32" s="49"/>
      <c r="DZ32" s="49"/>
      <c r="EA32" s="49"/>
      <c r="EB32" s="49"/>
      <c r="EC32" s="49"/>
      <c r="ED32" s="56"/>
      <c r="EE32" s="42"/>
      <c r="EF32" s="49"/>
      <c r="EG32" s="49"/>
      <c r="EH32" s="49"/>
      <c r="EI32" s="49"/>
      <c r="EJ32" s="49"/>
      <c r="EK32" s="49"/>
      <c r="EL32" s="49"/>
      <c r="EM32" s="58"/>
      <c r="EN32" s="39"/>
      <c r="EO32" s="40">
        <f t="shared" si="4"/>
        <v>46200</v>
      </c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</row>
    <row r="33" spans="1:201" x14ac:dyDescent="0.35">
      <c r="B33" s="41">
        <f t="shared" si="3"/>
        <v>46201</v>
      </c>
      <c r="C33" s="24"/>
      <c r="D33" s="49"/>
      <c r="E33" s="49"/>
      <c r="F33" s="49"/>
      <c r="G33" s="25"/>
      <c r="H33" s="25"/>
      <c r="I33" s="25"/>
      <c r="J33" s="25"/>
      <c r="K33" s="42"/>
      <c r="L33" s="25"/>
      <c r="M33" s="25"/>
      <c r="N33" s="25"/>
      <c r="O33" s="25"/>
      <c r="P33" s="25"/>
      <c r="Q33" s="25"/>
      <c r="R33" s="25"/>
      <c r="S33" s="26"/>
      <c r="T33" s="25"/>
      <c r="U33" s="25"/>
      <c r="V33" s="25"/>
      <c r="W33" s="27"/>
      <c r="X33" s="25"/>
      <c r="Y33" s="25"/>
      <c r="Z33" s="25"/>
      <c r="AA33" s="24"/>
      <c r="AB33" s="25"/>
      <c r="AC33" s="25"/>
      <c r="AD33" s="24"/>
      <c r="AE33" s="33"/>
      <c r="AF33" s="25"/>
      <c r="AG33" s="34"/>
      <c r="AH33" s="35"/>
      <c r="AI33" s="25"/>
      <c r="AJ33" s="25"/>
      <c r="AK33" s="34"/>
      <c r="AL33" s="24"/>
      <c r="AM33" s="33"/>
      <c r="AN33" s="25"/>
      <c r="AO33" s="34"/>
      <c r="AP33" s="35"/>
      <c r="AQ33" s="25"/>
      <c r="AR33" s="25"/>
      <c r="AS33" s="25"/>
      <c r="AT33" s="42"/>
      <c r="AU33" s="25"/>
      <c r="AV33" s="25"/>
      <c r="AW33" s="34"/>
      <c r="AX33" s="35"/>
      <c r="AY33" s="25"/>
      <c r="AZ33" s="25"/>
      <c r="BA33" s="34"/>
      <c r="BB33" s="24"/>
      <c r="BC33" s="48"/>
      <c r="BD33" s="49"/>
      <c r="BE33" s="49"/>
      <c r="BF33" s="49"/>
      <c r="BG33" s="49"/>
      <c r="BH33" s="49"/>
      <c r="BI33" s="49"/>
      <c r="BJ33" s="24"/>
      <c r="BK33" s="33"/>
      <c r="BL33" s="25"/>
      <c r="BM33" s="25"/>
      <c r="BN33" s="25"/>
      <c r="BO33" s="25"/>
      <c r="BP33" s="25"/>
      <c r="BQ33" s="25"/>
      <c r="BR33" s="42"/>
      <c r="BS33" s="33"/>
      <c r="BT33" s="25"/>
      <c r="BU33" s="34"/>
      <c r="BV33" s="35"/>
      <c r="BW33" s="25"/>
      <c r="BX33" s="25"/>
      <c r="BY33" s="25"/>
      <c r="BZ33" s="42"/>
      <c r="CA33" s="48"/>
      <c r="CB33" s="49"/>
      <c r="CC33" s="50"/>
      <c r="CD33" s="51"/>
      <c r="CE33" s="49"/>
      <c r="CF33" s="49"/>
      <c r="CG33" s="49"/>
      <c r="CH33" s="42"/>
      <c r="CI33" s="48"/>
      <c r="CJ33" s="49"/>
      <c r="CK33" s="50"/>
      <c r="CL33" s="51"/>
      <c r="CM33" s="49"/>
      <c r="CN33" s="49"/>
      <c r="CO33" s="50"/>
      <c r="CP33" s="42"/>
      <c r="CQ33" s="48"/>
      <c r="CR33" s="49"/>
      <c r="CS33" s="50"/>
      <c r="CT33" s="51"/>
      <c r="CU33" s="49"/>
      <c r="CV33" s="49"/>
      <c r="CW33" s="42"/>
      <c r="CX33" s="33"/>
      <c r="CY33" s="25"/>
      <c r="CZ33" s="34"/>
      <c r="DA33" s="35"/>
      <c r="DB33" s="25"/>
      <c r="DC33" s="34"/>
      <c r="DD33" s="42"/>
      <c r="DE33" s="49"/>
      <c r="DF33" s="49"/>
      <c r="DG33" s="49"/>
      <c r="DH33" s="49"/>
      <c r="DI33" s="49"/>
      <c r="DJ33" s="49"/>
      <c r="DK33" s="49"/>
      <c r="DL33" s="56"/>
      <c r="DM33" s="24"/>
      <c r="DN33" s="33"/>
      <c r="DO33" s="25"/>
      <c r="DP33" s="25"/>
      <c r="DQ33" s="25"/>
      <c r="DR33" s="25"/>
      <c r="DS33" s="25"/>
      <c r="DT33" s="25"/>
      <c r="DU33" s="57"/>
      <c r="DV33" s="49"/>
      <c r="DW33" s="49"/>
      <c r="DX33" s="49"/>
      <c r="DY33" s="49"/>
      <c r="DZ33" s="49"/>
      <c r="EA33" s="49"/>
      <c r="EB33" s="49"/>
      <c r="EC33" s="49"/>
      <c r="ED33" s="56"/>
      <c r="EE33" s="42"/>
      <c r="EF33" s="49"/>
      <c r="EG33" s="49"/>
      <c r="EH33" s="49"/>
      <c r="EI33" s="49"/>
      <c r="EJ33" s="49"/>
      <c r="EK33" s="49"/>
      <c r="EL33" s="49"/>
      <c r="EM33" s="58"/>
      <c r="EN33" s="39"/>
      <c r="EO33" s="40">
        <f t="shared" si="4"/>
        <v>46201</v>
      </c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</row>
    <row r="34" spans="1:201" x14ac:dyDescent="0.35">
      <c r="B34" s="41">
        <f t="shared" si="3"/>
        <v>46202</v>
      </c>
      <c r="C34" s="24"/>
      <c r="D34" s="49"/>
      <c r="E34" s="49"/>
      <c r="F34" s="49"/>
      <c r="G34" s="25"/>
      <c r="H34" s="25"/>
      <c r="I34" s="25"/>
      <c r="J34" s="25"/>
      <c r="K34" s="42"/>
      <c r="L34" s="25"/>
      <c r="M34" s="25"/>
      <c r="N34" s="25"/>
      <c r="O34" s="25"/>
      <c r="P34" s="25"/>
      <c r="Q34" s="25"/>
      <c r="R34" s="25"/>
      <c r="S34" s="26"/>
      <c r="T34" s="25"/>
      <c r="U34" s="25"/>
      <c r="V34" s="25"/>
      <c r="W34" s="27"/>
      <c r="X34" s="25"/>
      <c r="Y34" s="25"/>
      <c r="Z34" s="25"/>
      <c r="AA34" s="24"/>
      <c r="AB34" s="25"/>
      <c r="AC34" s="25"/>
      <c r="AD34" s="24"/>
      <c r="AE34" s="33"/>
      <c r="AF34" s="25"/>
      <c r="AG34" s="34"/>
      <c r="AH34" s="35"/>
      <c r="AI34" s="25"/>
      <c r="AJ34" s="25"/>
      <c r="AK34" s="34"/>
      <c r="AL34" s="24"/>
      <c r="AM34" s="33"/>
      <c r="AN34" s="25"/>
      <c r="AO34" s="34"/>
      <c r="AP34" s="35"/>
      <c r="AQ34" s="25"/>
      <c r="AR34" s="25"/>
      <c r="AS34" s="25"/>
      <c r="AT34" s="42"/>
      <c r="AU34" s="25"/>
      <c r="AV34" s="25"/>
      <c r="AW34" s="50"/>
      <c r="AX34" s="51"/>
      <c r="AY34" s="49"/>
      <c r="AZ34" s="49"/>
      <c r="BA34" s="50"/>
      <c r="BB34" s="24"/>
      <c r="BC34" s="48"/>
      <c r="BD34" s="49"/>
      <c r="BE34" s="49"/>
      <c r="BF34" s="49"/>
      <c r="BG34" s="49"/>
      <c r="BH34" s="49"/>
      <c r="BI34" s="49"/>
      <c r="BJ34" s="24"/>
      <c r="BK34" s="48"/>
      <c r="BL34" s="49"/>
      <c r="BM34" s="49"/>
      <c r="BN34" s="49"/>
      <c r="BO34" s="49"/>
      <c r="BP34" s="49"/>
      <c r="BQ34" s="49"/>
      <c r="BR34" s="42"/>
      <c r="BS34" s="33"/>
      <c r="BT34" s="25"/>
      <c r="BU34" s="34"/>
      <c r="BV34" s="35"/>
      <c r="BW34" s="25"/>
      <c r="BX34" s="25"/>
      <c r="BY34" s="25"/>
      <c r="BZ34" s="42"/>
      <c r="CA34" s="48"/>
      <c r="CB34" s="49"/>
      <c r="CC34" s="50"/>
      <c r="CD34" s="51"/>
      <c r="CE34" s="49"/>
      <c r="CF34" s="49"/>
      <c r="CG34" s="49"/>
      <c r="CH34" s="42"/>
      <c r="CI34" s="48"/>
      <c r="CJ34" s="49"/>
      <c r="CK34" s="50"/>
      <c r="CL34" s="51"/>
      <c r="CM34" s="49"/>
      <c r="CN34" s="49"/>
      <c r="CO34" s="50"/>
      <c r="CP34" s="42"/>
      <c r="CQ34" s="48"/>
      <c r="CR34" s="49"/>
      <c r="CS34" s="50"/>
      <c r="CT34" s="51"/>
      <c r="CU34" s="49"/>
      <c r="CV34" s="49"/>
      <c r="CW34" s="42"/>
      <c r="CX34" s="33"/>
      <c r="CY34" s="25"/>
      <c r="CZ34" s="34"/>
      <c r="DA34" s="35"/>
      <c r="DB34" s="25"/>
      <c r="DC34" s="34"/>
      <c r="DD34" s="42"/>
      <c r="DE34" s="49"/>
      <c r="DF34" s="49"/>
      <c r="DG34" s="49"/>
      <c r="DH34" s="49"/>
      <c r="DI34" s="49"/>
      <c r="DJ34" s="49"/>
      <c r="DK34" s="49"/>
      <c r="DL34" s="56"/>
      <c r="DM34" s="24"/>
      <c r="DN34" s="33"/>
      <c r="DO34" s="25"/>
      <c r="DP34" s="25"/>
      <c r="DQ34" s="25"/>
      <c r="DR34" s="25"/>
      <c r="DS34" s="25"/>
      <c r="DT34" s="25"/>
      <c r="DU34" s="57"/>
      <c r="DV34" s="49"/>
      <c r="DW34" s="49"/>
      <c r="DX34" s="49"/>
      <c r="DY34" s="49"/>
      <c r="DZ34" s="49"/>
      <c r="EA34" s="49"/>
      <c r="EB34" s="49"/>
      <c r="EC34" s="49"/>
      <c r="ED34" s="56"/>
      <c r="EE34" s="42"/>
      <c r="EF34" s="49"/>
      <c r="EG34" s="49"/>
      <c r="EH34" s="49"/>
      <c r="EI34" s="49"/>
      <c r="EJ34" s="49"/>
      <c r="EK34" s="49"/>
      <c r="EL34" s="49"/>
      <c r="EM34" s="58"/>
      <c r="EN34" s="39"/>
      <c r="EO34" s="40">
        <f t="shared" si="4"/>
        <v>46202</v>
      </c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</row>
    <row r="35" spans="1:201" x14ac:dyDescent="0.35">
      <c r="B35" s="41">
        <f t="shared" si="3"/>
        <v>46203</v>
      </c>
      <c r="C35" s="24"/>
      <c r="D35" s="49"/>
      <c r="E35" s="49"/>
      <c r="F35" s="49"/>
      <c r="G35" s="25"/>
      <c r="H35" s="25"/>
      <c r="I35" s="25"/>
      <c r="J35" s="25"/>
      <c r="K35" s="42"/>
      <c r="L35" s="25"/>
      <c r="M35" s="25"/>
      <c r="N35" s="25"/>
      <c r="O35" s="25"/>
      <c r="P35" s="25"/>
      <c r="Q35" s="25"/>
      <c r="R35" s="25"/>
      <c r="S35" s="26"/>
      <c r="T35" s="25"/>
      <c r="U35" s="25"/>
      <c r="V35" s="25"/>
      <c r="W35" s="27"/>
      <c r="X35" s="25"/>
      <c r="Y35" s="25"/>
      <c r="Z35" s="25"/>
      <c r="AA35" s="24"/>
      <c r="AB35" s="25"/>
      <c r="AC35" s="25"/>
      <c r="AD35" s="24"/>
      <c r="AE35" s="33"/>
      <c r="AF35" s="25"/>
      <c r="AG35" s="34"/>
      <c r="AH35" s="35"/>
      <c r="AI35" s="25"/>
      <c r="AJ35" s="25"/>
      <c r="AK35" s="34"/>
      <c r="AL35" s="24"/>
      <c r="AM35" s="33"/>
      <c r="AN35" s="25"/>
      <c r="AO35" s="34"/>
      <c r="AP35" s="35"/>
      <c r="AQ35" s="25"/>
      <c r="AR35" s="25"/>
      <c r="AS35" s="25"/>
      <c r="AT35" s="42"/>
      <c r="AU35" s="25"/>
      <c r="AV35" s="25"/>
      <c r="AW35" s="50"/>
      <c r="AX35" s="51"/>
      <c r="AY35" s="49"/>
      <c r="AZ35" s="49"/>
      <c r="BA35" s="50"/>
      <c r="BB35" s="42"/>
      <c r="BC35" s="48"/>
      <c r="BD35" s="49"/>
      <c r="BE35" s="49"/>
      <c r="BF35" s="51"/>
      <c r="BG35" s="49"/>
      <c r="BH35" s="49"/>
      <c r="BI35" s="49"/>
      <c r="BJ35" s="42"/>
      <c r="BK35" s="48"/>
      <c r="BL35" s="49"/>
      <c r="BM35" s="49"/>
      <c r="BN35" s="49"/>
      <c r="BO35" s="49"/>
      <c r="BP35" s="49"/>
      <c r="BQ35" s="49"/>
      <c r="BR35" s="42"/>
      <c r="BS35" s="33"/>
      <c r="BT35" s="25"/>
      <c r="BU35" s="34"/>
      <c r="BV35" s="35"/>
      <c r="BW35" s="25"/>
      <c r="BX35" s="25"/>
      <c r="BY35" s="25"/>
      <c r="BZ35" s="42"/>
      <c r="CA35" s="48"/>
      <c r="CB35" s="49"/>
      <c r="CC35" s="50"/>
      <c r="CD35" s="51"/>
      <c r="CE35" s="49"/>
      <c r="CF35" s="49"/>
      <c r="CG35" s="49"/>
      <c r="CH35" s="42"/>
      <c r="CI35" s="48"/>
      <c r="CJ35" s="49"/>
      <c r="CK35" s="50"/>
      <c r="CL35" s="51"/>
      <c r="CM35" s="49"/>
      <c r="CN35" s="49"/>
      <c r="CO35" s="50"/>
      <c r="CP35" s="42"/>
      <c r="CQ35" s="48"/>
      <c r="CR35" s="49"/>
      <c r="CS35" s="50"/>
      <c r="CT35" s="51"/>
      <c r="CU35" s="49"/>
      <c r="CV35" s="49"/>
      <c r="CW35" s="42"/>
      <c r="CX35" s="33"/>
      <c r="CY35" s="25"/>
      <c r="CZ35" s="34"/>
      <c r="DA35" s="35"/>
      <c r="DB35" s="25"/>
      <c r="DC35" s="34"/>
      <c r="DD35" s="42"/>
      <c r="DE35" s="49"/>
      <c r="DF35" s="49"/>
      <c r="DG35" s="49"/>
      <c r="DH35" s="49"/>
      <c r="DI35" s="49"/>
      <c r="DJ35" s="49"/>
      <c r="DK35" s="49"/>
      <c r="DL35" s="56"/>
      <c r="DM35" s="24"/>
      <c r="DN35" s="33"/>
      <c r="DO35" s="25"/>
      <c r="DP35" s="25"/>
      <c r="DQ35" s="25"/>
      <c r="DR35" s="25"/>
      <c r="DS35" s="25"/>
      <c r="DT35" s="25"/>
      <c r="DU35" s="57"/>
      <c r="DV35" s="49"/>
      <c r="DW35" s="49"/>
      <c r="DX35" s="49"/>
      <c r="DY35" s="49"/>
      <c r="DZ35" s="49"/>
      <c r="EA35" s="49"/>
      <c r="EB35" s="49"/>
      <c r="EC35" s="49"/>
      <c r="ED35" s="56"/>
      <c r="EE35" s="42"/>
      <c r="EF35" s="49"/>
      <c r="EG35" s="49"/>
      <c r="EH35" s="49"/>
      <c r="EI35" s="49"/>
      <c r="EJ35" s="49"/>
      <c r="EK35" s="49"/>
      <c r="EL35" s="49"/>
      <c r="EM35" s="58"/>
      <c r="EN35" s="39"/>
      <c r="EO35" s="40">
        <f t="shared" si="4"/>
        <v>46203</v>
      </c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</row>
    <row r="36" spans="1:201" x14ac:dyDescent="0.35">
      <c r="B36" s="41">
        <f t="shared" si="3"/>
        <v>46204</v>
      </c>
      <c r="C36" s="24"/>
      <c r="D36" s="49"/>
      <c r="E36" s="49"/>
      <c r="F36" s="49"/>
      <c r="G36" s="25"/>
      <c r="H36" s="25"/>
      <c r="I36" s="25"/>
      <c r="J36" s="25"/>
      <c r="K36" s="42"/>
      <c r="L36" s="25"/>
      <c r="M36" s="25"/>
      <c r="N36" s="25"/>
      <c r="O36" s="25"/>
      <c r="P36" s="25"/>
      <c r="Q36" s="25"/>
      <c r="R36" s="25"/>
      <c r="S36" s="26"/>
      <c r="T36" s="25"/>
      <c r="U36" s="25"/>
      <c r="V36" s="25"/>
      <c r="W36" s="27"/>
      <c r="X36" s="25"/>
      <c r="Y36" s="25"/>
      <c r="Z36" s="25"/>
      <c r="AA36" s="24"/>
      <c r="AB36" s="25"/>
      <c r="AC36" s="25"/>
      <c r="AD36" s="24"/>
      <c r="AE36" s="33"/>
      <c r="AF36" s="25"/>
      <c r="AG36" s="34"/>
      <c r="AH36" s="35"/>
      <c r="AI36" s="25"/>
      <c r="AJ36" s="25"/>
      <c r="AK36" s="34"/>
      <c r="AL36" s="24"/>
      <c r="AM36" s="33"/>
      <c r="AN36" s="25"/>
      <c r="AO36" s="34"/>
      <c r="AP36" s="35"/>
      <c r="AQ36" s="25"/>
      <c r="AR36" s="25"/>
      <c r="AS36" s="25"/>
      <c r="AT36" s="42"/>
      <c r="AU36" s="25"/>
      <c r="AV36" s="25"/>
      <c r="AW36" s="50"/>
      <c r="AX36" s="51"/>
      <c r="AY36" s="49"/>
      <c r="AZ36" s="49"/>
      <c r="BA36" s="50"/>
      <c r="BB36" s="42"/>
      <c r="BC36" s="48"/>
      <c r="BD36" s="49"/>
      <c r="BE36" s="49"/>
      <c r="BF36" s="51"/>
      <c r="BG36" s="49"/>
      <c r="BH36" s="49"/>
      <c r="BI36" s="49"/>
      <c r="BJ36" s="42"/>
      <c r="BK36" s="48"/>
      <c r="BL36" s="49"/>
      <c r="BM36" s="49"/>
      <c r="BN36" s="49"/>
      <c r="BO36" s="49"/>
      <c r="BP36" s="49"/>
      <c r="BQ36" s="49"/>
      <c r="BR36" s="42"/>
      <c r="BS36" s="48"/>
      <c r="BT36" s="25"/>
      <c r="BU36" s="34"/>
      <c r="BV36" s="35"/>
      <c r="BW36" s="25"/>
      <c r="BX36" s="25"/>
      <c r="BY36" s="25"/>
      <c r="BZ36" s="54"/>
      <c r="CA36" s="48"/>
      <c r="CB36" s="49"/>
      <c r="CC36" s="50"/>
      <c r="CD36" s="51"/>
      <c r="CE36" s="49"/>
      <c r="CF36" s="49"/>
      <c r="CG36" s="49"/>
      <c r="CH36" s="42"/>
      <c r="CI36" s="48"/>
      <c r="CJ36" s="49"/>
      <c r="CK36" s="50"/>
      <c r="CL36" s="51"/>
      <c r="CM36" s="49"/>
      <c r="CN36" s="49"/>
      <c r="CO36" s="50"/>
      <c r="CP36" s="42"/>
      <c r="CQ36" s="48"/>
      <c r="CR36" s="49"/>
      <c r="CS36" s="50"/>
      <c r="CT36" s="51"/>
      <c r="CU36" s="49"/>
      <c r="CV36" s="49"/>
      <c r="CW36" s="42"/>
      <c r="CX36" s="33"/>
      <c r="CY36" s="25"/>
      <c r="CZ36" s="34"/>
      <c r="DA36" s="35"/>
      <c r="DB36" s="25"/>
      <c r="DC36" s="34"/>
      <c r="DD36" s="54"/>
      <c r="DE36" s="55"/>
      <c r="DF36" s="55"/>
      <c r="DG36" s="55"/>
      <c r="DH36" s="55"/>
      <c r="DI36" s="55"/>
      <c r="DJ36" s="55"/>
      <c r="DK36" s="55"/>
      <c r="DL36" s="56"/>
      <c r="DM36" s="24"/>
      <c r="DN36" s="33"/>
      <c r="DO36" s="25"/>
      <c r="DP36" s="25"/>
      <c r="DQ36" s="25"/>
      <c r="DR36" s="25"/>
      <c r="DS36" s="25"/>
      <c r="DT36" s="25"/>
      <c r="DU36" s="57"/>
      <c r="DV36" s="55"/>
      <c r="DW36" s="55"/>
      <c r="DX36" s="55"/>
      <c r="DY36" s="55"/>
      <c r="DZ36" s="55"/>
      <c r="EA36" s="55"/>
      <c r="EB36" s="55"/>
      <c r="EC36" s="55"/>
      <c r="ED36" s="56"/>
      <c r="EE36" s="54"/>
      <c r="EF36" s="55"/>
      <c r="EG36" s="55"/>
      <c r="EH36" s="55"/>
      <c r="EI36" s="55"/>
      <c r="EJ36" s="55"/>
      <c r="EK36" s="55"/>
      <c r="EL36" s="55"/>
      <c r="EM36" s="58"/>
      <c r="EN36" s="39"/>
      <c r="EO36" s="40">
        <f t="shared" si="4"/>
        <v>46204</v>
      </c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</row>
    <row r="37" spans="1:201" ht="15" thickBot="1" x14ac:dyDescent="0.4">
      <c r="B37" s="41">
        <f t="shared" si="3"/>
        <v>46205</v>
      </c>
      <c r="C37" s="24"/>
      <c r="D37" s="49"/>
      <c r="E37" s="49"/>
      <c r="F37" s="49"/>
      <c r="G37" s="25"/>
      <c r="H37" s="25"/>
      <c r="I37" s="25"/>
      <c r="J37" s="25"/>
      <c r="K37" s="42"/>
      <c r="L37" s="25"/>
      <c r="M37" s="25"/>
      <c r="N37" s="25"/>
      <c r="O37" s="25"/>
      <c r="P37" s="25"/>
      <c r="Q37" s="25"/>
      <c r="R37" s="25"/>
      <c r="S37" s="26"/>
      <c r="T37" s="25"/>
      <c r="U37" s="25"/>
      <c r="V37" s="25"/>
      <c r="W37" s="27"/>
      <c r="X37" s="25"/>
      <c r="Y37" s="25"/>
      <c r="Z37" s="25"/>
      <c r="AA37" s="24"/>
      <c r="AB37" s="25"/>
      <c r="AC37" s="25"/>
      <c r="AD37" s="24"/>
      <c r="AE37" s="33"/>
      <c r="AF37" s="25"/>
      <c r="AG37" s="34"/>
      <c r="AH37" s="35"/>
      <c r="AI37" s="25"/>
      <c r="AJ37" s="25"/>
      <c r="AK37" s="34"/>
      <c r="AL37" s="24"/>
      <c r="AM37" s="33"/>
      <c r="AN37" s="25"/>
      <c r="AO37" s="34"/>
      <c r="AP37" s="35"/>
      <c r="AQ37" s="25"/>
      <c r="AR37" s="25"/>
      <c r="AS37" s="25"/>
      <c r="AT37" s="42"/>
      <c r="AU37" s="25"/>
      <c r="AV37" s="25"/>
      <c r="AW37" s="50"/>
      <c r="AX37" s="51"/>
      <c r="AY37" s="49"/>
      <c r="AZ37" s="49"/>
      <c r="BA37" s="50"/>
      <c r="BB37" s="42"/>
      <c r="BC37" s="48"/>
      <c r="BD37" s="49"/>
      <c r="BE37" s="49"/>
      <c r="BF37" s="51"/>
      <c r="BG37" s="49"/>
      <c r="BH37" s="49"/>
      <c r="BI37" s="49"/>
      <c r="BJ37" s="42"/>
      <c r="BK37" s="48"/>
      <c r="BL37" s="49"/>
      <c r="BM37" s="49"/>
      <c r="BN37" s="49"/>
      <c r="BO37" s="49"/>
      <c r="BP37" s="49"/>
      <c r="BQ37" s="49"/>
      <c r="BR37" s="42"/>
      <c r="BS37" s="48"/>
      <c r="BT37" s="25"/>
      <c r="BU37" s="34"/>
      <c r="BV37" s="35"/>
      <c r="BW37" s="25"/>
      <c r="BX37" s="25"/>
      <c r="BY37" s="25"/>
      <c r="BZ37" s="54"/>
      <c r="CA37" s="74"/>
      <c r="CB37" s="55"/>
      <c r="CC37" s="75"/>
      <c r="CD37" s="76"/>
      <c r="CE37" s="55"/>
      <c r="CF37" s="55"/>
      <c r="CG37" s="55"/>
      <c r="CH37" s="42"/>
      <c r="CI37" s="48"/>
      <c r="CJ37" s="49"/>
      <c r="CK37" s="50"/>
      <c r="CL37" s="51"/>
      <c r="CM37" s="49"/>
      <c r="CN37" s="49"/>
      <c r="CO37" s="50"/>
      <c r="CP37" s="42"/>
      <c r="CQ37" s="48"/>
      <c r="CR37" s="49"/>
      <c r="CS37" s="50"/>
      <c r="CT37" s="51"/>
      <c r="CU37" s="49"/>
      <c r="CV37" s="49"/>
      <c r="CW37" s="42"/>
      <c r="CX37" s="33"/>
      <c r="CY37" s="25"/>
      <c r="CZ37" s="34"/>
      <c r="DA37" s="35"/>
      <c r="DB37" s="25"/>
      <c r="DC37" s="34"/>
      <c r="DD37" s="54"/>
      <c r="DE37" s="55"/>
      <c r="DF37" s="55"/>
      <c r="DG37" s="55"/>
      <c r="DH37" s="55"/>
      <c r="DI37" s="55"/>
      <c r="DJ37" s="55"/>
      <c r="DK37" s="55"/>
      <c r="DL37" s="56"/>
      <c r="DM37" s="54"/>
      <c r="DN37" s="55"/>
      <c r="DO37" s="55"/>
      <c r="DP37" s="55"/>
      <c r="DQ37" s="55"/>
      <c r="DR37" s="55"/>
      <c r="DS37" s="55"/>
      <c r="DT37" s="55"/>
      <c r="DU37" s="57"/>
      <c r="DV37" s="55"/>
      <c r="DW37" s="55"/>
      <c r="DX37" s="55"/>
      <c r="DY37" s="55"/>
      <c r="DZ37" s="55"/>
      <c r="EA37" s="55"/>
      <c r="EB37" s="55"/>
      <c r="EC37" s="55"/>
      <c r="ED37" s="56"/>
      <c r="EE37" s="54"/>
      <c r="EF37" s="55"/>
      <c r="EG37" s="55"/>
      <c r="EH37" s="55"/>
      <c r="EI37" s="55"/>
      <c r="EJ37" s="55"/>
      <c r="EK37" s="55"/>
      <c r="EL37" s="55"/>
      <c r="EM37" s="58"/>
      <c r="EN37" s="39"/>
      <c r="EO37" s="40">
        <f t="shared" si="4"/>
        <v>46205</v>
      </c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</row>
    <row r="38" spans="1:201" s="12" customFormat="1" ht="17" customHeight="1" thickBot="1" x14ac:dyDescent="0.4">
      <c r="A38" s="3"/>
      <c r="B38" s="59"/>
      <c r="C38" s="60"/>
      <c r="D38" s="61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0"/>
      <c r="T38" s="61"/>
      <c r="U38" s="61"/>
      <c r="V38" s="61"/>
      <c r="W38" s="61"/>
      <c r="X38" s="61"/>
      <c r="Y38" s="61"/>
      <c r="Z38" s="61"/>
      <c r="AA38" s="60"/>
      <c r="AB38" s="61"/>
      <c r="AC38" s="61"/>
      <c r="AD38" s="60"/>
      <c r="AE38" s="62"/>
      <c r="AF38" s="61"/>
      <c r="AG38" s="63"/>
      <c r="AH38" s="64"/>
      <c r="AI38" s="61"/>
      <c r="AJ38" s="61"/>
      <c r="AK38" s="63"/>
      <c r="AL38" s="60"/>
      <c r="AM38" s="61"/>
      <c r="AN38" s="61"/>
      <c r="AO38" s="61"/>
      <c r="AP38" s="61"/>
      <c r="AQ38" s="61"/>
      <c r="AR38" s="61"/>
      <c r="AS38" s="61"/>
      <c r="AT38" s="60"/>
      <c r="AU38" s="62"/>
      <c r="AV38" s="61"/>
      <c r="AW38" s="63"/>
      <c r="AX38" s="64"/>
      <c r="AY38" s="61"/>
      <c r="AZ38" s="61"/>
      <c r="BA38" s="63"/>
      <c r="BB38" s="60"/>
      <c r="BC38" s="62"/>
      <c r="BD38" s="61"/>
      <c r="BE38" s="61"/>
      <c r="BF38" s="61"/>
      <c r="BG38" s="61"/>
      <c r="BH38" s="61"/>
      <c r="BI38" s="61"/>
      <c r="BJ38" s="60"/>
      <c r="BK38" s="61"/>
      <c r="BL38" s="61"/>
      <c r="BM38" s="61"/>
      <c r="BN38" s="61"/>
      <c r="BO38" s="61"/>
      <c r="BP38" s="61"/>
      <c r="BQ38" s="61"/>
      <c r="BR38" s="60"/>
      <c r="BS38" s="62"/>
      <c r="BT38" s="61"/>
      <c r="BU38" s="63"/>
      <c r="BV38" s="64"/>
      <c r="BW38" s="61"/>
      <c r="BX38" s="61"/>
      <c r="BY38" s="61"/>
      <c r="BZ38" s="60"/>
      <c r="CA38" s="61"/>
      <c r="CB38" s="61"/>
      <c r="CC38" s="63"/>
      <c r="CD38" s="64"/>
      <c r="CE38" s="61"/>
      <c r="CF38" s="61"/>
      <c r="CG38" s="61"/>
      <c r="CH38" s="60"/>
      <c r="CI38" s="62"/>
      <c r="CJ38" s="61"/>
      <c r="CK38" s="61"/>
      <c r="CL38" s="61"/>
      <c r="CM38" s="61"/>
      <c r="CN38" s="61"/>
      <c r="CO38" s="61"/>
      <c r="CP38" s="60"/>
      <c r="CQ38" s="62"/>
      <c r="CR38" s="61"/>
      <c r="CS38" s="63"/>
      <c r="CT38" s="64"/>
      <c r="CU38" s="61"/>
      <c r="CV38" s="61"/>
      <c r="CW38" s="60"/>
      <c r="CX38" s="62"/>
      <c r="CY38" s="61"/>
      <c r="CZ38" s="63"/>
      <c r="DA38" s="64"/>
      <c r="DB38" s="61"/>
      <c r="DC38" s="63"/>
      <c r="DD38" s="60"/>
      <c r="DE38" s="61"/>
      <c r="DF38" s="61"/>
      <c r="DG38" s="61"/>
      <c r="DH38" s="61"/>
      <c r="DI38" s="61"/>
      <c r="DJ38" s="61"/>
      <c r="DK38" s="61"/>
      <c r="DL38" s="65"/>
      <c r="DM38" s="60"/>
      <c r="DN38" s="61"/>
      <c r="DO38" s="61"/>
      <c r="DP38" s="61"/>
      <c r="DQ38" s="61"/>
      <c r="DR38" s="61"/>
      <c r="DS38" s="61"/>
      <c r="DT38" s="61"/>
      <c r="DU38" s="66"/>
      <c r="DV38" s="61"/>
      <c r="DW38" s="61"/>
      <c r="DX38" s="61"/>
      <c r="DY38" s="61"/>
      <c r="DZ38" s="61"/>
      <c r="EA38" s="61"/>
      <c r="EB38" s="61"/>
      <c r="EC38" s="61"/>
      <c r="ED38" s="61"/>
      <c r="EE38" s="60"/>
      <c r="EF38" s="61"/>
      <c r="EG38" s="61"/>
      <c r="EH38" s="61"/>
      <c r="EI38" s="61"/>
      <c r="EJ38" s="61"/>
      <c r="EK38" s="61"/>
      <c r="EL38" s="61"/>
      <c r="EM38" s="61"/>
      <c r="EN38" s="67"/>
      <c r="EO38" s="40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  <c r="FZ38" s="68"/>
      <c r="GA38" s="68"/>
      <c r="GB38" s="68"/>
      <c r="GC38" s="68"/>
      <c r="GD38" s="68"/>
      <c r="GE38" s="68"/>
      <c r="GF38" s="68"/>
      <c r="GG38" s="68"/>
      <c r="GH38" s="68"/>
      <c r="GI38" s="68"/>
      <c r="GJ38" s="68"/>
      <c r="GK38" s="68"/>
      <c r="GL38" s="68"/>
      <c r="GM38" s="68"/>
      <c r="GN38" s="68"/>
      <c r="GO38" s="68"/>
      <c r="GP38" s="68"/>
      <c r="GQ38" s="68"/>
      <c r="GR38" s="68"/>
      <c r="GS38" s="68"/>
    </row>
    <row r="39" spans="1:201" s="12" customFormat="1" ht="17" hidden="1" customHeight="1" thickBot="1" x14ac:dyDescent="0.4">
      <c r="A39" s="3"/>
      <c r="B39" s="69">
        <f>B6-1</f>
        <v>46173</v>
      </c>
      <c r="C39" s="60"/>
      <c r="D39" s="61"/>
      <c r="E39" s="61"/>
      <c r="F39" s="61"/>
      <c r="G39" s="61"/>
      <c r="H39" s="61"/>
      <c r="I39" s="61"/>
      <c r="J39" s="61"/>
      <c r="K39" s="60"/>
      <c r="L39" s="61"/>
      <c r="M39" s="61"/>
      <c r="N39" s="61"/>
      <c r="O39" s="61"/>
      <c r="P39" s="61"/>
      <c r="Q39" s="61"/>
      <c r="R39" s="61"/>
      <c r="S39" s="60"/>
      <c r="T39" s="61"/>
      <c r="U39" s="61"/>
      <c r="V39" s="61"/>
      <c r="W39" s="61"/>
      <c r="X39" s="61"/>
      <c r="Y39" s="61"/>
      <c r="Z39" s="61"/>
      <c r="AA39" s="60"/>
      <c r="AB39" s="61"/>
      <c r="AC39" s="61"/>
      <c r="AD39" s="60"/>
      <c r="AE39" s="61"/>
      <c r="AF39" s="61"/>
      <c r="AG39" s="61"/>
      <c r="AH39" s="61"/>
      <c r="AI39" s="61"/>
      <c r="AJ39" s="61"/>
      <c r="AK39" s="61"/>
      <c r="AL39" s="60"/>
      <c r="AM39" s="61"/>
      <c r="AN39" s="61"/>
      <c r="AO39" s="61"/>
      <c r="AP39" s="61"/>
      <c r="AQ39" s="61"/>
      <c r="AR39" s="61"/>
      <c r="AS39" s="61"/>
      <c r="AT39" s="60"/>
      <c r="AU39" s="61"/>
      <c r="AV39" s="61"/>
      <c r="AW39" s="61"/>
      <c r="AX39" s="61"/>
      <c r="AY39" s="61"/>
      <c r="AZ39" s="61"/>
      <c r="BA39" s="61"/>
      <c r="BB39" s="60"/>
      <c r="BC39" s="61"/>
      <c r="BD39" s="61"/>
      <c r="BE39" s="61"/>
      <c r="BF39" s="61"/>
      <c r="BG39" s="61"/>
      <c r="BH39" s="61"/>
      <c r="BI39" s="61"/>
      <c r="BJ39" s="60"/>
      <c r="BK39" s="61"/>
      <c r="BL39" s="61"/>
      <c r="BM39" s="61"/>
      <c r="BN39" s="61"/>
      <c r="BO39" s="61"/>
      <c r="BP39" s="61"/>
      <c r="BQ39" s="61"/>
      <c r="BR39" s="60"/>
      <c r="BS39" s="61"/>
      <c r="BT39" s="61"/>
      <c r="BU39" s="61"/>
      <c r="BV39" s="61"/>
      <c r="BW39" s="61"/>
      <c r="BX39" s="61"/>
      <c r="BY39" s="61"/>
      <c r="BZ39" s="60"/>
      <c r="CA39" s="61"/>
      <c r="CB39" s="61"/>
      <c r="CC39" s="61"/>
      <c r="CD39" s="61"/>
      <c r="CE39" s="61"/>
      <c r="CF39" s="61"/>
      <c r="CG39" s="61"/>
      <c r="CH39" s="60"/>
      <c r="CI39" s="61"/>
      <c r="CJ39" s="61"/>
      <c r="CK39" s="61"/>
      <c r="CL39" s="61"/>
      <c r="CM39" s="61"/>
      <c r="CN39" s="61"/>
      <c r="CO39" s="61"/>
      <c r="CP39" s="60"/>
      <c r="CQ39" s="61"/>
      <c r="CR39" s="61"/>
      <c r="CS39" s="61"/>
      <c r="CT39" s="61"/>
      <c r="CU39" s="61"/>
      <c r="CV39" s="61"/>
      <c r="CW39" s="60"/>
      <c r="CX39" s="61"/>
      <c r="CY39" s="61"/>
      <c r="CZ39" s="61"/>
      <c r="DA39" s="61"/>
      <c r="DB39" s="61"/>
      <c r="DC39" s="61"/>
      <c r="DD39" s="60"/>
      <c r="DE39" s="61"/>
      <c r="DF39" s="61"/>
      <c r="DG39" s="61"/>
      <c r="DH39" s="61"/>
      <c r="DI39" s="61"/>
      <c r="DJ39" s="61"/>
      <c r="DK39" s="61"/>
      <c r="DL39" s="61"/>
      <c r="DM39" s="60"/>
      <c r="DN39" s="61"/>
      <c r="DO39" s="61"/>
      <c r="DP39" s="61"/>
      <c r="DQ39" s="61"/>
      <c r="DR39" s="61"/>
      <c r="DS39" s="61"/>
      <c r="DT39" s="61"/>
      <c r="DU39" s="66"/>
      <c r="DV39" s="61"/>
      <c r="DW39" s="61"/>
      <c r="DX39" s="61"/>
      <c r="DY39" s="61"/>
      <c r="DZ39" s="61"/>
      <c r="EA39" s="61"/>
      <c r="EB39" s="61"/>
      <c r="EC39" s="61"/>
      <c r="ED39" s="61"/>
      <c r="EE39" s="60"/>
      <c r="EF39" s="61"/>
      <c r="EG39" s="61"/>
      <c r="EH39" s="61"/>
      <c r="EI39" s="61"/>
      <c r="EJ39" s="61"/>
      <c r="EK39" s="61"/>
      <c r="EL39" s="61"/>
      <c r="EM39" s="61"/>
      <c r="EN39" s="67"/>
      <c r="EO39" s="3"/>
    </row>
    <row r="42" spans="1:201" x14ac:dyDescent="0.35">
      <c r="K42" s="2">
        <v>2508574</v>
      </c>
      <c r="L42" s="70">
        <v>4.6557682492125014</v>
      </c>
      <c r="M42" s="70">
        <v>0.24410661993626659</v>
      </c>
      <c r="N42" s="70">
        <v>1.4107210311515626</v>
      </c>
      <c r="O42" s="70">
        <v>52.879466900318668</v>
      </c>
      <c r="P42" s="70">
        <v>2.0197492679107731</v>
      </c>
      <c r="Q42" s="70">
        <v>2.3870219096586345</v>
      </c>
      <c r="R42" s="70">
        <v>6.4265204454801808</v>
      </c>
    </row>
    <row r="43" spans="1:201" x14ac:dyDescent="0.35">
      <c r="K43" s="2">
        <v>75180</v>
      </c>
      <c r="L43" s="70">
        <v>6.24</v>
      </c>
      <c r="M43" s="70">
        <v>0.3</v>
      </c>
      <c r="N43" s="70">
        <v>1.61</v>
      </c>
      <c r="O43" s="70">
        <v>51.72</v>
      </c>
      <c r="P43" s="70">
        <v>2.4</v>
      </c>
      <c r="Q43" s="70">
        <v>2.25</v>
      </c>
      <c r="R43" s="70">
        <v>7.05</v>
      </c>
    </row>
    <row r="44" spans="1:201" x14ac:dyDescent="0.35">
      <c r="K44" s="2">
        <f>SUM(K42:K43)</f>
        <v>2583754</v>
      </c>
      <c r="L44" s="70">
        <f>((L42*$K$42)+(L43*$K$43))/$K$44</f>
        <v>4.7018649530876395</v>
      </c>
      <c r="M44" s="70">
        <f t="shared" ref="M44:R44" si="5">((M42*$K$42)+(M43*$K$43))/$K$44</f>
        <v>0.24573296064563424</v>
      </c>
      <c r="N44" s="70">
        <f t="shared" si="5"/>
        <v>1.4165194906326222</v>
      </c>
      <c r="O44" s="70">
        <f t="shared" si="5"/>
        <v>52.845729663118085</v>
      </c>
      <c r="P44" s="70">
        <f t="shared" si="5"/>
        <v>2.0308134984986963</v>
      </c>
      <c r="Q44" s="70">
        <f t="shared" si="5"/>
        <v>2.3830349561142428</v>
      </c>
      <c r="R44" s="70">
        <f t="shared" si="5"/>
        <v>6.4446619531116349</v>
      </c>
    </row>
  </sheetData>
  <mergeCells count="74">
    <mergeCell ref="B2:B5"/>
    <mergeCell ref="C2:Z2"/>
    <mergeCell ref="AA2:AC2"/>
    <mergeCell ref="AD2:AS2"/>
    <mergeCell ref="AT2:BA2"/>
    <mergeCell ref="DV3:ED3"/>
    <mergeCell ref="CP2:CV2"/>
    <mergeCell ref="CW2:DC2"/>
    <mergeCell ref="DD2:EM2"/>
    <mergeCell ref="C3:J3"/>
    <mergeCell ref="K3:R3"/>
    <mergeCell ref="S3:Z3"/>
    <mergeCell ref="AA3:AC3"/>
    <mergeCell ref="AD3:AK3"/>
    <mergeCell ref="AL3:AS3"/>
    <mergeCell ref="AT3:BA3"/>
    <mergeCell ref="BB2:CO2"/>
    <mergeCell ref="BB3:BI3"/>
    <mergeCell ref="BJ3:BQ3"/>
    <mergeCell ref="BR3:BY3"/>
    <mergeCell ref="BZ3:CG3"/>
    <mergeCell ref="BU4:BV4"/>
    <mergeCell ref="EE3:EM3"/>
    <mergeCell ref="C4:C5"/>
    <mergeCell ref="K4:K5"/>
    <mergeCell ref="S4:S5"/>
    <mergeCell ref="AA4:AA5"/>
    <mergeCell ref="AD4:AD5"/>
    <mergeCell ref="AG4:AH4"/>
    <mergeCell ref="AL4:AL5"/>
    <mergeCell ref="AO4:AP4"/>
    <mergeCell ref="AT4:AT5"/>
    <mergeCell ref="CH3:CO3"/>
    <mergeCell ref="CP3:CV3"/>
    <mergeCell ref="CW3:DC3"/>
    <mergeCell ref="DD3:DL3"/>
    <mergeCell ref="DM3:DU3"/>
    <mergeCell ref="AW4:AX4"/>
    <mergeCell ref="BB4:BB5"/>
    <mergeCell ref="BE4:BF4"/>
    <mergeCell ref="BJ4:BJ5"/>
    <mergeCell ref="BM4:BN4"/>
    <mergeCell ref="EE4:EE5"/>
    <mergeCell ref="CC4:CD4"/>
    <mergeCell ref="CK4:CL4"/>
    <mergeCell ref="CP4:CP5"/>
    <mergeCell ref="CS4:CT4"/>
    <mergeCell ref="CW4:CW5"/>
    <mergeCell ref="CZ4:DA4"/>
    <mergeCell ref="DD4:DD5"/>
    <mergeCell ref="DG4:DH4"/>
    <mergeCell ref="DM4:DM5"/>
    <mergeCell ref="DP4:DQ4"/>
    <mergeCell ref="DY4:DZ4"/>
    <mergeCell ref="FT4:FV4"/>
    <mergeCell ref="EH4:EI4"/>
    <mergeCell ref="EO4:EO5"/>
    <mergeCell ref="EP4:ES4"/>
    <mergeCell ref="ET4:EW4"/>
    <mergeCell ref="EX4:FA4"/>
    <mergeCell ref="FB4:FD4"/>
    <mergeCell ref="FE4:FG4"/>
    <mergeCell ref="FH4:FJ4"/>
    <mergeCell ref="FK4:FM4"/>
    <mergeCell ref="FN4:FP4"/>
    <mergeCell ref="FQ4:FS4"/>
    <mergeCell ref="GO4:GQ4"/>
    <mergeCell ref="GR4:GT4"/>
    <mergeCell ref="FW4:FY4"/>
    <mergeCell ref="FZ4:GB4"/>
    <mergeCell ref="GC4:GE4"/>
    <mergeCell ref="GF4:GH4"/>
    <mergeCell ref="GI4:GK4"/>
    <mergeCell ref="GL4:GN4"/>
  </mergeCells>
  <conditionalFormatting sqref="D6:D37 L6:L37 T6:T37">
    <cfRule type="cellIs" dxfId="24" priority="25" operator="greaterThan">
      <formula>5</formula>
    </cfRule>
  </conditionalFormatting>
  <conditionalFormatting sqref="E6:E37 M6:M37 U6:U37">
    <cfRule type="cellIs" dxfId="23" priority="24" operator="greaterThan">
      <formula>0.5</formula>
    </cfRule>
  </conditionalFormatting>
  <conditionalFormatting sqref="F6:F37 N6:N37 V6:V37">
    <cfRule type="cellIs" dxfId="22" priority="23" operator="lessThan">
      <formula>2</formula>
    </cfRule>
  </conditionalFormatting>
  <conditionalFormatting sqref="G6:G37 O6:O37 W6:W37">
    <cfRule type="cellIs" dxfId="21" priority="22" operator="lessThan">
      <formula>51</formula>
    </cfRule>
  </conditionalFormatting>
  <conditionalFormatting sqref="H6:H37 P6:P37 X6:X37">
    <cfRule type="cellIs" dxfId="20" priority="21" operator="greaterThan">
      <formula>2.5</formula>
    </cfRule>
  </conditionalFormatting>
  <conditionalFormatting sqref="I6:I37 Q6:Q37 Y6:Y37">
    <cfRule type="cellIs" dxfId="19" priority="20" operator="greaterThan">
      <formula>5</formula>
    </cfRule>
  </conditionalFormatting>
  <conditionalFormatting sqref="J6:J37 R6:R37 Z6:Z37">
    <cfRule type="cellIs" dxfId="18" priority="19" operator="greaterThan">
      <formula>10</formula>
    </cfRule>
  </conditionalFormatting>
  <conditionalFormatting sqref="AB6:AB37">
    <cfRule type="cellIs" dxfId="17" priority="18" operator="lessThan">
      <formula>70</formula>
    </cfRule>
  </conditionalFormatting>
  <conditionalFormatting sqref="AC6:AC37">
    <cfRule type="cellIs" dxfId="16" priority="17" operator="greaterThan">
      <formula>1</formula>
    </cfRule>
  </conditionalFormatting>
  <conditionalFormatting sqref="AE6:AE37 AM6:AM37">
    <cfRule type="cellIs" dxfId="15" priority="16" operator="greaterThan">
      <formula>0.2</formula>
    </cfRule>
  </conditionalFormatting>
  <conditionalFormatting sqref="AF6:AF37 AN6:AN37">
    <cfRule type="cellIs" dxfId="14" priority="15" operator="greaterThan">
      <formula>0.15</formula>
    </cfRule>
  </conditionalFormatting>
  <conditionalFormatting sqref="AG6:AG37 AO6:AO37">
    <cfRule type="cellIs" dxfId="13" priority="14" operator="greaterThan">
      <formula>3</formula>
    </cfRule>
  </conditionalFormatting>
  <conditionalFormatting sqref="AI6:AI37 AQ6:AQ37">
    <cfRule type="cellIs" dxfId="12" priority="13" operator="lessThan">
      <formula>30</formula>
    </cfRule>
  </conditionalFormatting>
  <conditionalFormatting sqref="AK6:AK37 AS6:AS37">
    <cfRule type="cellIs" dxfId="11" priority="12" operator="lessThan">
      <formula>44</formula>
    </cfRule>
  </conditionalFormatting>
  <conditionalFormatting sqref="AU6:AU37">
    <cfRule type="cellIs" dxfId="10" priority="2" operator="lessThan">
      <formula>70</formula>
    </cfRule>
  </conditionalFormatting>
  <conditionalFormatting sqref="AV6:AV37">
    <cfRule type="cellIs" dxfId="9" priority="1" operator="greaterThan">
      <formula>1</formula>
    </cfRule>
  </conditionalFormatting>
  <conditionalFormatting sqref="AW6:AW37 BE6:BE37 BM6:BM37 BU6:BU37 CC6:CC37 CK6:CK37 CS6:CS37 CZ6:CZ37 DG6:DG37 DP6:DP37 DY6:DY37 EH6:EH37">
    <cfRule type="cellIs" dxfId="8" priority="10" operator="greaterThan">
      <formula>3</formula>
    </cfRule>
  </conditionalFormatting>
  <conditionalFormatting sqref="AY6:AY37 BG6:BG37 BO6:BO37 BW6:BW37 CM6:CM37 DI6:DI37 DR6:DR37 EA6:EA37 EJ6:EJ37 CE6:CE38">
    <cfRule type="cellIs" dxfId="7" priority="9" operator="lessThan">
      <formula>56</formula>
    </cfRule>
  </conditionalFormatting>
  <conditionalFormatting sqref="BA6:BA37 BI6:BI37 BQ6:BQ37 BY6:BY37 CG6:CG37 CO6:CO37 DK6:DK37 DT6:DT37 EC6:EC37 EL6:EL37">
    <cfRule type="cellIs" dxfId="6" priority="8" operator="greaterThan">
      <formula>10</formula>
    </cfRule>
  </conditionalFormatting>
  <conditionalFormatting sqref="BC6:BD37 BK6:BL37 BS6:BT37 CA6:CB37 CI6:CJ37 DE6:DF37 DN6:DO37 DW6:DX37 EF6:EG37">
    <cfRule type="cellIs" dxfId="5" priority="11" operator="greaterThan">
      <formula>0.1</formula>
    </cfRule>
  </conditionalFormatting>
  <conditionalFormatting sqref="CQ6:CR37 CX6:CY37">
    <cfRule type="cellIs" dxfId="4" priority="7" operator="greaterThan">
      <formula>0.1</formula>
    </cfRule>
  </conditionalFormatting>
  <conditionalFormatting sqref="CU6:CU37">
    <cfRule type="cellIs" dxfId="3" priority="6" operator="lessThan">
      <formula>50</formula>
    </cfRule>
  </conditionalFormatting>
  <conditionalFormatting sqref="CV6:CV37">
    <cfRule type="cellIs" dxfId="2" priority="5" operator="greaterThan">
      <formula>1</formula>
    </cfRule>
  </conditionalFormatting>
  <conditionalFormatting sqref="DB6:DB38">
    <cfRule type="cellIs" dxfId="1" priority="4" operator="lessThan">
      <formula>30</formula>
    </cfRule>
  </conditionalFormatting>
  <conditionalFormatting sqref="DC6:DC38">
    <cfRule type="cellIs" dxfId="0" priority="3" operator="lessThan">
      <formula>44</formula>
    </cfRule>
  </conditionalFormatting>
  <pageMargins left="0.7" right="0.7" top="0.75" bottom="0.75" header="0.3" footer="0.3"/>
  <pageSetup scale="94" orientation="portrait" r:id="rId1"/>
  <colBreaks count="1" manualBreakCount="1">
    <brk id="10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APRIL!Print_Area</vt:lpstr>
      <vt:lpstr>FEBRUARI!Print_Area</vt:lpstr>
      <vt:lpstr>JANUARI!Print_Area</vt:lpstr>
      <vt:lpstr>JUNI!Print_Area</vt:lpstr>
      <vt:lpstr>MARET!Print_Area</vt:lpstr>
      <vt:lpstr>MEI!Print_Area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winsdownstream@gmail.com</dc:creator>
  <cp:lastModifiedBy>winsdownstream@gmail.com</cp:lastModifiedBy>
  <cp:lastPrinted>2026-06-05T07:34:53Z</cp:lastPrinted>
  <dcterms:created xsi:type="dcterms:W3CDTF">2026-05-19T06:25:04Z</dcterms:created>
  <dcterms:modified xsi:type="dcterms:W3CDTF">2026-06-05T07:39:50Z</dcterms:modified>
</cp:coreProperties>
</file>