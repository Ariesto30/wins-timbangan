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estotopayung/Library/Mobile Documents/com~apple~CloudDocs/Kantor/PT WINS Sawit/Produksi/Kualitas Tanki/"/>
    </mc:Choice>
  </mc:AlternateContent>
  <xr:revisionPtr revIDLastSave="0" documentId="13_ncr:1_{A55CE58D-FF4D-3045-BBD3-F79C7B0E0678}" xr6:coauthVersionLast="47" xr6:coauthVersionMax="47" xr10:uidLastSave="{00000000-0000-0000-0000-000000000000}"/>
  <bookViews>
    <workbookView xWindow="0" yWindow="0" windowWidth="28800" windowHeight="18000" activeTab="6" xr2:uid="{00000000-000D-0000-FFFF-FFFF00000000}"/>
  </bookViews>
  <sheets>
    <sheet name="INFO TANGKI" sheetId="1" r:id="rId1"/>
    <sheet name="EVALUASI STABILITAS" sheetId="2" r:id="rId2"/>
    <sheet name="MUTASI STOK" sheetId="4" r:id="rId3"/>
    <sheet name="REKAP STOK BULANAN" sheetId="5" r:id="rId4"/>
    <sheet name="INPUT KUALITAS" sheetId="3" r:id="rId5"/>
    <sheet name="REKAP KUALITAS CPO" sheetId="6" r:id="rId6"/>
    <sheet name="ANALISIS CPO" sheetId="10" r:id="rId7"/>
    <sheet name="DASHBOARD" sheetId="7" r:id="rId8"/>
    <sheet name="GRAFIK TREN" sheetId="8" r:id="rId9"/>
    <sheet name="REKAP FFA TREND" sheetId="9" r:id="rId10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 a="1"/>
  <c r="C5" i="7" s="1"/>
  <c r="E5" i="7" s="1"/>
  <c r="F5" i="7" s="1"/>
  <c r="E10" i="7"/>
  <c r="E9" i="7"/>
  <c r="E8" i="7"/>
  <c r="E7" i="7"/>
  <c r="E6" i="7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C7" i="10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G17" i="1" a="1"/>
  <c r="G17" i="1" s="1"/>
  <c r="F17" i="1"/>
  <c r="G16" i="1" a="1"/>
  <c r="G16" i="1"/>
  <c r="F16" i="1"/>
  <c r="G15" i="1" a="1"/>
  <c r="G15" i="1" s="1"/>
  <c r="F15" i="1"/>
  <c r="G14" i="1" a="1"/>
  <c r="G14" i="1" s="1"/>
  <c r="F14" i="1"/>
  <c r="G13" i="1" a="1"/>
  <c r="G13" i="1" s="1"/>
  <c r="F13" i="1"/>
  <c r="G12" i="1" a="1"/>
  <c r="G12" i="1" s="1"/>
  <c r="F12" i="1"/>
  <c r="G11" i="1" a="1"/>
  <c r="G11" i="1" s="1"/>
  <c r="F11" i="1"/>
  <c r="G10" i="1" a="1"/>
  <c r="G10" i="1" s="1"/>
  <c r="F10" i="1"/>
  <c r="G9" i="1" a="1"/>
  <c r="G9" i="1"/>
  <c r="F9" i="1"/>
  <c r="G8" i="1" a="1"/>
  <c r="G8" i="1" s="1"/>
  <c r="F8" i="1"/>
  <c r="G7" i="1" a="1"/>
  <c r="G7" i="1" s="1"/>
  <c r="F7" i="1"/>
  <c r="G6" i="1" a="1"/>
  <c r="G6" i="1" s="1"/>
  <c r="F6" i="1"/>
  <c r="G5" i="1" a="1"/>
  <c r="G5" i="1"/>
  <c r="F5" i="1"/>
  <c r="G4" i="1" a="1"/>
  <c r="G4" i="1" s="1"/>
  <c r="F4" i="1"/>
  <c r="F12" i="7"/>
  <c r="F11" i="7"/>
  <c r="F10" i="7"/>
  <c r="F9" i="7"/>
  <c r="F8" i="7"/>
  <c r="F7" i="7"/>
  <c r="F6" i="7"/>
  <c r="E12" i="7"/>
  <c r="E11" i="7"/>
  <c r="C12" i="7" a="1"/>
  <c r="C12" i="7" s="1"/>
  <c r="C11" i="7" a="1"/>
  <c r="C11" i="7" s="1"/>
  <c r="C10" i="7" a="1"/>
  <c r="C10" i="7"/>
  <c r="C9" i="7" a="1"/>
  <c r="C9" i="7" s="1"/>
  <c r="C8" i="7" a="1"/>
  <c r="C8" i="7"/>
  <c r="C7" i="7" a="1"/>
  <c r="C7" i="7" s="1"/>
  <c r="C6" i="7" a="1"/>
  <c r="C6" i="7" s="1"/>
  <c r="A3" i="7" a="1"/>
  <c r="A3" i="7" s="1"/>
  <c r="AF29" i="10"/>
  <c r="AF28" i="10"/>
  <c r="AF27" i="10"/>
  <c r="AF26" i="10"/>
  <c r="AF25" i="10"/>
  <c r="AF17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AD37" i="10"/>
  <c r="AC37" i="10"/>
  <c r="AB37" i="10"/>
  <c r="AA37" i="10"/>
  <c r="Z37" i="10"/>
  <c r="Y37" i="10"/>
  <c r="X37" i="10" a="1"/>
  <c r="X37" i="10" s="1"/>
  <c r="W37" i="10"/>
  <c r="V37" i="10"/>
  <c r="T37" i="10"/>
  <c r="S37" i="10"/>
  <c r="R37" i="10"/>
  <c r="Q37" i="10"/>
  <c r="P37" i="10"/>
  <c r="O37" i="10"/>
  <c r="N37" i="10" a="1"/>
  <c r="N37" i="10" s="1"/>
  <c r="M37" i="10"/>
  <c r="AF37" i="10"/>
  <c r="J37" i="10"/>
  <c r="I37" i="10"/>
  <c r="H37" i="10"/>
  <c r="G37" i="10"/>
  <c r="F37" i="10"/>
  <c r="E37" i="10"/>
  <c r="D37" i="10" a="1"/>
  <c r="D37" i="10" s="1"/>
  <c r="C37" i="10"/>
  <c r="B37" i="10"/>
  <c r="A37" i="10"/>
  <c r="AD36" i="10"/>
  <c r="AC36" i="10"/>
  <c r="AB36" i="10"/>
  <c r="AA36" i="10"/>
  <c r="Z36" i="10"/>
  <c r="Y36" i="10"/>
  <c r="X36" i="10" a="1"/>
  <c r="X36" i="10" s="1"/>
  <c r="W36" i="10"/>
  <c r="V36" i="10"/>
  <c r="T36" i="10"/>
  <c r="S36" i="10"/>
  <c r="R36" i="10"/>
  <c r="Q36" i="10"/>
  <c r="P36" i="10"/>
  <c r="O36" i="10"/>
  <c r="N36" i="10" a="1"/>
  <c r="N36" i="10" s="1"/>
  <c r="M36" i="10"/>
  <c r="AF36" i="10"/>
  <c r="J36" i="10"/>
  <c r="I36" i="10"/>
  <c r="H36" i="10"/>
  <c r="G36" i="10"/>
  <c r="F36" i="10"/>
  <c r="E36" i="10"/>
  <c r="D36" i="10" a="1"/>
  <c r="D36" i="10" s="1"/>
  <c r="C36" i="10"/>
  <c r="B36" i="10"/>
  <c r="A36" i="10"/>
  <c r="AD35" i="10"/>
  <c r="AC35" i="10"/>
  <c r="AB35" i="10"/>
  <c r="AA35" i="10"/>
  <c r="Z35" i="10"/>
  <c r="Y35" i="10"/>
  <c r="X35" i="10" a="1"/>
  <c r="X35" i="10" s="1"/>
  <c r="W35" i="10"/>
  <c r="V35" i="10"/>
  <c r="T35" i="10"/>
  <c r="S35" i="10"/>
  <c r="R35" i="10"/>
  <c r="Q35" i="10"/>
  <c r="P35" i="10"/>
  <c r="O35" i="10"/>
  <c r="N35" i="10" a="1"/>
  <c r="N35" i="10" s="1"/>
  <c r="M35" i="10"/>
  <c r="AF35" i="10"/>
  <c r="J35" i="10"/>
  <c r="I35" i="10"/>
  <c r="H35" i="10"/>
  <c r="G35" i="10"/>
  <c r="F35" i="10"/>
  <c r="E35" i="10"/>
  <c r="D35" i="10" a="1"/>
  <c r="D35" i="10" s="1"/>
  <c r="C35" i="10"/>
  <c r="B35" i="10"/>
  <c r="A35" i="10"/>
  <c r="AD34" i="10"/>
  <c r="AC34" i="10"/>
  <c r="AB34" i="10"/>
  <c r="AA34" i="10"/>
  <c r="Z34" i="10"/>
  <c r="Y34" i="10"/>
  <c r="X34" i="10" a="1"/>
  <c r="X34" i="10" s="1"/>
  <c r="W34" i="10"/>
  <c r="V34" i="10"/>
  <c r="T34" i="10"/>
  <c r="S34" i="10"/>
  <c r="R34" i="10"/>
  <c r="Q34" i="10"/>
  <c r="P34" i="10"/>
  <c r="O34" i="10"/>
  <c r="N34" i="10" a="1"/>
  <c r="N34" i="10" s="1"/>
  <c r="M34" i="10"/>
  <c r="AF34" i="10"/>
  <c r="J34" i="10"/>
  <c r="I34" i="10"/>
  <c r="H34" i="10"/>
  <c r="G34" i="10"/>
  <c r="F34" i="10"/>
  <c r="E34" i="10"/>
  <c r="D34" i="10" a="1"/>
  <c r="D34" i="10" s="1"/>
  <c r="C34" i="10"/>
  <c r="B34" i="10"/>
  <c r="A34" i="10"/>
  <c r="AD33" i="10"/>
  <c r="AC33" i="10"/>
  <c r="AB33" i="10"/>
  <c r="AA33" i="10"/>
  <c r="Z33" i="10"/>
  <c r="Y33" i="10"/>
  <c r="X33" i="10" a="1"/>
  <c r="X33" i="10" s="1"/>
  <c r="W33" i="10"/>
  <c r="V33" i="10"/>
  <c r="T33" i="10"/>
  <c r="S33" i="10"/>
  <c r="R33" i="10"/>
  <c r="Q33" i="10"/>
  <c r="P33" i="10"/>
  <c r="O33" i="10"/>
  <c r="N33" i="10" a="1"/>
  <c r="N33" i="10" s="1"/>
  <c r="M33" i="10"/>
  <c r="AF33" i="10"/>
  <c r="J33" i="10"/>
  <c r="I33" i="10"/>
  <c r="H33" i="10"/>
  <c r="G33" i="10"/>
  <c r="F33" i="10"/>
  <c r="E33" i="10"/>
  <c r="D33" i="10" a="1"/>
  <c r="D33" i="10" s="1"/>
  <c r="C33" i="10"/>
  <c r="B33" i="10"/>
  <c r="A33" i="10"/>
  <c r="AD32" i="10"/>
  <c r="AC32" i="10"/>
  <c r="AB32" i="10"/>
  <c r="AA32" i="10"/>
  <c r="Z32" i="10"/>
  <c r="Y32" i="10"/>
  <c r="X32" i="10" a="1"/>
  <c r="X32" i="10" s="1"/>
  <c r="W32" i="10"/>
  <c r="V32" i="10"/>
  <c r="T32" i="10"/>
  <c r="S32" i="10"/>
  <c r="R32" i="10"/>
  <c r="Q32" i="10"/>
  <c r="P32" i="10"/>
  <c r="O32" i="10"/>
  <c r="N32" i="10" a="1"/>
  <c r="N32" i="10" s="1"/>
  <c r="M32" i="10"/>
  <c r="AF32" i="10"/>
  <c r="J32" i="10"/>
  <c r="I32" i="10"/>
  <c r="H32" i="10"/>
  <c r="G32" i="10"/>
  <c r="F32" i="10"/>
  <c r="E32" i="10"/>
  <c r="D32" i="10" a="1"/>
  <c r="D32" i="10" s="1"/>
  <c r="C32" i="10"/>
  <c r="B32" i="10"/>
  <c r="A32" i="10"/>
  <c r="AD31" i="10"/>
  <c r="AC31" i="10"/>
  <c r="AB31" i="10"/>
  <c r="AA31" i="10"/>
  <c r="Z31" i="10"/>
  <c r="Y31" i="10"/>
  <c r="X31" i="10" a="1"/>
  <c r="X31" i="10" s="1"/>
  <c r="W31" i="10"/>
  <c r="V31" i="10"/>
  <c r="T31" i="10"/>
  <c r="S31" i="10"/>
  <c r="R31" i="10"/>
  <c r="Q31" i="10"/>
  <c r="P31" i="10"/>
  <c r="O31" i="10"/>
  <c r="N31" i="10" a="1"/>
  <c r="N31" i="10" s="1"/>
  <c r="M31" i="10"/>
  <c r="AF31" i="10"/>
  <c r="J31" i="10"/>
  <c r="I31" i="10"/>
  <c r="H31" i="10"/>
  <c r="G31" i="10"/>
  <c r="F31" i="10"/>
  <c r="E31" i="10"/>
  <c r="D31" i="10" a="1"/>
  <c r="D31" i="10" s="1"/>
  <c r="C31" i="10"/>
  <c r="B31" i="10"/>
  <c r="A31" i="10"/>
  <c r="AD30" i="10"/>
  <c r="AC30" i="10"/>
  <c r="AB30" i="10"/>
  <c r="AA30" i="10"/>
  <c r="Z30" i="10"/>
  <c r="Y30" i="10"/>
  <c r="X30" i="10" a="1"/>
  <c r="X30" i="10" s="1"/>
  <c r="W30" i="10"/>
  <c r="V30" i="10"/>
  <c r="T30" i="10"/>
  <c r="S30" i="10"/>
  <c r="R30" i="10"/>
  <c r="Q30" i="10"/>
  <c r="P30" i="10"/>
  <c r="O30" i="10"/>
  <c r="N30" i="10" a="1"/>
  <c r="N30" i="10" s="1"/>
  <c r="M30" i="10"/>
  <c r="AF30" i="10"/>
  <c r="J30" i="10"/>
  <c r="I30" i="10"/>
  <c r="H30" i="10"/>
  <c r="G30" i="10"/>
  <c r="F30" i="10"/>
  <c r="E30" i="10"/>
  <c r="D30" i="10" a="1"/>
  <c r="D30" i="10" s="1"/>
  <c r="C30" i="10"/>
  <c r="B30" i="10"/>
  <c r="A30" i="10"/>
  <c r="AD29" i="10"/>
  <c r="AC29" i="10"/>
  <c r="AB29" i="10"/>
  <c r="AA29" i="10"/>
  <c r="Z29" i="10"/>
  <c r="Y29" i="10"/>
  <c r="X29" i="10" a="1"/>
  <c r="X29" i="10" s="1"/>
  <c r="W29" i="10"/>
  <c r="V29" i="10"/>
  <c r="T29" i="10"/>
  <c r="S29" i="10"/>
  <c r="R29" i="10"/>
  <c r="Q29" i="10"/>
  <c r="P29" i="10"/>
  <c r="O29" i="10"/>
  <c r="N29" i="10" a="1"/>
  <c r="N29" i="10" s="1"/>
  <c r="M29" i="10"/>
  <c r="J29" i="10"/>
  <c r="I29" i="10"/>
  <c r="H29" i="10"/>
  <c r="G29" i="10"/>
  <c r="F29" i="10"/>
  <c r="E29" i="10"/>
  <c r="D29" i="10" a="1"/>
  <c r="D29" i="10" s="1"/>
  <c r="C29" i="10"/>
  <c r="B29" i="10"/>
  <c r="A29" i="10"/>
  <c r="AD28" i="10"/>
  <c r="AC28" i="10"/>
  <c r="AB28" i="10"/>
  <c r="AA28" i="10"/>
  <c r="Z28" i="10"/>
  <c r="Y28" i="10"/>
  <c r="X28" i="10" a="1"/>
  <c r="X28" i="10" s="1"/>
  <c r="W28" i="10"/>
  <c r="V28" i="10"/>
  <c r="T28" i="10"/>
  <c r="S28" i="10"/>
  <c r="R28" i="10"/>
  <c r="Q28" i="10"/>
  <c r="P28" i="10"/>
  <c r="O28" i="10"/>
  <c r="N28" i="10" a="1"/>
  <c r="N28" i="10" s="1"/>
  <c r="M28" i="10"/>
  <c r="J28" i="10"/>
  <c r="I28" i="10"/>
  <c r="H28" i="10"/>
  <c r="G28" i="10"/>
  <c r="F28" i="10"/>
  <c r="E28" i="10"/>
  <c r="D28" i="10" a="1"/>
  <c r="D28" i="10" s="1"/>
  <c r="C28" i="10"/>
  <c r="B28" i="10"/>
  <c r="A28" i="10"/>
  <c r="AD27" i="10"/>
  <c r="AC27" i="10"/>
  <c r="AB27" i="10"/>
  <c r="AA27" i="10"/>
  <c r="Z27" i="10"/>
  <c r="Y27" i="10"/>
  <c r="X27" i="10" a="1"/>
  <c r="X27" i="10" s="1"/>
  <c r="W27" i="10"/>
  <c r="V27" i="10"/>
  <c r="T27" i="10"/>
  <c r="S27" i="10"/>
  <c r="R27" i="10"/>
  <c r="Q27" i="10"/>
  <c r="P27" i="10"/>
  <c r="O27" i="10"/>
  <c r="N27" i="10" a="1"/>
  <c r="N27" i="10" s="1"/>
  <c r="M27" i="10"/>
  <c r="J27" i="10"/>
  <c r="I27" i="10"/>
  <c r="H27" i="10"/>
  <c r="G27" i="10"/>
  <c r="F27" i="10"/>
  <c r="E27" i="10"/>
  <c r="D27" i="10" a="1"/>
  <c r="D27" i="10" s="1"/>
  <c r="C27" i="10"/>
  <c r="B27" i="10"/>
  <c r="A27" i="10"/>
  <c r="AD26" i="10"/>
  <c r="AC26" i="10"/>
  <c r="AB26" i="10"/>
  <c r="AA26" i="10"/>
  <c r="Z26" i="10"/>
  <c r="Y26" i="10"/>
  <c r="X26" i="10" a="1"/>
  <c r="X26" i="10" s="1"/>
  <c r="W26" i="10"/>
  <c r="V26" i="10"/>
  <c r="T26" i="10"/>
  <c r="S26" i="10"/>
  <c r="R26" i="10"/>
  <c r="Q26" i="10"/>
  <c r="P26" i="10"/>
  <c r="O26" i="10"/>
  <c r="N26" i="10" a="1"/>
  <c r="N26" i="10" s="1"/>
  <c r="M26" i="10"/>
  <c r="J26" i="10"/>
  <c r="I26" i="10"/>
  <c r="H26" i="10"/>
  <c r="G26" i="10"/>
  <c r="F26" i="10"/>
  <c r="E26" i="10"/>
  <c r="D26" i="10" a="1"/>
  <c r="D26" i="10" s="1"/>
  <c r="C26" i="10"/>
  <c r="B26" i="10"/>
  <c r="A26" i="10"/>
  <c r="AD25" i="10"/>
  <c r="AC25" i="10"/>
  <c r="AB25" i="10"/>
  <c r="AA25" i="10"/>
  <c r="Z25" i="10"/>
  <c r="Y25" i="10"/>
  <c r="X25" i="10" a="1"/>
  <c r="X25" i="10" s="1"/>
  <c r="W25" i="10"/>
  <c r="V25" i="10"/>
  <c r="T25" i="10"/>
  <c r="S25" i="10"/>
  <c r="R25" i="10"/>
  <c r="Q25" i="10"/>
  <c r="P25" i="10"/>
  <c r="O25" i="10"/>
  <c r="N25" i="10" a="1"/>
  <c r="N25" i="10" s="1"/>
  <c r="M25" i="10"/>
  <c r="J25" i="10"/>
  <c r="I25" i="10"/>
  <c r="H25" i="10"/>
  <c r="G25" i="10"/>
  <c r="F25" i="10"/>
  <c r="E25" i="10"/>
  <c r="D25" i="10" a="1"/>
  <c r="D25" i="10" s="1"/>
  <c r="C25" i="10"/>
  <c r="B25" i="10"/>
  <c r="A25" i="10"/>
  <c r="AD24" i="10"/>
  <c r="AC24" i="10"/>
  <c r="AB24" i="10"/>
  <c r="AA24" i="10"/>
  <c r="Z24" i="10"/>
  <c r="Y24" i="10"/>
  <c r="X24" i="10" a="1"/>
  <c r="X24" i="10" s="1"/>
  <c r="W24" i="10"/>
  <c r="V24" i="10"/>
  <c r="T24" i="10"/>
  <c r="S24" i="10"/>
  <c r="R24" i="10"/>
  <c r="Q24" i="10"/>
  <c r="P24" i="10"/>
  <c r="O24" i="10"/>
  <c r="N24" i="10" a="1"/>
  <c r="N24" i="10" s="1"/>
  <c r="M24" i="10"/>
  <c r="AF24" i="10"/>
  <c r="J24" i="10"/>
  <c r="I24" i="10"/>
  <c r="H24" i="10"/>
  <c r="G24" i="10"/>
  <c r="F24" i="10"/>
  <c r="E24" i="10"/>
  <c r="D24" i="10" a="1"/>
  <c r="D24" i="10" s="1"/>
  <c r="C24" i="10"/>
  <c r="B24" i="10"/>
  <c r="A24" i="10"/>
  <c r="AD23" i="10"/>
  <c r="AC23" i="10"/>
  <c r="AB23" i="10"/>
  <c r="AA23" i="10"/>
  <c r="Z23" i="10"/>
  <c r="Y23" i="10"/>
  <c r="X23" i="10" a="1"/>
  <c r="X23" i="10" s="1"/>
  <c r="W23" i="10"/>
  <c r="V23" i="10"/>
  <c r="T23" i="10"/>
  <c r="S23" i="10"/>
  <c r="R23" i="10"/>
  <c r="Q23" i="10"/>
  <c r="P23" i="10"/>
  <c r="O23" i="10"/>
  <c r="N23" i="10" a="1"/>
  <c r="N23" i="10" s="1"/>
  <c r="M23" i="10"/>
  <c r="AF23" i="10"/>
  <c r="J23" i="10"/>
  <c r="I23" i="10"/>
  <c r="H23" i="10"/>
  <c r="G23" i="10"/>
  <c r="F23" i="10"/>
  <c r="E23" i="10"/>
  <c r="D23" i="10" a="1"/>
  <c r="D23" i="10" s="1"/>
  <c r="C23" i="10"/>
  <c r="B23" i="10"/>
  <c r="A23" i="10"/>
  <c r="AD22" i="10"/>
  <c r="AC22" i="10"/>
  <c r="AB22" i="10"/>
  <c r="AA22" i="10"/>
  <c r="Z22" i="10"/>
  <c r="Y22" i="10"/>
  <c r="X22" i="10" a="1"/>
  <c r="X22" i="10" s="1"/>
  <c r="W22" i="10"/>
  <c r="V22" i="10"/>
  <c r="T22" i="10"/>
  <c r="S22" i="10"/>
  <c r="R22" i="10"/>
  <c r="Q22" i="10"/>
  <c r="P22" i="10"/>
  <c r="O22" i="10"/>
  <c r="N22" i="10" a="1"/>
  <c r="N22" i="10" s="1"/>
  <c r="M22" i="10"/>
  <c r="AF22" i="10"/>
  <c r="J22" i="10"/>
  <c r="I22" i="10"/>
  <c r="H22" i="10"/>
  <c r="G22" i="10"/>
  <c r="F22" i="10"/>
  <c r="E22" i="10"/>
  <c r="D22" i="10" a="1"/>
  <c r="D22" i="10" s="1"/>
  <c r="C22" i="10"/>
  <c r="B22" i="10"/>
  <c r="A22" i="10"/>
  <c r="AD21" i="10"/>
  <c r="AC21" i="10"/>
  <c r="AB21" i="10"/>
  <c r="AA21" i="10"/>
  <c r="Z21" i="10"/>
  <c r="Y21" i="10"/>
  <c r="X21" i="10" a="1"/>
  <c r="X21" i="10" s="1"/>
  <c r="W21" i="10"/>
  <c r="V21" i="10"/>
  <c r="T21" i="10"/>
  <c r="S21" i="10"/>
  <c r="R21" i="10"/>
  <c r="Q21" i="10"/>
  <c r="P21" i="10"/>
  <c r="O21" i="10"/>
  <c r="N21" i="10" a="1"/>
  <c r="N21" i="10" s="1"/>
  <c r="M21" i="10"/>
  <c r="AF21" i="10"/>
  <c r="J21" i="10"/>
  <c r="I21" i="10"/>
  <c r="H21" i="10"/>
  <c r="G21" i="10"/>
  <c r="F21" i="10"/>
  <c r="E21" i="10"/>
  <c r="D21" i="10" a="1"/>
  <c r="D21" i="10" s="1"/>
  <c r="C21" i="10"/>
  <c r="B21" i="10"/>
  <c r="A21" i="10"/>
  <c r="AD20" i="10"/>
  <c r="AC20" i="10"/>
  <c r="AB20" i="10"/>
  <c r="AA20" i="10"/>
  <c r="Z20" i="10"/>
  <c r="Y20" i="10"/>
  <c r="X20" i="10" a="1"/>
  <c r="X20" i="10" s="1"/>
  <c r="W20" i="10"/>
  <c r="V20" i="10"/>
  <c r="T20" i="10"/>
  <c r="S20" i="10"/>
  <c r="R20" i="10"/>
  <c r="Q20" i="10"/>
  <c r="P20" i="10"/>
  <c r="O20" i="10"/>
  <c r="N20" i="10" a="1"/>
  <c r="N20" i="10" s="1"/>
  <c r="M20" i="10"/>
  <c r="AF20" i="10"/>
  <c r="J20" i="10"/>
  <c r="I20" i="10"/>
  <c r="H20" i="10"/>
  <c r="G20" i="10"/>
  <c r="F20" i="10"/>
  <c r="E20" i="10"/>
  <c r="D20" i="10" a="1"/>
  <c r="D20" i="10" s="1"/>
  <c r="C20" i="10"/>
  <c r="B20" i="10"/>
  <c r="A20" i="10"/>
  <c r="AD19" i="10"/>
  <c r="AC19" i="10"/>
  <c r="AB19" i="10"/>
  <c r="AA19" i="10"/>
  <c r="Z19" i="10"/>
  <c r="Y19" i="10"/>
  <c r="X19" i="10" a="1"/>
  <c r="X19" i="10" s="1"/>
  <c r="W19" i="10"/>
  <c r="V19" i="10"/>
  <c r="T19" i="10"/>
  <c r="S19" i="10"/>
  <c r="R19" i="10"/>
  <c r="Q19" i="10"/>
  <c r="P19" i="10"/>
  <c r="O19" i="10"/>
  <c r="N19" i="10" a="1"/>
  <c r="N19" i="10" s="1"/>
  <c r="M19" i="10"/>
  <c r="AF19" i="10"/>
  <c r="J19" i="10"/>
  <c r="I19" i="10"/>
  <c r="H19" i="10"/>
  <c r="G19" i="10"/>
  <c r="F19" i="10"/>
  <c r="E19" i="10"/>
  <c r="D19" i="10" a="1"/>
  <c r="D19" i="10" s="1"/>
  <c r="C19" i="10"/>
  <c r="B19" i="10"/>
  <c r="A19" i="10"/>
  <c r="AD18" i="10"/>
  <c r="AC18" i="10"/>
  <c r="AB18" i="10"/>
  <c r="AA18" i="10"/>
  <c r="Z18" i="10"/>
  <c r="Y18" i="10"/>
  <c r="X18" i="10" a="1"/>
  <c r="X18" i="10" s="1"/>
  <c r="W18" i="10"/>
  <c r="V18" i="10"/>
  <c r="T18" i="10"/>
  <c r="S18" i="10"/>
  <c r="R18" i="10"/>
  <c r="Q18" i="10"/>
  <c r="P18" i="10"/>
  <c r="O18" i="10"/>
  <c r="N18" i="10" a="1"/>
  <c r="N18" i="10" s="1"/>
  <c r="M18" i="10"/>
  <c r="AF18" i="10"/>
  <c r="J18" i="10"/>
  <c r="I18" i="10"/>
  <c r="H18" i="10"/>
  <c r="G18" i="10"/>
  <c r="F18" i="10"/>
  <c r="E18" i="10"/>
  <c r="D18" i="10" a="1"/>
  <c r="D18" i="10" s="1"/>
  <c r="C18" i="10"/>
  <c r="B18" i="10"/>
  <c r="A18" i="10"/>
  <c r="AD17" i="10"/>
  <c r="AC17" i="10"/>
  <c r="AB17" i="10"/>
  <c r="AA17" i="10"/>
  <c r="Z17" i="10"/>
  <c r="Y17" i="10"/>
  <c r="X17" i="10" a="1"/>
  <c r="X17" i="10" s="1"/>
  <c r="W17" i="10"/>
  <c r="V17" i="10"/>
  <c r="T17" i="10"/>
  <c r="S17" i="10"/>
  <c r="R17" i="10"/>
  <c r="Q17" i="10"/>
  <c r="P17" i="10"/>
  <c r="O17" i="10"/>
  <c r="N17" i="10" a="1"/>
  <c r="N17" i="10" s="1"/>
  <c r="M17" i="10"/>
  <c r="J17" i="10"/>
  <c r="I17" i="10"/>
  <c r="H17" i="10"/>
  <c r="G17" i="10"/>
  <c r="F17" i="10"/>
  <c r="E17" i="10"/>
  <c r="D17" i="10" a="1"/>
  <c r="D17" i="10" s="1"/>
  <c r="C17" i="10"/>
  <c r="B17" i="10"/>
  <c r="A17" i="10"/>
  <c r="AD16" i="10"/>
  <c r="AC16" i="10"/>
  <c r="AB16" i="10"/>
  <c r="AA16" i="10"/>
  <c r="Z16" i="10"/>
  <c r="Y16" i="10"/>
  <c r="X16" i="10" a="1"/>
  <c r="X16" i="10" s="1"/>
  <c r="W16" i="10"/>
  <c r="V16" i="10"/>
  <c r="T16" i="10"/>
  <c r="S16" i="10"/>
  <c r="R16" i="10"/>
  <c r="Q16" i="10"/>
  <c r="P16" i="10"/>
  <c r="O16" i="10"/>
  <c r="N16" i="10" a="1"/>
  <c r="N16" i="10" s="1"/>
  <c r="M16" i="10"/>
  <c r="AF16" i="10"/>
  <c r="J16" i="10"/>
  <c r="I16" i="10"/>
  <c r="H16" i="10"/>
  <c r="G16" i="10"/>
  <c r="F16" i="10"/>
  <c r="E16" i="10"/>
  <c r="D16" i="10" a="1"/>
  <c r="D16" i="10" s="1"/>
  <c r="C16" i="10"/>
  <c r="B16" i="10"/>
  <c r="A16" i="10"/>
  <c r="AD15" i="10"/>
  <c r="AC15" i="10"/>
  <c r="AB15" i="10"/>
  <c r="AA15" i="10"/>
  <c r="Z15" i="10"/>
  <c r="Y15" i="10"/>
  <c r="X15" i="10" a="1"/>
  <c r="X15" i="10" s="1"/>
  <c r="W15" i="10"/>
  <c r="V15" i="10"/>
  <c r="T15" i="10"/>
  <c r="S15" i="10"/>
  <c r="R15" i="10"/>
  <c r="Q15" i="10"/>
  <c r="P15" i="10"/>
  <c r="O15" i="10"/>
  <c r="N15" i="10" a="1"/>
  <c r="N15" i="10" s="1"/>
  <c r="M15" i="10"/>
  <c r="AF15" i="10"/>
  <c r="J15" i="10"/>
  <c r="I15" i="10"/>
  <c r="H15" i="10"/>
  <c r="G15" i="10"/>
  <c r="F15" i="10"/>
  <c r="E15" i="10"/>
  <c r="D15" i="10" a="1"/>
  <c r="D15" i="10" s="1"/>
  <c r="C15" i="10"/>
  <c r="B15" i="10"/>
  <c r="A15" i="10"/>
  <c r="AD14" i="10"/>
  <c r="AC14" i="10"/>
  <c r="AB14" i="10"/>
  <c r="AA14" i="10"/>
  <c r="Z14" i="10"/>
  <c r="Y14" i="10"/>
  <c r="X14" i="10" a="1"/>
  <c r="X14" i="10" s="1"/>
  <c r="W14" i="10"/>
  <c r="V14" i="10"/>
  <c r="T14" i="10"/>
  <c r="S14" i="10"/>
  <c r="R14" i="10"/>
  <c r="Q14" i="10"/>
  <c r="P14" i="10"/>
  <c r="O14" i="10"/>
  <c r="N14" i="10" a="1"/>
  <c r="N14" i="10" s="1"/>
  <c r="M14" i="10"/>
  <c r="AF14" i="10"/>
  <c r="J14" i="10"/>
  <c r="I14" i="10"/>
  <c r="H14" i="10"/>
  <c r="G14" i="10"/>
  <c r="F14" i="10"/>
  <c r="E14" i="10"/>
  <c r="D14" i="10" a="1"/>
  <c r="D14" i="10" s="1"/>
  <c r="C14" i="10"/>
  <c r="B14" i="10"/>
  <c r="A14" i="10"/>
  <c r="AD13" i="10"/>
  <c r="AC13" i="10"/>
  <c r="AB13" i="10"/>
  <c r="AA13" i="10"/>
  <c r="Z13" i="10"/>
  <c r="Y13" i="10"/>
  <c r="X13" i="10" a="1"/>
  <c r="X13" i="10" s="1"/>
  <c r="W13" i="10"/>
  <c r="V13" i="10"/>
  <c r="T13" i="10"/>
  <c r="S13" i="10"/>
  <c r="R13" i="10"/>
  <c r="Q13" i="10"/>
  <c r="P13" i="10"/>
  <c r="O13" i="10"/>
  <c r="N13" i="10" a="1"/>
  <c r="N13" i="10" s="1"/>
  <c r="M13" i="10"/>
  <c r="AF13" i="10"/>
  <c r="J13" i="10"/>
  <c r="I13" i="10"/>
  <c r="H13" i="10"/>
  <c r="G13" i="10"/>
  <c r="F13" i="10"/>
  <c r="E13" i="10"/>
  <c r="D13" i="10" a="1"/>
  <c r="D13" i="10" s="1"/>
  <c r="C13" i="10"/>
  <c r="B13" i="10"/>
  <c r="A13" i="10"/>
  <c r="AD12" i="10"/>
  <c r="AC12" i="10"/>
  <c r="AB12" i="10"/>
  <c r="AA12" i="10"/>
  <c r="Z12" i="10"/>
  <c r="Y12" i="10"/>
  <c r="X12" i="10" a="1"/>
  <c r="X12" i="10" s="1"/>
  <c r="W12" i="10"/>
  <c r="V12" i="10"/>
  <c r="T12" i="10"/>
  <c r="S12" i="10"/>
  <c r="R12" i="10"/>
  <c r="Q12" i="10"/>
  <c r="P12" i="10"/>
  <c r="O12" i="10"/>
  <c r="N12" i="10" a="1"/>
  <c r="N12" i="10" s="1"/>
  <c r="M12" i="10"/>
  <c r="AF12" i="10"/>
  <c r="J12" i="10"/>
  <c r="I12" i="10"/>
  <c r="H12" i="10"/>
  <c r="G12" i="10"/>
  <c r="F12" i="10"/>
  <c r="E12" i="10"/>
  <c r="D12" i="10" a="1"/>
  <c r="D12" i="10" s="1"/>
  <c r="C12" i="10"/>
  <c r="B12" i="10"/>
  <c r="A12" i="10"/>
  <c r="AD11" i="10"/>
  <c r="AC11" i="10"/>
  <c r="AB11" i="10"/>
  <c r="AA11" i="10"/>
  <c r="Z11" i="10"/>
  <c r="Y11" i="10"/>
  <c r="X11" i="10" a="1"/>
  <c r="X11" i="10" s="1"/>
  <c r="W11" i="10"/>
  <c r="V11" i="10"/>
  <c r="T11" i="10"/>
  <c r="S11" i="10"/>
  <c r="R11" i="10"/>
  <c r="Q11" i="10"/>
  <c r="P11" i="10"/>
  <c r="O11" i="10"/>
  <c r="N11" i="10" a="1"/>
  <c r="N11" i="10" s="1"/>
  <c r="M11" i="10"/>
  <c r="AF11" i="10"/>
  <c r="J11" i="10"/>
  <c r="I11" i="10"/>
  <c r="H11" i="10"/>
  <c r="G11" i="10"/>
  <c r="F11" i="10"/>
  <c r="E11" i="10"/>
  <c r="D11" i="10" a="1"/>
  <c r="D11" i="10" s="1"/>
  <c r="C11" i="10"/>
  <c r="B11" i="10"/>
  <c r="A11" i="10"/>
  <c r="AD10" i="10"/>
  <c r="AC10" i="10"/>
  <c r="AB10" i="10"/>
  <c r="AA10" i="10"/>
  <c r="Z10" i="10"/>
  <c r="Y10" i="10"/>
  <c r="X10" i="10" a="1"/>
  <c r="X10" i="10" s="1"/>
  <c r="W10" i="10"/>
  <c r="V10" i="10"/>
  <c r="T10" i="10"/>
  <c r="S10" i="10"/>
  <c r="R10" i="10"/>
  <c r="Q10" i="10"/>
  <c r="P10" i="10"/>
  <c r="O10" i="10"/>
  <c r="N10" i="10" a="1"/>
  <c r="N10" i="10" s="1"/>
  <c r="M10" i="10"/>
  <c r="AF10" i="10"/>
  <c r="J10" i="10"/>
  <c r="I10" i="10"/>
  <c r="H10" i="10"/>
  <c r="G10" i="10"/>
  <c r="F10" i="10"/>
  <c r="E10" i="10"/>
  <c r="D10" i="10" a="1"/>
  <c r="D10" i="10" s="1"/>
  <c r="C10" i="10"/>
  <c r="B10" i="10"/>
  <c r="A10" i="10"/>
  <c r="AD9" i="10"/>
  <c r="AC9" i="10"/>
  <c r="AB9" i="10"/>
  <c r="AA9" i="10"/>
  <c r="Z9" i="10"/>
  <c r="Y9" i="10"/>
  <c r="X9" i="10" a="1"/>
  <c r="X9" i="10" s="1"/>
  <c r="W9" i="10"/>
  <c r="V9" i="10"/>
  <c r="T9" i="10"/>
  <c r="S9" i="10"/>
  <c r="R9" i="10"/>
  <c r="Q9" i="10"/>
  <c r="P9" i="10"/>
  <c r="O9" i="10"/>
  <c r="N9" i="10" a="1"/>
  <c r="N9" i="10" s="1"/>
  <c r="M9" i="10"/>
  <c r="AF9" i="10"/>
  <c r="J9" i="10"/>
  <c r="I9" i="10"/>
  <c r="H9" i="10"/>
  <c r="G9" i="10"/>
  <c r="F9" i="10"/>
  <c r="E9" i="10"/>
  <c r="D9" i="10" a="1"/>
  <c r="D9" i="10" s="1"/>
  <c r="C9" i="10"/>
  <c r="B9" i="10"/>
  <c r="A9" i="10"/>
  <c r="AD8" i="10"/>
  <c r="AC8" i="10"/>
  <c r="AB8" i="10"/>
  <c r="AA8" i="10"/>
  <c r="Z8" i="10"/>
  <c r="Y8" i="10"/>
  <c r="X8" i="10" a="1"/>
  <c r="X8" i="10" s="1"/>
  <c r="W8" i="10"/>
  <c r="V8" i="10"/>
  <c r="T8" i="10"/>
  <c r="S8" i="10"/>
  <c r="R8" i="10"/>
  <c r="Q8" i="10"/>
  <c r="P8" i="10"/>
  <c r="O8" i="10"/>
  <c r="N8" i="10" a="1"/>
  <c r="N8" i="10" s="1"/>
  <c r="M8" i="10"/>
  <c r="AF8" i="10"/>
  <c r="J8" i="10"/>
  <c r="I8" i="10"/>
  <c r="H8" i="10"/>
  <c r="G8" i="10"/>
  <c r="F8" i="10"/>
  <c r="E8" i="10"/>
  <c r="D8" i="10" a="1"/>
  <c r="D8" i="10" s="1"/>
  <c r="C8" i="10"/>
  <c r="B8" i="10"/>
  <c r="A8" i="10"/>
  <c r="AD7" i="10"/>
  <c r="AC7" i="10"/>
  <c r="AB7" i="10"/>
  <c r="AA7" i="10"/>
  <c r="Z7" i="10"/>
  <c r="Y7" i="10"/>
  <c r="X7" i="10" a="1"/>
  <c r="X7" i="10" s="1"/>
  <c r="W7" i="10"/>
  <c r="V7" i="10"/>
  <c r="T7" i="10"/>
  <c r="S7" i="10"/>
  <c r="R7" i="10"/>
  <c r="Q7" i="10"/>
  <c r="P7" i="10"/>
  <c r="O7" i="10"/>
  <c r="N7" i="10" a="1"/>
  <c r="N7" i="10" s="1"/>
  <c r="M7" i="10"/>
  <c r="J7" i="10"/>
  <c r="I7" i="10"/>
  <c r="H7" i="10"/>
  <c r="G7" i="10"/>
  <c r="F7" i="10"/>
  <c r="E7" i="10"/>
  <c r="D7" i="10" a="1"/>
  <c r="D7" i="10" s="1"/>
  <c r="B7" i="10"/>
  <c r="A7" i="10"/>
  <c r="F18" i="5"/>
  <c r="F29" i="7" s="1"/>
  <c r="F17" i="5"/>
  <c r="F16" i="5"/>
  <c r="F15" i="5"/>
  <c r="F14" i="5"/>
  <c r="F25" i="7" s="1"/>
  <c r="F13" i="5"/>
  <c r="F12" i="5"/>
  <c r="F23" i="7" s="1"/>
  <c r="F11" i="5"/>
  <c r="F22" i="7" s="1"/>
  <c r="F10" i="5"/>
  <c r="F9" i="5"/>
  <c r="F8" i="5"/>
  <c r="F7" i="5"/>
  <c r="F6" i="5"/>
  <c r="F17" i="7" s="1"/>
  <c r="F5" i="5"/>
  <c r="W8" i="2"/>
  <c r="BT10" i="4"/>
  <c r="BT8" i="4"/>
  <c r="BT6" i="4"/>
  <c r="BT5" i="4"/>
  <c r="BK6" i="4" s="1"/>
  <c r="R16" i="6"/>
  <c r="R14" i="6"/>
  <c r="CX6" i="4"/>
  <c r="CX5" i="4"/>
  <c r="CN6" i="4"/>
  <c r="CN5" i="4"/>
  <c r="CE6" i="4" s="1"/>
  <c r="CD6" i="4"/>
  <c r="CD5" i="4"/>
  <c r="BU6" i="4" s="1"/>
  <c r="BJ6" i="4"/>
  <c r="BJ5" i="4"/>
  <c r="BA6" i="4" s="1"/>
  <c r="AE6" i="4"/>
  <c r="AE5" i="4"/>
  <c r="V6" i="4" s="1"/>
  <c r="U6" i="4"/>
  <c r="U5" i="4"/>
  <c r="L6" i="4" s="1"/>
  <c r="K6" i="4"/>
  <c r="K5" i="4"/>
  <c r="B6" i="4" s="1"/>
  <c r="F33" i="9"/>
  <c r="E33" i="9"/>
  <c r="D33" i="9"/>
  <c r="C33" i="9"/>
  <c r="B33" i="9"/>
  <c r="H33" i="9" s="1"/>
  <c r="F32" i="9"/>
  <c r="E32" i="9"/>
  <c r="D32" i="9"/>
  <c r="C32" i="9"/>
  <c r="B32" i="9"/>
  <c r="H32" i="9" s="1"/>
  <c r="F31" i="9"/>
  <c r="E31" i="9"/>
  <c r="D31" i="9"/>
  <c r="C31" i="9"/>
  <c r="B31" i="9"/>
  <c r="H31" i="9" s="1"/>
  <c r="F30" i="9"/>
  <c r="E30" i="9"/>
  <c r="D30" i="9"/>
  <c r="C30" i="9"/>
  <c r="B30" i="9"/>
  <c r="H30" i="9" s="1"/>
  <c r="F29" i="9"/>
  <c r="E29" i="9"/>
  <c r="D29" i="9"/>
  <c r="C29" i="9"/>
  <c r="B29" i="9"/>
  <c r="H29" i="9" s="1"/>
  <c r="F28" i="9"/>
  <c r="E28" i="9"/>
  <c r="D28" i="9"/>
  <c r="C28" i="9"/>
  <c r="B28" i="9"/>
  <c r="H28" i="9" s="1"/>
  <c r="F27" i="9"/>
  <c r="E27" i="9"/>
  <c r="D27" i="9"/>
  <c r="C27" i="9"/>
  <c r="B27" i="9"/>
  <c r="H27" i="9" s="1"/>
  <c r="F26" i="9"/>
  <c r="E26" i="9"/>
  <c r="D26" i="9"/>
  <c r="C26" i="9"/>
  <c r="B26" i="9"/>
  <c r="H26" i="9" s="1"/>
  <c r="F25" i="9"/>
  <c r="E25" i="9"/>
  <c r="D25" i="9"/>
  <c r="C25" i="9"/>
  <c r="B25" i="9"/>
  <c r="H25" i="9" s="1"/>
  <c r="F24" i="9"/>
  <c r="E24" i="9"/>
  <c r="D24" i="9"/>
  <c r="C24" i="9"/>
  <c r="B24" i="9"/>
  <c r="H24" i="9" s="1"/>
  <c r="F23" i="9"/>
  <c r="E23" i="9"/>
  <c r="D23" i="9"/>
  <c r="C23" i="9"/>
  <c r="B23" i="9"/>
  <c r="H23" i="9" s="1"/>
  <c r="F22" i="9"/>
  <c r="E22" i="9"/>
  <c r="D22" i="9"/>
  <c r="C22" i="9"/>
  <c r="B22" i="9"/>
  <c r="H22" i="9" s="1"/>
  <c r="F21" i="9"/>
  <c r="E21" i="9"/>
  <c r="D21" i="9"/>
  <c r="C21" i="9"/>
  <c r="B21" i="9"/>
  <c r="H21" i="9" s="1"/>
  <c r="F20" i="9"/>
  <c r="E20" i="9"/>
  <c r="D20" i="9"/>
  <c r="C20" i="9"/>
  <c r="B20" i="9"/>
  <c r="H20" i="9" s="1"/>
  <c r="F19" i="9"/>
  <c r="E19" i="9"/>
  <c r="D19" i="9"/>
  <c r="C19" i="9"/>
  <c r="B19" i="9"/>
  <c r="H19" i="9" s="1"/>
  <c r="F18" i="9"/>
  <c r="E18" i="9"/>
  <c r="D18" i="9"/>
  <c r="C18" i="9"/>
  <c r="B18" i="9"/>
  <c r="H18" i="9" s="1"/>
  <c r="F17" i="9"/>
  <c r="E17" i="9"/>
  <c r="D17" i="9"/>
  <c r="C17" i="9"/>
  <c r="B17" i="9"/>
  <c r="H17" i="9" s="1"/>
  <c r="F16" i="9"/>
  <c r="E16" i="9"/>
  <c r="D16" i="9"/>
  <c r="C16" i="9"/>
  <c r="B16" i="9"/>
  <c r="H16" i="9" s="1"/>
  <c r="F15" i="9"/>
  <c r="E15" i="9"/>
  <c r="D15" i="9"/>
  <c r="C15" i="9"/>
  <c r="B15" i="9"/>
  <c r="H15" i="9" s="1"/>
  <c r="F14" i="9"/>
  <c r="E14" i="9"/>
  <c r="D14" i="9"/>
  <c r="C14" i="9"/>
  <c r="B14" i="9"/>
  <c r="H14" i="9" s="1"/>
  <c r="F13" i="9"/>
  <c r="E13" i="9"/>
  <c r="D13" i="9"/>
  <c r="C13" i="9"/>
  <c r="B13" i="9"/>
  <c r="H13" i="9" s="1"/>
  <c r="F12" i="9"/>
  <c r="E12" i="9"/>
  <c r="D12" i="9"/>
  <c r="C12" i="9"/>
  <c r="B12" i="9"/>
  <c r="H12" i="9" s="1"/>
  <c r="F11" i="9"/>
  <c r="E11" i="9"/>
  <c r="D11" i="9"/>
  <c r="C11" i="9"/>
  <c r="B11" i="9"/>
  <c r="H11" i="9" s="1"/>
  <c r="F10" i="9"/>
  <c r="E10" i="9"/>
  <c r="D10" i="9"/>
  <c r="C10" i="9"/>
  <c r="B10" i="9"/>
  <c r="H10" i="9" s="1"/>
  <c r="F9" i="9"/>
  <c r="E9" i="9"/>
  <c r="D9" i="9"/>
  <c r="C9" i="9"/>
  <c r="B9" i="9"/>
  <c r="H9" i="9" s="1"/>
  <c r="F8" i="9"/>
  <c r="E8" i="9"/>
  <c r="D8" i="9"/>
  <c r="C8" i="9"/>
  <c r="B8" i="9"/>
  <c r="H8" i="9" s="1"/>
  <c r="F7" i="9"/>
  <c r="E7" i="9"/>
  <c r="D7" i="9"/>
  <c r="C7" i="9"/>
  <c r="B7" i="9"/>
  <c r="H7" i="9" s="1"/>
  <c r="F6" i="9"/>
  <c r="E6" i="9"/>
  <c r="D6" i="9"/>
  <c r="C6" i="9"/>
  <c r="B6" i="9"/>
  <c r="H6" i="9" s="1"/>
  <c r="F5" i="9"/>
  <c r="E5" i="9"/>
  <c r="D5" i="9"/>
  <c r="C5" i="9"/>
  <c r="B5" i="9"/>
  <c r="H5" i="9" s="1"/>
  <c r="F4" i="9"/>
  <c r="F34" i="9" s="1"/>
  <c r="E4" i="9"/>
  <c r="E34" i="9" s="1"/>
  <c r="D4" i="9"/>
  <c r="D34" i="9" s="1"/>
  <c r="C4" i="9"/>
  <c r="C34" i="9" s="1"/>
  <c r="B4" i="9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D7" i="8"/>
  <c r="C7" i="8"/>
  <c r="B7" i="8"/>
  <c r="G6" i="8"/>
  <c r="F6" i="8"/>
  <c r="E6" i="8"/>
  <c r="D6" i="8"/>
  <c r="C6" i="8"/>
  <c r="B6" i="8"/>
  <c r="G5" i="8"/>
  <c r="F5" i="8"/>
  <c r="E5" i="8"/>
  <c r="D5" i="8"/>
  <c r="C5" i="8"/>
  <c r="B5" i="8"/>
  <c r="G4" i="8"/>
  <c r="F4" i="8"/>
  <c r="E4" i="8"/>
  <c r="D4" i="8"/>
  <c r="C4" i="8"/>
  <c r="B4" i="8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Y16" i="6"/>
  <c r="X16" i="6"/>
  <c r="W16" i="6"/>
  <c r="V16" i="6"/>
  <c r="U16" i="6"/>
  <c r="T16" i="6"/>
  <c r="S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Y14" i="6"/>
  <c r="X14" i="6"/>
  <c r="W14" i="6"/>
  <c r="V14" i="6"/>
  <c r="U14" i="6"/>
  <c r="T14" i="6"/>
  <c r="S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E18" i="5"/>
  <c r="D18" i="5"/>
  <c r="D29" i="7" s="1"/>
  <c r="F28" i="7"/>
  <c r="E17" i="5"/>
  <c r="D17" i="5"/>
  <c r="D28" i="7" s="1"/>
  <c r="F27" i="7"/>
  <c r="E16" i="5"/>
  <c r="D16" i="5"/>
  <c r="D27" i="7" s="1"/>
  <c r="F26" i="7"/>
  <c r="E15" i="5"/>
  <c r="D15" i="5"/>
  <c r="D26" i="7" s="1"/>
  <c r="E14" i="5"/>
  <c r="D14" i="5"/>
  <c r="D25" i="7" s="1"/>
  <c r="F24" i="7"/>
  <c r="E13" i="5"/>
  <c r="D13" i="5"/>
  <c r="D24" i="7" s="1"/>
  <c r="E12" i="5"/>
  <c r="D12" i="5"/>
  <c r="D23" i="7" s="1"/>
  <c r="E11" i="5"/>
  <c r="D11" i="5"/>
  <c r="D22" i="7" s="1"/>
  <c r="F21" i="7"/>
  <c r="E10" i="5"/>
  <c r="D10" i="5"/>
  <c r="D21" i="7" s="1"/>
  <c r="F20" i="7"/>
  <c r="E9" i="5"/>
  <c r="D9" i="5"/>
  <c r="D20" i="7" s="1"/>
  <c r="F19" i="7"/>
  <c r="E8" i="5"/>
  <c r="D8" i="5"/>
  <c r="D19" i="7" s="1"/>
  <c r="F18" i="7"/>
  <c r="E7" i="5"/>
  <c r="D7" i="5"/>
  <c r="D18" i="7" s="1"/>
  <c r="E6" i="5"/>
  <c r="D6" i="5"/>
  <c r="D17" i="7" s="1"/>
  <c r="E5" i="5"/>
  <c r="D5" i="5"/>
  <c r="DS5" i="4"/>
  <c r="DM6" i="4" s="1"/>
  <c r="DS6" i="4" s="1"/>
  <c r="DM7" i="4" s="1"/>
  <c r="DS7" i="4" s="1"/>
  <c r="DM8" i="4" s="1"/>
  <c r="DS8" i="4" s="1"/>
  <c r="DM9" i="4" s="1"/>
  <c r="DS9" i="4" s="1"/>
  <c r="DM10" i="4" s="1"/>
  <c r="DS10" i="4" s="1"/>
  <c r="DM11" i="4" s="1"/>
  <c r="DS11" i="4" s="1"/>
  <c r="DM12" i="4" s="1"/>
  <c r="DS12" i="4" s="1"/>
  <c r="DM13" i="4" s="1"/>
  <c r="DS13" i="4" s="1"/>
  <c r="DM14" i="4" s="1"/>
  <c r="DS14" i="4" s="1"/>
  <c r="DM15" i="4" s="1"/>
  <c r="DS15" i="4" s="1"/>
  <c r="DM16" i="4" s="1"/>
  <c r="DS16" i="4" s="1"/>
  <c r="DM17" i="4" s="1"/>
  <c r="DS17" i="4" s="1"/>
  <c r="DM18" i="4" s="1"/>
  <c r="DS18" i="4" s="1"/>
  <c r="DM19" i="4" s="1"/>
  <c r="DS19" i="4" s="1"/>
  <c r="DM20" i="4" s="1"/>
  <c r="DS20" i="4" s="1"/>
  <c r="DM21" i="4" s="1"/>
  <c r="DS21" i="4" s="1"/>
  <c r="DM22" i="4" s="1"/>
  <c r="DS22" i="4" s="1"/>
  <c r="DM23" i="4" s="1"/>
  <c r="DS23" i="4" s="1"/>
  <c r="DM24" i="4" s="1"/>
  <c r="DS24" i="4" s="1"/>
  <c r="DM25" i="4" s="1"/>
  <c r="DS25" i="4" s="1"/>
  <c r="DM26" i="4" s="1"/>
  <c r="DS26" i="4" s="1"/>
  <c r="DM27" i="4" s="1"/>
  <c r="DS27" i="4" s="1"/>
  <c r="DM28" i="4" s="1"/>
  <c r="DS28" i="4" s="1"/>
  <c r="DM29" i="4" s="1"/>
  <c r="DS29" i="4" s="1"/>
  <c r="DM30" i="4" s="1"/>
  <c r="DS30" i="4" s="1"/>
  <c r="DM31" i="4" s="1"/>
  <c r="DS31" i="4" s="1"/>
  <c r="DM32" i="4" s="1"/>
  <c r="DS32" i="4" s="1"/>
  <c r="DM33" i="4" s="1"/>
  <c r="DS33" i="4" s="1"/>
  <c r="DM34" i="4" s="1"/>
  <c r="DS34" i="4" s="1"/>
  <c r="G18" i="5" s="1"/>
  <c r="DL5" i="4"/>
  <c r="DF6" i="4" s="1"/>
  <c r="DL6" i="4" s="1"/>
  <c r="DF7" i="4" s="1"/>
  <c r="DL7" i="4" s="1"/>
  <c r="DF8" i="4" s="1"/>
  <c r="DL8" i="4" s="1"/>
  <c r="DF9" i="4" s="1"/>
  <c r="DL9" i="4" s="1"/>
  <c r="DF10" i="4" s="1"/>
  <c r="DL10" i="4" s="1"/>
  <c r="DF11" i="4" s="1"/>
  <c r="DL11" i="4" s="1"/>
  <c r="DF12" i="4" s="1"/>
  <c r="DL12" i="4" s="1"/>
  <c r="DF13" i="4" s="1"/>
  <c r="DL13" i="4" s="1"/>
  <c r="DF14" i="4" s="1"/>
  <c r="DL14" i="4" s="1"/>
  <c r="DF15" i="4" s="1"/>
  <c r="DL15" i="4" s="1"/>
  <c r="DF16" i="4" s="1"/>
  <c r="DL16" i="4" s="1"/>
  <c r="DF17" i="4" s="1"/>
  <c r="DL17" i="4" s="1"/>
  <c r="DF18" i="4" s="1"/>
  <c r="DL18" i="4" s="1"/>
  <c r="DF19" i="4" s="1"/>
  <c r="DL19" i="4" s="1"/>
  <c r="DF20" i="4" s="1"/>
  <c r="DL20" i="4" s="1"/>
  <c r="DF21" i="4" s="1"/>
  <c r="DL21" i="4" s="1"/>
  <c r="DF22" i="4" s="1"/>
  <c r="DL22" i="4" s="1"/>
  <c r="DF23" i="4" s="1"/>
  <c r="DL23" i="4" s="1"/>
  <c r="DF24" i="4" s="1"/>
  <c r="DL24" i="4" s="1"/>
  <c r="DF25" i="4" s="1"/>
  <c r="DL25" i="4" s="1"/>
  <c r="DF26" i="4" s="1"/>
  <c r="DL26" i="4" s="1"/>
  <c r="DF27" i="4" s="1"/>
  <c r="DL27" i="4" s="1"/>
  <c r="DF28" i="4" s="1"/>
  <c r="DL28" i="4" s="1"/>
  <c r="DF29" i="4" s="1"/>
  <c r="DL29" i="4" s="1"/>
  <c r="DF30" i="4" s="1"/>
  <c r="DL30" i="4" s="1"/>
  <c r="DF31" i="4" s="1"/>
  <c r="DL31" i="4" s="1"/>
  <c r="DF32" i="4" s="1"/>
  <c r="DL32" i="4" s="1"/>
  <c r="DF33" i="4" s="1"/>
  <c r="DL33" i="4" s="1"/>
  <c r="DF34" i="4" s="1"/>
  <c r="DL34" i="4" s="1"/>
  <c r="G17" i="5" s="1"/>
  <c r="DE5" i="4"/>
  <c r="CY6" i="4" s="1"/>
  <c r="DE6" i="4" s="1"/>
  <c r="CY7" i="4" s="1"/>
  <c r="DE7" i="4" s="1"/>
  <c r="CY8" i="4" s="1"/>
  <c r="DE8" i="4" s="1"/>
  <c r="CY9" i="4" s="1"/>
  <c r="DE9" i="4" s="1"/>
  <c r="CY10" i="4" s="1"/>
  <c r="DE10" i="4" s="1"/>
  <c r="CY11" i="4" s="1"/>
  <c r="DE11" i="4" s="1"/>
  <c r="CY12" i="4" s="1"/>
  <c r="DE12" i="4" s="1"/>
  <c r="CY13" i="4" s="1"/>
  <c r="DE13" i="4" s="1"/>
  <c r="CY14" i="4" s="1"/>
  <c r="DE14" i="4" s="1"/>
  <c r="CY15" i="4" s="1"/>
  <c r="DE15" i="4" s="1"/>
  <c r="CY16" i="4" s="1"/>
  <c r="DE16" i="4" s="1"/>
  <c r="CY17" i="4" s="1"/>
  <c r="DE17" i="4" s="1"/>
  <c r="CY18" i="4" s="1"/>
  <c r="DE18" i="4" s="1"/>
  <c r="CY19" i="4" s="1"/>
  <c r="DE19" i="4" s="1"/>
  <c r="CY20" i="4" s="1"/>
  <c r="DE20" i="4" s="1"/>
  <c r="CY21" i="4" s="1"/>
  <c r="DE21" i="4" s="1"/>
  <c r="CY22" i="4" s="1"/>
  <c r="DE22" i="4" s="1"/>
  <c r="CY23" i="4" s="1"/>
  <c r="DE23" i="4" s="1"/>
  <c r="CY24" i="4" s="1"/>
  <c r="DE24" i="4" s="1"/>
  <c r="CY25" i="4" s="1"/>
  <c r="DE25" i="4" s="1"/>
  <c r="CY26" i="4" s="1"/>
  <c r="DE26" i="4" s="1"/>
  <c r="CY27" i="4" s="1"/>
  <c r="DE27" i="4" s="1"/>
  <c r="CY28" i="4" s="1"/>
  <c r="DE28" i="4" s="1"/>
  <c r="CY29" i="4" s="1"/>
  <c r="DE29" i="4" s="1"/>
  <c r="CY30" i="4" s="1"/>
  <c r="DE30" i="4" s="1"/>
  <c r="CY31" i="4" s="1"/>
  <c r="DE31" i="4" s="1"/>
  <c r="CY32" i="4" s="1"/>
  <c r="DE32" i="4" s="1"/>
  <c r="CY33" i="4" s="1"/>
  <c r="DE33" i="4" s="1"/>
  <c r="CY34" i="4" s="1"/>
  <c r="DE34" i="4" s="1"/>
  <c r="G16" i="5" s="1"/>
  <c r="CO6" i="4"/>
  <c r="AZ5" i="4"/>
  <c r="AT6" i="4" s="1"/>
  <c r="AZ6" i="4" s="1"/>
  <c r="AT7" i="4" s="1"/>
  <c r="AZ7" i="4" s="1"/>
  <c r="AT8" i="4" s="1"/>
  <c r="AZ8" i="4" s="1"/>
  <c r="AT9" i="4" s="1"/>
  <c r="AZ9" i="4" s="1"/>
  <c r="AT10" i="4" s="1"/>
  <c r="AZ10" i="4" s="1"/>
  <c r="AT11" i="4" s="1"/>
  <c r="AZ11" i="4" s="1"/>
  <c r="AT12" i="4" s="1"/>
  <c r="AZ12" i="4" s="1"/>
  <c r="AT13" i="4" s="1"/>
  <c r="AZ13" i="4" s="1"/>
  <c r="AT14" i="4" s="1"/>
  <c r="AZ14" i="4" s="1"/>
  <c r="AT15" i="4" s="1"/>
  <c r="AZ15" i="4" s="1"/>
  <c r="AT16" i="4" s="1"/>
  <c r="AZ16" i="4" s="1"/>
  <c r="AT17" i="4" s="1"/>
  <c r="AZ17" i="4" s="1"/>
  <c r="AT18" i="4" s="1"/>
  <c r="AZ18" i="4" s="1"/>
  <c r="AT19" i="4" s="1"/>
  <c r="AZ19" i="4" s="1"/>
  <c r="AT20" i="4" s="1"/>
  <c r="AZ20" i="4" s="1"/>
  <c r="AT21" i="4" s="1"/>
  <c r="AZ21" i="4" s="1"/>
  <c r="AT22" i="4" s="1"/>
  <c r="AZ22" i="4" s="1"/>
  <c r="AT23" i="4" s="1"/>
  <c r="AZ23" i="4" s="1"/>
  <c r="AT24" i="4" s="1"/>
  <c r="AZ24" i="4" s="1"/>
  <c r="AT25" i="4" s="1"/>
  <c r="AZ25" i="4" s="1"/>
  <c r="AT26" i="4" s="1"/>
  <c r="AZ26" i="4" s="1"/>
  <c r="AT27" i="4" s="1"/>
  <c r="AZ27" i="4" s="1"/>
  <c r="AT28" i="4" s="1"/>
  <c r="AZ28" i="4" s="1"/>
  <c r="AT29" i="4" s="1"/>
  <c r="AZ29" i="4" s="1"/>
  <c r="AT30" i="4" s="1"/>
  <c r="AZ30" i="4" s="1"/>
  <c r="AT31" i="4" s="1"/>
  <c r="AZ31" i="4" s="1"/>
  <c r="AT32" i="4" s="1"/>
  <c r="AZ32" i="4" s="1"/>
  <c r="AT33" i="4" s="1"/>
  <c r="AZ33" i="4" s="1"/>
  <c r="AT34" i="4" s="1"/>
  <c r="AZ34" i="4" s="1"/>
  <c r="G10" i="5" s="1"/>
  <c r="AS5" i="4"/>
  <c r="AM6" i="4" s="1"/>
  <c r="AS6" i="4" s="1"/>
  <c r="AM7" i="4" s="1"/>
  <c r="AS7" i="4" s="1"/>
  <c r="AM8" i="4" s="1"/>
  <c r="AS8" i="4" s="1"/>
  <c r="AM9" i="4" s="1"/>
  <c r="AS9" i="4" s="1"/>
  <c r="AM10" i="4" s="1"/>
  <c r="AS10" i="4" s="1"/>
  <c r="AM11" i="4" s="1"/>
  <c r="AS11" i="4" s="1"/>
  <c r="AM12" i="4" s="1"/>
  <c r="AS12" i="4" s="1"/>
  <c r="AM13" i="4" s="1"/>
  <c r="AS13" i="4" s="1"/>
  <c r="AM14" i="4" s="1"/>
  <c r="AS14" i="4" s="1"/>
  <c r="AM15" i="4" s="1"/>
  <c r="AS15" i="4" s="1"/>
  <c r="AM16" i="4" s="1"/>
  <c r="AS16" i="4" s="1"/>
  <c r="AM17" i="4" s="1"/>
  <c r="AS17" i="4" s="1"/>
  <c r="AM18" i="4" s="1"/>
  <c r="AS18" i="4" s="1"/>
  <c r="AM19" i="4" s="1"/>
  <c r="AS19" i="4" s="1"/>
  <c r="AM20" i="4" s="1"/>
  <c r="AS20" i="4" s="1"/>
  <c r="AM21" i="4" s="1"/>
  <c r="AS21" i="4" s="1"/>
  <c r="AM22" i="4" s="1"/>
  <c r="AS22" i="4" s="1"/>
  <c r="AM23" i="4" s="1"/>
  <c r="AS23" i="4" s="1"/>
  <c r="AM24" i="4" s="1"/>
  <c r="AS24" i="4" s="1"/>
  <c r="AM25" i="4" s="1"/>
  <c r="AS25" i="4" s="1"/>
  <c r="AM26" i="4" s="1"/>
  <c r="AS26" i="4" s="1"/>
  <c r="AM27" i="4" s="1"/>
  <c r="AS27" i="4" s="1"/>
  <c r="AM28" i="4" s="1"/>
  <c r="AS28" i="4" s="1"/>
  <c r="AM29" i="4" s="1"/>
  <c r="AS29" i="4" s="1"/>
  <c r="AM30" i="4" s="1"/>
  <c r="AS30" i="4" s="1"/>
  <c r="AM31" i="4" s="1"/>
  <c r="AS31" i="4" s="1"/>
  <c r="AM32" i="4" s="1"/>
  <c r="AS32" i="4" s="1"/>
  <c r="AM33" i="4" s="1"/>
  <c r="AS33" i="4" s="1"/>
  <c r="AM34" i="4" s="1"/>
  <c r="AS34" i="4" s="1"/>
  <c r="G9" i="5" s="1"/>
  <c r="AL5" i="4"/>
  <c r="AF6" i="4" s="1"/>
  <c r="AL6" i="4" s="1"/>
  <c r="AF7" i="4" s="1"/>
  <c r="AL7" i="4" s="1"/>
  <c r="AF8" i="4" s="1"/>
  <c r="AL8" i="4" s="1"/>
  <c r="AF9" i="4" s="1"/>
  <c r="AL9" i="4" s="1"/>
  <c r="AF10" i="4" s="1"/>
  <c r="AL10" i="4" s="1"/>
  <c r="AF11" i="4" s="1"/>
  <c r="AL11" i="4" s="1"/>
  <c r="AF12" i="4" s="1"/>
  <c r="AL12" i="4" s="1"/>
  <c r="AF13" i="4" s="1"/>
  <c r="AL13" i="4" s="1"/>
  <c r="AF14" i="4" s="1"/>
  <c r="AL14" i="4" s="1"/>
  <c r="AF15" i="4" s="1"/>
  <c r="AL15" i="4" s="1"/>
  <c r="AF16" i="4" s="1"/>
  <c r="AL16" i="4" s="1"/>
  <c r="AF17" i="4" s="1"/>
  <c r="AL17" i="4" s="1"/>
  <c r="AF18" i="4" s="1"/>
  <c r="AL18" i="4" s="1"/>
  <c r="AF19" i="4" s="1"/>
  <c r="AL19" i="4" s="1"/>
  <c r="AF20" i="4" s="1"/>
  <c r="AL20" i="4" s="1"/>
  <c r="AF21" i="4" s="1"/>
  <c r="AL21" i="4" s="1"/>
  <c r="AF22" i="4" s="1"/>
  <c r="AL22" i="4" s="1"/>
  <c r="AF23" i="4" s="1"/>
  <c r="AL23" i="4" s="1"/>
  <c r="AF24" i="4" s="1"/>
  <c r="AL24" i="4" s="1"/>
  <c r="AF25" i="4" s="1"/>
  <c r="AL25" i="4" s="1"/>
  <c r="AF26" i="4" s="1"/>
  <c r="AL26" i="4" s="1"/>
  <c r="AF27" i="4" s="1"/>
  <c r="AL27" i="4" s="1"/>
  <c r="AF28" i="4" s="1"/>
  <c r="AL28" i="4" s="1"/>
  <c r="AF29" i="4" s="1"/>
  <c r="AL29" i="4" s="1"/>
  <c r="AF30" i="4" s="1"/>
  <c r="AL30" i="4" s="1"/>
  <c r="AF31" i="4" s="1"/>
  <c r="AL31" i="4" s="1"/>
  <c r="AF32" i="4" s="1"/>
  <c r="AL32" i="4" s="1"/>
  <c r="AF33" i="4" s="1"/>
  <c r="AL33" i="4" s="1"/>
  <c r="AF34" i="4" s="1"/>
  <c r="AL34" i="4" s="1"/>
  <c r="G8" i="5" s="1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A135" i="2"/>
  <c r="W134" i="2"/>
  <c r="W133" i="2"/>
  <c r="M133" i="2"/>
  <c r="O133" i="2" s="1"/>
  <c r="W132" i="2"/>
  <c r="M132" i="2"/>
  <c r="O132" i="2" s="1"/>
  <c r="W131" i="2"/>
  <c r="M131" i="2"/>
  <c r="O131" i="2" s="1"/>
  <c r="W130" i="2"/>
  <c r="M130" i="2"/>
  <c r="O130" i="2" s="1"/>
  <c r="W129" i="2"/>
  <c r="M129" i="2"/>
  <c r="O129" i="2" s="1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A104" i="2"/>
  <c r="W103" i="2"/>
  <c r="W102" i="2"/>
  <c r="M102" i="2"/>
  <c r="O102" i="2" s="1"/>
  <c r="W101" i="2"/>
  <c r="M101" i="2"/>
  <c r="O101" i="2" s="1"/>
  <c r="W100" i="2"/>
  <c r="M100" i="2"/>
  <c r="O100" i="2" s="1"/>
  <c r="W99" i="2"/>
  <c r="M99" i="2"/>
  <c r="O99" i="2" s="1"/>
  <c r="W98" i="2"/>
  <c r="M98" i="2"/>
  <c r="O98" i="2" s="1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A73" i="2"/>
  <c r="W72" i="2"/>
  <c r="W71" i="2"/>
  <c r="M71" i="2"/>
  <c r="O71" i="2" s="1"/>
  <c r="W70" i="2"/>
  <c r="M70" i="2"/>
  <c r="O70" i="2" s="1"/>
  <c r="W69" i="2"/>
  <c r="M69" i="2"/>
  <c r="O69" i="2" s="1"/>
  <c r="W68" i="2"/>
  <c r="M68" i="2"/>
  <c r="O68" i="2" s="1"/>
  <c r="W67" i="2"/>
  <c r="M67" i="2"/>
  <c r="O67" i="2" s="1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A42" i="2"/>
  <c r="W41" i="2"/>
  <c r="W40" i="2"/>
  <c r="M40" i="2"/>
  <c r="O40" i="2" s="1"/>
  <c r="W39" i="2"/>
  <c r="M39" i="2"/>
  <c r="O39" i="2" s="1"/>
  <c r="W38" i="2"/>
  <c r="M38" i="2"/>
  <c r="O38" i="2" s="1"/>
  <c r="W37" i="2"/>
  <c r="M37" i="2"/>
  <c r="O37" i="2" s="1"/>
  <c r="W36" i="2"/>
  <c r="M36" i="2"/>
  <c r="O36" i="2" s="1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A11" i="2"/>
  <c r="W10" i="2"/>
  <c r="W9" i="2"/>
  <c r="M9" i="2"/>
  <c r="O9" i="2" s="1"/>
  <c r="M8" i="2"/>
  <c r="O8" i="2" s="1"/>
  <c r="W7" i="2"/>
  <c r="M7" i="2"/>
  <c r="O7" i="2" s="1"/>
  <c r="W6" i="2"/>
  <c r="M6" i="2"/>
  <c r="O6" i="2" s="1"/>
  <c r="W5" i="2"/>
  <c r="M5" i="2"/>
  <c r="O5" i="2" s="1"/>
  <c r="AF7" i="10" l="1"/>
  <c r="CO7" i="4"/>
  <c r="CE7" i="4"/>
  <c r="BU7" i="4"/>
  <c r="BK7" i="4"/>
  <c r="BA7" i="4"/>
  <c r="V7" i="4"/>
  <c r="L7" i="4"/>
  <c r="B7" i="4"/>
  <c r="B34" i="9"/>
  <c r="H4" i="9"/>
  <c r="E29" i="7"/>
  <c r="H18" i="5"/>
  <c r="E28" i="7"/>
  <c r="H17" i="5"/>
  <c r="E27" i="7"/>
  <c r="H16" i="5"/>
  <c r="E26" i="7"/>
  <c r="H15" i="5"/>
  <c r="H14" i="5"/>
  <c r="E25" i="7"/>
  <c r="E24" i="7"/>
  <c r="H13" i="5"/>
  <c r="E23" i="7"/>
  <c r="H12" i="5"/>
  <c r="E22" i="7"/>
  <c r="H11" i="5"/>
  <c r="E21" i="7"/>
  <c r="H10" i="5"/>
  <c r="E20" i="7"/>
  <c r="H9" i="5"/>
  <c r="E19" i="7"/>
  <c r="H8" i="5"/>
  <c r="H7" i="5"/>
  <c r="E18" i="7"/>
  <c r="H6" i="5"/>
  <c r="E17" i="7"/>
  <c r="F16" i="7"/>
  <c r="F20" i="5"/>
  <c r="E16" i="7"/>
  <c r="E20" i="5"/>
  <c r="H5" i="5"/>
  <c r="D16" i="7"/>
  <c r="D20" i="5"/>
  <c r="CX7" i="4" l="1"/>
  <c r="CO8" i="4" s="1"/>
  <c r="CN7" i="4"/>
  <c r="CE8" i="4" s="1"/>
  <c r="CD7" i="4"/>
  <c r="BU8" i="4" s="1"/>
  <c r="BT7" i="4"/>
  <c r="BK8" i="4" s="1"/>
  <c r="BJ7" i="4"/>
  <c r="BA8" i="4"/>
  <c r="AE7" i="4"/>
  <c r="V8" i="4" s="1"/>
  <c r="U7" i="4"/>
  <c r="L8" i="4"/>
  <c r="K7" i="4"/>
  <c r="B8" i="4"/>
  <c r="CX8" i="4" l="1"/>
  <c r="CO9" i="4" s="1"/>
  <c r="CN8" i="4"/>
  <c r="CE9" i="4" s="1"/>
  <c r="CD8" i="4"/>
  <c r="BU9" i="4" s="1"/>
  <c r="BK9" i="4"/>
  <c r="BJ8" i="4"/>
  <c r="BA9" i="4" s="1"/>
  <c r="AE8" i="4"/>
  <c r="V9" i="4"/>
  <c r="U8" i="4"/>
  <c r="L9" i="4"/>
  <c r="K8" i="4"/>
  <c r="B9" i="4" s="1"/>
  <c r="CX9" i="4" l="1"/>
  <c r="CO10" i="4"/>
  <c r="CN9" i="4"/>
  <c r="CE10" i="4" s="1"/>
  <c r="CD9" i="4"/>
  <c r="BU10" i="4" s="1"/>
  <c r="BT9" i="4"/>
  <c r="BK10" i="4" s="1"/>
  <c r="BJ9" i="4"/>
  <c r="BA10" i="4" s="1"/>
  <c r="AE9" i="4"/>
  <c r="V10" i="4"/>
  <c r="U9" i="4"/>
  <c r="L10" i="4" s="1"/>
  <c r="K9" i="4"/>
  <c r="B10" i="4"/>
  <c r="CX10" i="4" l="1"/>
  <c r="CO11" i="4"/>
  <c r="CN10" i="4"/>
  <c r="CE11" i="4"/>
  <c r="CD10" i="4"/>
  <c r="BU11" i="4" s="1"/>
  <c r="BK11" i="4"/>
  <c r="BJ10" i="4"/>
  <c r="BA11" i="4" s="1"/>
  <c r="AE10" i="4"/>
  <c r="V11" i="4"/>
  <c r="U10" i="4"/>
  <c r="L11" i="4"/>
  <c r="K10" i="4"/>
  <c r="B11" i="4"/>
  <c r="CX11" i="4" l="1"/>
  <c r="CO12" i="4"/>
  <c r="CN11" i="4"/>
  <c r="CE12" i="4" s="1"/>
  <c r="CD11" i="4"/>
  <c r="BU12" i="4"/>
  <c r="BT11" i="4"/>
  <c r="BK12" i="4" s="1"/>
  <c r="BJ11" i="4"/>
  <c r="BA12" i="4" s="1"/>
  <c r="AE11" i="4"/>
  <c r="V12" i="4"/>
  <c r="U11" i="4"/>
  <c r="L12" i="4"/>
  <c r="K11" i="4"/>
  <c r="B12" i="4"/>
  <c r="CX12" i="4" l="1"/>
  <c r="CO13" i="4"/>
  <c r="CN12" i="4"/>
  <c r="CE13" i="4"/>
  <c r="CD12" i="4"/>
  <c r="BU13" i="4"/>
  <c r="BT12" i="4"/>
  <c r="BK13" i="4" s="1"/>
  <c r="BJ12" i="4"/>
  <c r="BA13" i="4" s="1"/>
  <c r="AE12" i="4"/>
  <c r="V13" i="4"/>
  <c r="U12" i="4"/>
  <c r="L13" i="4"/>
  <c r="K12" i="4"/>
  <c r="B13" i="4"/>
  <c r="CX13" i="4" l="1"/>
  <c r="CO14" i="4"/>
  <c r="CN13" i="4"/>
  <c r="CE14" i="4"/>
  <c r="CD13" i="4"/>
  <c r="BU14" i="4" s="1"/>
  <c r="BT13" i="4"/>
  <c r="BK14" i="4" s="1"/>
  <c r="BJ13" i="4"/>
  <c r="BA14" i="4"/>
  <c r="AE13" i="4"/>
  <c r="V14" i="4"/>
  <c r="U13" i="4"/>
  <c r="L14" i="4"/>
  <c r="K13" i="4"/>
  <c r="B14" i="4"/>
  <c r="CX14" i="4" l="1"/>
  <c r="CO15" i="4" s="1"/>
  <c r="CN14" i="4"/>
  <c r="CE15" i="4"/>
  <c r="CD14" i="4"/>
  <c r="BU15" i="4" s="1"/>
  <c r="BT14" i="4"/>
  <c r="BK15" i="4" s="1"/>
  <c r="BJ14" i="4"/>
  <c r="BA15" i="4" s="1"/>
  <c r="AE14" i="4"/>
  <c r="V15" i="4"/>
  <c r="U14" i="4"/>
  <c r="L15" i="4" s="1"/>
  <c r="K14" i="4"/>
  <c r="B15" i="4" s="1"/>
  <c r="CX15" i="4" l="1"/>
  <c r="CO16" i="4"/>
  <c r="CN15" i="4"/>
  <c r="CE16" i="4" s="1"/>
  <c r="CD15" i="4"/>
  <c r="BU16" i="4" s="1"/>
  <c r="BT15" i="4"/>
  <c r="BK16" i="4" s="1"/>
  <c r="BJ15" i="4"/>
  <c r="BA16" i="4"/>
  <c r="AE15" i="4"/>
  <c r="V16" i="4"/>
  <c r="U15" i="4"/>
  <c r="L16" i="4"/>
  <c r="K15" i="4"/>
  <c r="B16" i="4" s="1"/>
  <c r="CX16" i="4" l="1"/>
  <c r="CO17" i="4"/>
  <c r="CN16" i="4"/>
  <c r="CE17" i="4"/>
  <c r="CD16" i="4"/>
  <c r="BU17" i="4" s="1"/>
  <c r="BT16" i="4"/>
  <c r="BK17" i="4" s="1"/>
  <c r="BJ16" i="4"/>
  <c r="BA17" i="4" s="1"/>
  <c r="AE16" i="4"/>
  <c r="V17" i="4" s="1"/>
  <c r="U16" i="4"/>
  <c r="L17" i="4"/>
  <c r="K16" i="4"/>
  <c r="B17" i="4" s="1"/>
  <c r="CX17" i="4" l="1"/>
  <c r="CO18" i="4"/>
  <c r="CN17" i="4"/>
  <c r="CE18" i="4" s="1"/>
  <c r="CD17" i="4"/>
  <c r="BU18" i="4" s="1"/>
  <c r="BT17" i="4"/>
  <c r="BK18" i="4" s="1"/>
  <c r="BJ17" i="4"/>
  <c r="BA18" i="4"/>
  <c r="AE17" i="4"/>
  <c r="V18" i="4" s="1"/>
  <c r="U17" i="4"/>
  <c r="L18" i="4"/>
  <c r="K17" i="4"/>
  <c r="B18" i="4" s="1"/>
  <c r="CX18" i="4" l="1"/>
  <c r="CO19" i="4"/>
  <c r="CN18" i="4"/>
  <c r="CE19" i="4" s="1"/>
  <c r="CD18" i="4"/>
  <c r="BU19" i="4" s="1"/>
  <c r="BT18" i="4"/>
  <c r="BK19" i="4" s="1"/>
  <c r="BJ18" i="4"/>
  <c r="BA19" i="4"/>
  <c r="AE18" i="4"/>
  <c r="V19" i="4"/>
  <c r="U18" i="4"/>
  <c r="L19" i="4"/>
  <c r="K18" i="4"/>
  <c r="B19" i="4"/>
  <c r="CX19" i="4" l="1"/>
  <c r="CO20" i="4"/>
  <c r="CN19" i="4"/>
  <c r="CE20" i="4"/>
  <c r="CD19" i="4"/>
  <c r="BU20" i="4" s="1"/>
  <c r="BT19" i="4"/>
  <c r="BK20" i="4" s="1"/>
  <c r="BJ19" i="4"/>
  <c r="BA20" i="4"/>
  <c r="AE19" i="4"/>
  <c r="V20" i="4"/>
  <c r="U19" i="4"/>
  <c r="L20" i="4"/>
  <c r="K19" i="4"/>
  <c r="B20" i="4"/>
  <c r="CX20" i="4" l="1"/>
  <c r="CO21" i="4"/>
  <c r="CN20" i="4"/>
  <c r="CE21" i="4" s="1"/>
  <c r="CD20" i="4"/>
  <c r="BU21" i="4"/>
  <c r="BT20" i="4"/>
  <c r="BK21" i="4" s="1"/>
  <c r="BJ20" i="4"/>
  <c r="BA21" i="4"/>
  <c r="AE20" i="4"/>
  <c r="V21" i="4"/>
  <c r="U20" i="4"/>
  <c r="L21" i="4" s="1"/>
  <c r="K20" i="4"/>
  <c r="B21" i="4"/>
  <c r="CX21" i="4" l="1"/>
  <c r="CO22" i="4"/>
  <c r="CN21" i="4"/>
  <c r="CE22" i="4"/>
  <c r="CD21" i="4"/>
  <c r="BU22" i="4" s="1"/>
  <c r="BT21" i="4"/>
  <c r="BK22" i="4" s="1"/>
  <c r="BJ21" i="4"/>
  <c r="BA22" i="4"/>
  <c r="AE21" i="4"/>
  <c r="V22" i="4"/>
  <c r="U21" i="4"/>
  <c r="L22" i="4" s="1"/>
  <c r="K21" i="4"/>
  <c r="B22" i="4"/>
  <c r="CX22" i="4" l="1"/>
  <c r="CO23" i="4"/>
  <c r="CN22" i="4"/>
  <c r="CE23" i="4"/>
  <c r="CD22" i="4"/>
  <c r="BU23" i="4"/>
  <c r="BT22" i="4"/>
  <c r="BK23" i="4" s="1"/>
  <c r="BJ22" i="4"/>
  <c r="BA23" i="4"/>
  <c r="AE22" i="4"/>
  <c r="V23" i="4"/>
  <c r="U22" i="4"/>
  <c r="L23" i="4" s="1"/>
  <c r="K22" i="4"/>
  <c r="B23" i="4"/>
  <c r="CX23" i="4" l="1"/>
  <c r="CO24" i="4"/>
  <c r="CN23" i="4"/>
  <c r="CE24" i="4"/>
  <c r="CD23" i="4"/>
  <c r="BU24" i="4" s="1"/>
  <c r="BT23" i="4"/>
  <c r="BK24" i="4" s="1"/>
  <c r="BJ23" i="4"/>
  <c r="BA24" i="4" s="1"/>
  <c r="AE23" i="4"/>
  <c r="V24" i="4"/>
  <c r="U23" i="4"/>
  <c r="L24" i="4"/>
  <c r="K23" i="4"/>
  <c r="B24" i="4"/>
  <c r="CX24" i="4" l="1"/>
  <c r="CO25" i="4"/>
  <c r="CN24" i="4"/>
  <c r="CE25" i="4"/>
  <c r="CD24" i="4"/>
  <c r="BU25" i="4" s="1"/>
  <c r="BT24" i="4"/>
  <c r="BK25" i="4" s="1"/>
  <c r="BJ24" i="4"/>
  <c r="BA25" i="4" s="1"/>
  <c r="AE24" i="4"/>
  <c r="V25" i="4"/>
  <c r="U24" i="4"/>
  <c r="L25" i="4"/>
  <c r="K24" i="4"/>
  <c r="B25" i="4" s="1"/>
  <c r="CX25" i="4" l="1"/>
  <c r="CO26" i="4"/>
  <c r="CN25" i="4"/>
  <c r="CE26" i="4"/>
  <c r="CD25" i="4"/>
  <c r="BU26" i="4"/>
  <c r="BT25" i="4"/>
  <c r="BK26" i="4" s="1"/>
  <c r="BJ25" i="4"/>
  <c r="BA26" i="4" s="1"/>
  <c r="AE25" i="4"/>
  <c r="V26" i="4" s="1"/>
  <c r="U25" i="4"/>
  <c r="L26" i="4"/>
  <c r="K25" i="4"/>
  <c r="B26" i="4" s="1"/>
  <c r="CX26" i="4" l="1"/>
  <c r="CO27" i="4"/>
  <c r="CN26" i="4"/>
  <c r="CE27" i="4"/>
  <c r="CD26" i="4"/>
  <c r="BU27" i="4"/>
  <c r="BT26" i="4"/>
  <c r="BK27" i="4" s="1"/>
  <c r="BJ26" i="4"/>
  <c r="BA27" i="4" s="1"/>
  <c r="AE26" i="4"/>
  <c r="V27" i="4" s="1"/>
  <c r="U26" i="4"/>
  <c r="L27" i="4"/>
  <c r="K26" i="4"/>
  <c r="B27" i="4" s="1"/>
  <c r="CX27" i="4" l="1"/>
  <c r="CO28" i="4"/>
  <c r="CN27" i="4"/>
  <c r="CE28" i="4"/>
  <c r="CD27" i="4"/>
  <c r="BU28" i="4"/>
  <c r="BT27" i="4"/>
  <c r="BK28" i="4" s="1"/>
  <c r="BJ27" i="4"/>
  <c r="BA28" i="4" s="1"/>
  <c r="AE27" i="4"/>
  <c r="V28" i="4"/>
  <c r="U27" i="4"/>
  <c r="L28" i="4"/>
  <c r="K27" i="4"/>
  <c r="B28" i="4" s="1"/>
  <c r="CX28" i="4" l="1"/>
  <c r="CO29" i="4"/>
  <c r="CN28" i="4"/>
  <c r="CE29" i="4"/>
  <c r="CD28" i="4"/>
  <c r="BU29" i="4" s="1"/>
  <c r="BT28" i="4"/>
  <c r="BK29" i="4" s="1"/>
  <c r="BJ28" i="4"/>
  <c r="BA29" i="4"/>
  <c r="AE28" i="4"/>
  <c r="V29" i="4" s="1"/>
  <c r="U28" i="4"/>
  <c r="L29" i="4" s="1"/>
  <c r="K28" i="4"/>
  <c r="B29" i="4"/>
  <c r="CX29" i="4" l="1"/>
  <c r="CO30" i="4" s="1"/>
  <c r="CN29" i="4"/>
  <c r="CE30" i="4"/>
  <c r="CD29" i="4"/>
  <c r="BU30" i="4" s="1"/>
  <c r="BT29" i="4"/>
  <c r="BK30" i="4" s="1"/>
  <c r="BJ29" i="4"/>
  <c r="BA30" i="4"/>
  <c r="AE29" i="4"/>
  <c r="V30" i="4"/>
  <c r="U29" i="4"/>
  <c r="L30" i="4" s="1"/>
  <c r="K29" i="4"/>
  <c r="B30" i="4"/>
  <c r="CX30" i="4" l="1"/>
  <c r="CO31" i="4" s="1"/>
  <c r="CN30" i="4"/>
  <c r="CE31" i="4" s="1"/>
  <c r="CD30" i="4"/>
  <c r="BU31" i="4" s="1"/>
  <c r="BT30" i="4"/>
  <c r="BK31" i="4" s="1"/>
  <c r="BJ30" i="4"/>
  <c r="BA31" i="4"/>
  <c r="AE30" i="4"/>
  <c r="V31" i="4"/>
  <c r="U30" i="4"/>
  <c r="L31" i="4"/>
  <c r="K30" i="4"/>
  <c r="B31" i="4"/>
  <c r="CX31" i="4" l="1"/>
  <c r="CO32" i="4" s="1"/>
  <c r="CN31" i="4"/>
  <c r="CE32" i="4"/>
  <c r="CD31" i="4"/>
  <c r="BU32" i="4" s="1"/>
  <c r="BT31" i="4"/>
  <c r="BK32" i="4" s="1"/>
  <c r="BJ31" i="4"/>
  <c r="BA32" i="4" s="1"/>
  <c r="AE31" i="4"/>
  <c r="V32" i="4" s="1"/>
  <c r="U31" i="4"/>
  <c r="L32" i="4" s="1"/>
  <c r="K31" i="4"/>
  <c r="B32" i="4"/>
  <c r="CX32" i="4" l="1"/>
  <c r="CO33" i="4" s="1"/>
  <c r="CN32" i="4"/>
  <c r="CE33" i="4"/>
  <c r="CD32" i="4"/>
  <c r="BU33" i="4"/>
  <c r="BT32" i="4"/>
  <c r="BK33" i="4" s="1"/>
  <c r="BJ32" i="4"/>
  <c r="BA33" i="4" s="1"/>
  <c r="AE32" i="4"/>
  <c r="V33" i="4" s="1"/>
  <c r="U32" i="4"/>
  <c r="L33" i="4" s="1"/>
  <c r="K32" i="4"/>
  <c r="B33" i="4"/>
  <c r="CX33" i="4" l="1"/>
  <c r="CO34" i="4"/>
  <c r="CN33" i="4"/>
  <c r="CE34" i="4"/>
  <c r="CD33" i="4"/>
  <c r="BU34" i="4" s="1"/>
  <c r="BT33" i="4"/>
  <c r="BK34" i="4" s="1"/>
  <c r="BJ33" i="4"/>
  <c r="BA34" i="4"/>
  <c r="AE33" i="4"/>
  <c r="V34" i="4"/>
  <c r="U33" i="4"/>
  <c r="L34" i="4" s="1"/>
  <c r="K33" i="4"/>
  <c r="B34" i="4"/>
  <c r="CX34" i="4" l="1"/>
  <c r="G15" i="5"/>
  <c r="CN34" i="4"/>
  <c r="G14" i="5"/>
  <c r="CD34" i="4"/>
  <c r="G13" i="5"/>
  <c r="BT34" i="4"/>
  <c r="G12" i="5" s="1"/>
  <c r="BJ34" i="4"/>
  <c r="G11" i="5"/>
  <c r="AE34" i="4"/>
  <c r="G7" i="5"/>
  <c r="U34" i="4"/>
  <c r="G6" i="5"/>
  <c r="K34" i="4"/>
  <c r="G5" i="5"/>
  <c r="G20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<sst xmlns="http://schemas.openxmlformats.org/spreadsheetml/2006/main" count="1012" uniqueCount="309">
  <si>
    <t>INFO TANGKI - DATA FILLING &amp; RETENSI - MARET 2026</t>
  </si>
  <si>
    <t>Isi sheet ini dengan info tanggal filling setiap tangki. Data digunakan otomatis oleh sheet EVALUASI STABILITAS.</t>
  </si>
  <si>
    <t>NO</t>
  </si>
  <si>
    <t>TANGKI</t>
  </si>
  <si>
    <t>PRODUK</t>
  </si>
  <si>
    <t>AWAL FILLING</t>
  </si>
  <si>
    <t>AKHIR FILLING</t>
  </si>
  <si>
    <t>RETENTION TIME
(hari)</t>
  </si>
  <si>
    <t>TONASE (kg)</t>
  </si>
  <si>
    <t>BE YANG
DIGUNAKAN</t>
  </si>
  <si>
    <t>CATATAN</t>
  </si>
  <si>
    <t>CPO ST01</t>
  </si>
  <si>
    <t>CPO</t>
  </si>
  <si>
    <t>CPO ST02</t>
  </si>
  <si>
    <t>CPO ST03</t>
  </si>
  <si>
    <t>PFAD ST04</t>
  </si>
  <si>
    <t>PFAD</t>
  </si>
  <si>
    <t>Stearin ST05</t>
  </si>
  <si>
    <t>Stearin</t>
  </si>
  <si>
    <t>Stearin ST06</t>
  </si>
  <si>
    <t>Olein ST07</t>
  </si>
  <si>
    <t>Olein</t>
  </si>
  <si>
    <t>15 Jan 2026</t>
  </si>
  <si>
    <t>20 Jan 2026</t>
  </si>
  <si>
    <t>CLARIANT OPTIMUM</t>
  </si>
  <si>
    <t>Olein ST08</t>
  </si>
  <si>
    <t>23 Jan 2026</t>
  </si>
  <si>
    <t>Olein ST09</t>
  </si>
  <si>
    <t>26 Jan 2026</t>
  </si>
  <si>
    <t>Olein ST10</t>
  </si>
  <si>
    <t>04 Jan 2026</t>
  </si>
  <si>
    <t>04 Feb 2026</t>
  </si>
  <si>
    <t>Olein ST11</t>
  </si>
  <si>
    <t>RBDPO ST13</t>
  </si>
  <si>
    <t>RBDPO</t>
  </si>
  <si>
    <t>RBDPO ST14</t>
  </si>
  <si>
    <t>Buffer 2</t>
  </si>
  <si>
    <t>EVALUASI STABILITAS MUTU PRODUK SELAMA PENYIMPANAN DI TANGKI - PT WIJAYA INTI NUSANTARA SAWIT - MARET 2026</t>
  </si>
  <si>
    <t>Laporan ini otomatis mengambil data dari sheet INPUT KUALITAS. Kesimpulan dan laju kenaikan FFA dihitung otomatis berdasarkan data harian yang diinput.</t>
  </si>
  <si>
    <t xml:space="preserve">  ST 07 OLEIN  |  15 Jan 2026 s/d 20 Jan 2026  |  Retensi: 70 hari</t>
  </si>
  <si>
    <t>ST 07 OLEIN
Tonase       : 536,860 kg
Awal Filling : 15 Jan 2026
Akhir Filling: 20 Jan 2026
As of        : 31 Maret 2026</t>
  </si>
  <si>
    <t>PARAMETER</t>
  </si>
  <si>
    <t>Awal
(20 Jan 2026)</t>
  </si>
  <si>
    <t>31 Maret 2026
(Akhir Bulan)</t>
  </si>
  <si>
    <t>Perubahan</t>
  </si>
  <si>
    <t>TGL-ST 0</t>
  </si>
  <si>
    <t>FFA ST 07 OLEIN</t>
  </si>
  <si>
    <t>FFA</t>
  </si>
  <si>
    <t>01/Mar</t>
  </si>
  <si>
    <t>Moist</t>
  </si>
  <si>
    <t>02/Mar</t>
  </si>
  <si>
    <t>Colour</t>
  </si>
  <si>
    <t>03/Mar</t>
  </si>
  <si>
    <t>IV</t>
  </si>
  <si>
    <t>04/Mar</t>
  </si>
  <si>
    <t>CP</t>
  </si>
  <si>
    <t>05/Mar</t>
  </si>
  <si>
    <t>KESIMPULAN OTOMATIS</t>
  </si>
  <si>
    <t>06/Mar</t>
  </si>
  <si>
    <t>07/Mar</t>
  </si>
  <si>
    <t>✅  COLOR: Awal 2.1 → Akhir Bulan (lihat data). Tidak menunjukkan kenaikan signifikan selama penyimpanan.</t>
  </si>
  <si>
    <t>08/Mar</t>
  </si>
  <si>
    <t>ℹ️  IV: Awal 56.21 → Perubahan minimal selama penyimpanan. CP: Awal 9.8°C → Pantau bila mendekati batas 10°C.</t>
  </si>
  <si>
    <t>09/Mar</t>
  </si>
  <si>
    <t>📝  Note: BE yang digunakan CLARIANT OPTIMUM</t>
  </si>
  <si>
    <t>10/Mar</t>
  </si>
  <si>
    <t>11/Mar</t>
  </si>
  <si>
    <t>12/Mar</t>
  </si>
  <si>
    <t>13/Mar</t>
  </si>
  <si>
    <t>14/Mar</t>
  </si>
  <si>
    <t>15/Mar</t>
  </si>
  <si>
    <t>16/Mar</t>
  </si>
  <si>
    <t>17/Mar</t>
  </si>
  <si>
    <t>18/Mar</t>
  </si>
  <si>
    <t>19/Mar</t>
  </si>
  <si>
    <t>20/Mar</t>
  </si>
  <si>
    <t>21/Mar</t>
  </si>
  <si>
    <t>22/Mar</t>
  </si>
  <si>
    <t>23/Mar</t>
  </si>
  <si>
    <t>24/Mar</t>
  </si>
  <si>
    <t>25/Mar</t>
  </si>
  <si>
    <t>26/Mar</t>
  </si>
  <si>
    <t>27/Mar</t>
  </si>
  <si>
    <t>28/Mar</t>
  </si>
  <si>
    <t>29/Mar</t>
  </si>
  <si>
    <t xml:space="preserve">  ST 08 OLEIN  |  20 Jan 2026 s/d 23 Jan 2026  |  Retensi: 67 hari</t>
  </si>
  <si>
    <t>30/Mar</t>
  </si>
  <si>
    <t>ST 08 OLEIN
Tonase       : 390,600 kg
Awal Filling : 20 Jan 2026
Akhir Filling: 23 Jan 2026
As of        : 31 Maret 2026</t>
  </si>
  <si>
    <t>Awal
(23 Jan 2026)</t>
  </si>
  <si>
    <t>FFA ST 08 OLEIN</t>
  </si>
  <si>
    <t>ℹ️  IV: Awal 57.85 → Perubahan minimal selama penyimpanan. CP: Awal 8.8°C → Pantau bila mendekati batas 10°C.</t>
  </si>
  <si>
    <t xml:space="preserve">  ST 09 OLEIN  |  23 Jan 2026 s/d 26 Jan 2026  |  Retensi: 64 hari</t>
  </si>
  <si>
    <t>ST 09 OLEIN
Tonase       : 508,583 kg
Awal Filling : 23 Jan 2026
Akhir Filling: 26 Jan 2026
As of        : 31 Maret 2026</t>
  </si>
  <si>
    <t>Awal
(26 Jan 2026)</t>
  </si>
  <si>
    <t>FFA ST 09 OLEIN</t>
  </si>
  <si>
    <t>ℹ️  IV: Awal 56.3 → Perubahan minimal selama penyimpanan. CP: Awal 9.8°C → Pantau bila mendekati batas 10°C.</t>
  </si>
  <si>
    <t xml:space="preserve">  ST 10 OLEIN  |  04 Jan 2026 s/d 04 Feb 2026  |  Retensi: 55 hari</t>
  </si>
  <si>
    <t>ST 10 OLEIN
Tonase       : 510,730 kg
Awal Filling : 04 Jan 2026
Akhir Filling: 04 Feb 2026
As of        : 31 Maret 2026</t>
  </si>
  <si>
    <t>Awal
(04 Feb 2026)</t>
  </si>
  <si>
    <t>TGL-ST 1</t>
  </si>
  <si>
    <t>FFA ST 10 OLEIN</t>
  </si>
  <si>
    <t>✅  COLOR: Awal 2.2 → Akhir Bulan (lihat data). Tidak menunjukkan kenaikan signifikan selama penyimpanan.</t>
  </si>
  <si>
    <t>ℹ️  IV: Awal 56.55 → Perubahan minimal selama penyimpanan. CP: Awal 9.6°C → Pantau bila mendekati batas 10°C.</t>
  </si>
  <si>
    <t xml:space="preserve">  ST 11 OLEIN  |  04 Feb 2026 s/d 04 Feb 2026  |  Retensi: 55 hari</t>
  </si>
  <si>
    <t>ST 11 OLEIN
Tonase       : 26,023 kg
Awal Filling : 04 Feb 2026
Akhir Filling: 04 Feb 2026
As of        : 31 Maret 2026</t>
  </si>
  <si>
    <t>FFA ST 11 OLEIN</t>
  </si>
  <si>
    <t>✅  COLOR: Awal 2.3 → Akhir Bulan (lihat data). Tidak menunjukkan kenaikan signifikan selama penyimpanan.</t>
  </si>
  <si>
    <t>ℹ️  IV: Awal 57.07 → Perubahan minimal selama penyimpanan. CP: Awal 8.4°C → Pantau bila mendekati batas 10°C.</t>
  </si>
  <si>
    <t>INPUT KUALITAS HARIAN - STORAGE TANK - MARET 2026</t>
  </si>
  <si>
    <t>Keterangan:</t>
  </si>
  <si>
    <t>OK</t>
  </si>
  <si>
    <t>AMBANG BATAS</t>
  </si>
  <si>
    <t>OVER SPEC</t>
  </si>
  <si>
    <t>STANDAR: CPO FFA&lt;=5.0% | DOBI&gt;=2.31 | IV&gt;=50 | Olein FFA&lt;=0.10% | IV&gt;=56.0 | CP&lt;=10C | RBDPO FFA&lt;=0.10% | IV&gt;=50 | PV&lt;=2.0 | Stearin FFA&lt;=0.15% | IV&gt;=34 | MP&gt;=48C</t>
  </si>
  <si>
    <t>TANGGAL</t>
  </si>
  <si>
    <t>CPO ST 01</t>
  </si>
  <si>
    <t>CPO ST 02</t>
  </si>
  <si>
    <t>CPO ST 03</t>
  </si>
  <si>
    <t>Tonase
(kg)</t>
  </si>
  <si>
    <t>FFA
(%)</t>
  </si>
  <si>
    <t>M+I
(%)</t>
  </si>
  <si>
    <t>DOBI</t>
  </si>
  <si>
    <t>PV</t>
  </si>
  <si>
    <t>ANV</t>
  </si>
  <si>
    <t>TOX</t>
  </si>
  <si>
    <t>Tonase</t>
  </si>
  <si>
    <t>FFA (%)</t>
  </si>
  <si>
    <t>Moist (%)</t>
  </si>
  <si>
    <t>CLR</t>
  </si>
  <si>
    <t>MP (C)</t>
  </si>
  <si>
    <t>CP (C)</t>
  </si>
  <si>
    <t>Catatan</t>
  </si>
  <si>
    <t>01 Mar (Min)</t>
  </si>
  <si>
    <t>02 Mar (Sen)</t>
  </si>
  <si>
    <t>03 Mar (Sel)</t>
  </si>
  <si>
    <t>04 Mar (Rab)</t>
  </si>
  <si>
    <t>05 Mar (Kam)</t>
  </si>
  <si>
    <t>06 Mar (Jum)</t>
  </si>
  <si>
    <t>2.2R/22Y</t>
  </si>
  <si>
    <t>2.1R/21Y</t>
  </si>
  <si>
    <t>2.3R/23Y</t>
  </si>
  <si>
    <t>2.4R/24Y</t>
  </si>
  <si>
    <t>07 Mar (Sab)</t>
  </si>
  <si>
    <t>08 Mar (Min)</t>
  </si>
  <si>
    <t>09 Mar (Sen)</t>
  </si>
  <si>
    <t>10 Mar (Sel)</t>
  </si>
  <si>
    <t>11 Mar (Rab)</t>
  </si>
  <si>
    <t>12 Mar (Kam)</t>
  </si>
  <si>
    <t>13 Mar (Jum)</t>
  </si>
  <si>
    <t>14 Mar (Sab)</t>
  </si>
  <si>
    <t>15 Mar (Min)</t>
  </si>
  <si>
    <t>16 Mar (Sen)</t>
  </si>
  <si>
    <t>17 Mar (Sel)</t>
  </si>
  <si>
    <t>18 Mar (Rab)</t>
  </si>
  <si>
    <t>19 Mar (Kam)</t>
  </si>
  <si>
    <t>20 Mar (Jum)</t>
  </si>
  <si>
    <t>21 Mar (Sab)</t>
  </si>
  <si>
    <t>22 Mar (Min)</t>
  </si>
  <si>
    <t>23 Mar (Sen)</t>
  </si>
  <si>
    <t>24 Mar (Sel)</t>
  </si>
  <si>
    <t>25 Mar (Rab)</t>
  </si>
  <si>
    <t>26 Mar (Kam)</t>
  </si>
  <si>
    <t>27 Mar (Jum)</t>
  </si>
  <si>
    <t>28 Mar (Sab)</t>
  </si>
  <si>
    <t>29 Mar (Min)</t>
  </si>
  <si>
    <t>30 Mar (Sen)</t>
  </si>
  <si>
    <t>MUTASI STOK HARIAN - SEMUA TANGKI - MARET 2026</t>
  </si>
  <si>
    <t>Kolom BIRU = Input manual  |  Kolom KUNING = No DO (input)  |  Kolom PINK = Tujuan/Pembeli (input)  |  Kolom HIJAU = Sisa Stok (otomatis)</t>
  </si>
  <si>
    <t>Stok Awal
(kg)</t>
  </si>
  <si>
    <t>Masuk
(kg)</t>
  </si>
  <si>
    <t>No DO
Masuk</t>
  </si>
  <si>
    <t>Keluar
(kg)</t>
  </si>
  <si>
    <t>No DO
Keluar</t>
  </si>
  <si>
    <t>Tujuan /
Pembeli</t>
  </si>
  <si>
    <t>Sisa Stok
(kg)</t>
  </si>
  <si>
    <t>REKAP MUTASI STOK BULANAN - MARET 2026</t>
  </si>
  <si>
    <t>Rekap otomatis dari sheet MUTASI STOK — Total masuk, keluar, dan sisa akhir bulan per tangki</t>
  </si>
  <si>
    <t>STOK AWAL
(kg)</t>
  </si>
  <si>
    <t>TOTAL MASUK
(kg)</t>
  </si>
  <si>
    <t>TOTAL KELUAR
(kg)</t>
  </si>
  <si>
    <t>SISA AKHIR
(kg)</t>
  </si>
  <si>
    <t>KETERANGAN</t>
  </si>
  <si>
    <t>Buffer/Olein</t>
  </si>
  <si>
    <t>TOTAL SEMUA TANGKI</t>
  </si>
  <si>
    <t>&lt;=5.0%</t>
  </si>
  <si>
    <t>&gt;=50</t>
  </si>
  <si>
    <t>&lt;=5</t>
  </si>
  <si>
    <t>&lt;=3</t>
  </si>
  <si>
    <t>&lt;=10</t>
  </si>
  <si>
    <t>M+I (%)</t>
  </si>
  <si>
    <t>01 Mar</t>
  </si>
  <si>
    <t>02 Mar</t>
  </si>
  <si>
    <t>03 Mar</t>
  </si>
  <si>
    <t>04 Mar</t>
  </si>
  <si>
    <t>05 Mar</t>
  </si>
  <si>
    <t>06 Mar</t>
  </si>
  <si>
    <t>07 Mar</t>
  </si>
  <si>
    <t>08 Mar</t>
  </si>
  <si>
    <t>09 Mar</t>
  </si>
  <si>
    <t>10 Mar</t>
  </si>
  <si>
    <t>11 Mar</t>
  </si>
  <si>
    <t>12 Mar</t>
  </si>
  <si>
    <t>13 Mar</t>
  </si>
  <si>
    <t>14 Mar</t>
  </si>
  <si>
    <t>15 Mar</t>
  </si>
  <si>
    <t>16 Mar</t>
  </si>
  <si>
    <t>17 Mar</t>
  </si>
  <si>
    <t>18 Mar</t>
  </si>
  <si>
    <t>19 Mar</t>
  </si>
  <si>
    <t>20 Mar</t>
  </si>
  <si>
    <t>21 Mar</t>
  </si>
  <si>
    <t>22 Mar</t>
  </si>
  <si>
    <t>23 Mar</t>
  </si>
  <si>
    <t>24 Mar</t>
  </si>
  <si>
    <t>25 Mar</t>
  </si>
  <si>
    <t>26 Mar</t>
  </si>
  <si>
    <t>27 Mar</t>
  </si>
  <si>
    <t>28 Mar</t>
  </si>
  <si>
    <t>29 Mar</t>
  </si>
  <si>
    <t>30 Mar</t>
  </si>
  <si>
    <t>DASHBOARD KUALITAS &amp; MUTASI STOK - MARET 2026</t>
  </si>
  <si>
    <t>NILAI</t>
  </si>
  <si>
    <t>BATAS</t>
  </si>
  <si>
    <t>STATUS</t>
  </si>
  <si>
    <t>REKOMENDASI</t>
  </si>
  <si>
    <t>&gt;=56.0</t>
  </si>
  <si>
    <t>&lt;=10.0C</t>
  </si>
  <si>
    <t>RINGKASAN MUTASI STOK BULANAN (dari sheet REKAP STOK BULANAN)</t>
  </si>
  <si>
    <t>STOK AWAL (kg)</t>
  </si>
  <si>
    <t>TOTAL MASUK (kg)</t>
  </si>
  <si>
    <t>TOTAL KELUAR (kg)</t>
  </si>
  <si>
    <t>SISA AKHIR (kg)</t>
  </si>
  <si>
    <t>GRAFIK TREN PARAMETER &amp; STOK - MARET 2026</t>
  </si>
  <si>
    <t>Grafik FFA, DOBI CPO, dan tren Sisa Stok otomatis update setelah data diinput</t>
  </si>
  <si>
    <t>Tanggal</t>
  </si>
  <si>
    <t>FFA ST01</t>
  </si>
  <si>
    <t>FFA ST02</t>
  </si>
  <si>
    <t>FFA ST03</t>
  </si>
  <si>
    <t>DOBI ST01</t>
  </si>
  <si>
    <t>DOBI ST02</t>
  </si>
  <si>
    <t>DOBI ST03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</si>
  <si>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</si>
  <si>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</si>
  <si>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</si>
  <si>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</si>
  <si>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</si>
  <si>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</si>
  <si>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</si>
  <si>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</si>
  <si>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</si>
  <si>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</si>
  <si>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</si>
  <si>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</si>
  <si>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</si>
  <si>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</si>
  <si>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</si>
  <si>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</si>
  <si>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</si>
  <si>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</si>
  <si>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</si>
  <si>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</si>
  <si>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</si>
  <si>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</si>
  <si>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</si>
  <si>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</si>
  <si>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</si>
  <si>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</si>
  <si>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</si>
  <si>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</si>
  <si>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</si>
  <si>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</si>
  <si>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TREN FFA HARIAN - SEMUA OLEIN TANK - MARET 2026</t>
  </si>
  <si>
    <t>Data otomatis dari INPUT KUALITAS | Batas FFA Olein = 0.10% | Warna merah = mendekati/melewati batas</t>
  </si>
  <si>
    <t>BATAS
FFA</t>
  </si>
  <si>
    <t>STATUS
HARIAN</t>
  </si>
  <si>
    <t>RATA-RATA</t>
  </si>
  <si>
    <t>LAJU NAIK
(/MINGGU)</t>
  </si>
  <si>
    <t>Keluar 2
(kg)</t>
  </si>
  <si>
    <t>No DO
Keluar 2</t>
  </si>
  <si>
    <t>Tujuan 2 /
Pembeli 2</t>
  </si>
  <si>
    <t>Bukit Jejer Lestari/Palu</t>
  </si>
  <si>
    <t>Halilintar Sakti Abadi/UPG</t>
  </si>
  <si>
    <t>🔴 OVER SPEC  🟡 MENDEKATI BATAS  🟢 AMAN</t>
  </si>
  <si>
    <t>ANALISIS HARIAN KUALITAS CPO - MARET 2026</t>
  </si>
  <si>
    <t>STANDAR</t>
  </si>
  <si>
    <t>Δ FFA</t>
  </si>
  <si>
    <t>STATUS ST01</t>
  </si>
  <si>
    <t>STATUS ST02</t>
  </si>
  <si>
    <t>STATUS ST03</t>
  </si>
  <si>
    <t>KESIMPULAN HARI</t>
  </si>
  <si>
    <t>-</t>
  </si>
  <si>
    <t>≤ 5.0%</t>
  </si>
  <si>
    <t>≥ 50</t>
  </si>
  <si>
    <t>≤ 5.0</t>
  </si>
  <si>
    <t>≤ 3.0</t>
  </si>
  <si>
    <t>≤ 10</t>
  </si>
  <si>
    <t>FFA+M+I+DOBI</t>
  </si>
  <si>
    <t>⬛ CPO ST01</t>
  </si>
  <si>
    <t>⬛ CPO ST02</t>
  </si>
  <si>
    <t>⬛ CPO ST03</t>
  </si>
  <si>
    <t>HARI TERSIMPAN
(s/d Hari Ini)</t>
  </si>
  <si>
    <t>Max</t>
  </si>
  <si>
    <t>REKAP KUALITAS HARIAN CPO - MARET 2026 | FFA&lt;=5.0% | DOBI&gt;=2.00 | IV&gt;=50</t>
  </si>
  <si>
    <t>Ambang: FFA&gt;4.5% | M+I&gt;0.45% | DOBI&lt;2.20 | IV&lt;51 | PV&gt;4.0 | ANV&gt;2.5 | TOX&gt;8.5</t>
  </si>
  <si>
    <t>&lt;=0.50%</t>
  </si>
  <si>
    <t>&gt;=2.00</t>
  </si>
  <si>
    <t>Status OVER SPEC untuk CPO I: ditentukan terutama oleh FFA (jika FFA&gt;5.0% → OVER SPEC). Mendekati: dalam zona waspada. Standar baru: FFA≤5.0% | M+I≤0.50% | DOBI≥2.00 | IV≥50 | PV≤5 | ANV≤3 | TOX≤10</t>
  </si>
  <si>
    <t>≤ 0.50%</t>
  </si>
  <si>
    <t>≥ 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</si>
</sst>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.000"/>
    <numFmt numFmtId="165" formatCode="_(* #,##0.00_);_(* \(#,##0.00\);_(* &quot;-&quot;_);_(@_)"/>
    <numFmt numFmtId="166" formatCode="_(* #,##0.000_);_(* \(#,##0.000\);_(* &quot;-&quot;_);_(@_)"/>
  </numFmts>
  <fonts count="6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name val="Arial"/>
      <family val="2"/>
    </font>
    <font>
      <b/>
      <sz val="9"/>
      <color rgb="FF375623"/>
      <name val="Arial"/>
      <family val="2"/>
    </font>
    <font>
      <b/>
      <sz val="9"/>
      <color rgb="FF833C00"/>
      <name val="Arial"/>
      <family val="2"/>
    </font>
    <font>
      <b/>
      <sz val="9"/>
      <color rgb="FF9C0006"/>
      <name val="Arial"/>
      <family val="2"/>
    </font>
    <font>
      <i/>
      <sz val="8"/>
      <color rgb="FF1F4E79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rgb="FF1565C0"/>
      <name val="Arial"/>
      <family val="2"/>
    </font>
    <font>
      <i/>
      <sz val="9"/>
      <color rgb="FF1F4E7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375623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8"/>
      <color rgb="FF888888"/>
      <name val="Arial"/>
      <family val="2"/>
    </font>
    <font>
      <b/>
      <sz val="10"/>
      <color rgb="FF9C0006"/>
      <name val="Arial"/>
      <family val="2"/>
    </font>
    <font>
      <sz val="10"/>
      <color rgb="FF9C0006"/>
      <name val="Arial"/>
      <family val="2"/>
    </font>
    <font>
      <b/>
      <sz val="10"/>
      <color rgb="FF833C00"/>
      <name val="Arial"/>
      <family val="2"/>
    </font>
    <font>
      <sz val="10"/>
      <color rgb="FF833C00"/>
      <name val="Arial"/>
      <family val="2"/>
    </font>
    <font>
      <b/>
      <sz val="11"/>
      <color rgb="FF1F4E79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0"/>
      <color rgb="FF375623"/>
      <name val="Arial"/>
      <family val="2"/>
    </font>
    <font>
      <sz val="10"/>
      <color rgb="FF1F4E79"/>
      <name val="Arial"/>
      <family val="2"/>
    </font>
    <font>
      <i/>
      <sz val="9"/>
      <color rgb="FF555555"/>
      <name val="Arial"/>
      <family val="2"/>
    </font>
    <font>
      <b/>
      <sz val="7"/>
      <name val="Arial"/>
      <family val="2"/>
    </font>
    <font>
      <b/>
      <sz val="10"/>
      <color rgb="FF1F4E79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rgb="FFFFFFFF"/>
      <name val="Arial"/>
      <family val="2"/>
    </font>
    <font>
      <b/>
      <sz val="9"/>
      <color rgb="FF375623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8"/>
      <color rgb="FF1F4E79"/>
      <name val="Arial"/>
      <family val="2"/>
    </font>
    <font>
      <i/>
      <sz val="7"/>
      <color rgb="FF555555"/>
      <name val="Calibri"/>
      <family val="2"/>
      <scheme val="minor"/>
    </font>
    <font>
      <b/>
      <sz val="11"/>
      <color rgb="FF9C0006"/>
      <name val="Arial"/>
      <family val="2"/>
    </font>
    <font>
      <b/>
      <sz val="8"/>
      <color rgb="FFFFFFFF"/>
      <name val="Calibri"/>
      <family val="2"/>
      <scheme val="minor"/>
    </font>
    <font>
      <sz val="8"/>
      <color rgb="FF1F4E79"/>
      <name val="Calibri"/>
      <family val="2"/>
      <scheme val="minor"/>
    </font>
    <font>
      <i/>
      <sz val="8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8"/>
      <color rgb="FF1F4E79"/>
      <name val="Calibri"/>
      <family val="2"/>
      <scheme val="minor"/>
    </font>
    <font>
      <b/>
      <sz val="8"/>
      <color rgb="FFC0392B"/>
      <name val="Calibri"/>
      <family val="2"/>
      <scheme val="minor"/>
    </font>
    <font>
      <b/>
      <sz val="7"/>
      <color rgb="FF1F4E7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0"/>
      <color rgb="FF9C0006"/>
      <name val="Arial"/>
      <family val="2"/>
    </font>
    <font>
      <sz val="10"/>
      <color rgb="FF833C00"/>
      <name val="Arial"/>
      <family val="2"/>
    </font>
    <font>
      <b/>
      <sz val="10"/>
      <color rgb="FF9C0006"/>
      <name val="Arial"/>
      <family val="2"/>
    </font>
    <font>
      <b/>
      <sz val="10"/>
      <color rgb="FF833C00"/>
      <name val="Arial"/>
      <family val="2"/>
    </font>
    <font>
      <i/>
      <sz val="9"/>
      <color rgb="FF000000"/>
      <name val="Arial"/>
      <family val="2"/>
    </font>
    <font>
      <b/>
      <sz val="10"/>
      <color rgb="FF375623"/>
      <name val="Arial"/>
      <family val="2"/>
    </font>
    <font>
      <b/>
      <sz val="9"/>
      <color rgb="FFFFFFFF"/>
      <name val="Arial"/>
      <family val="2"/>
    </font>
    <font>
      <b/>
      <sz val="10"/>
      <color rgb="FF1F4E79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6E4F0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7B2C2C"/>
      </patternFill>
    </fill>
    <fill>
      <patternFill patternType="solid">
        <fgColor rgb="FF3D1278"/>
      </patternFill>
    </fill>
    <fill>
      <patternFill patternType="solid">
        <fgColor rgb="FF505050"/>
      </patternFill>
    </fill>
    <fill>
      <patternFill patternType="solid">
        <fgColor rgb="FFEAF0FF"/>
      </patternFill>
    </fill>
    <fill>
      <patternFill patternType="solid">
        <fgColor rgb="FFDCE6F1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0CC"/>
      </patternFill>
    </fill>
    <fill>
      <patternFill patternType="solid">
        <fgColor rgb="FFFFE8F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2F2F2"/>
      </patternFill>
    </fill>
    <fill>
      <patternFill patternType="solid">
        <fgColor rgb="FF006064"/>
      </patternFill>
    </fill>
    <fill>
      <patternFill patternType="solid">
        <fgColor rgb="FFFFFF00"/>
      </patternFill>
    </fill>
    <fill>
      <patternFill patternType="solid">
        <fgColor rgb="FFBF8040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FEF2E8"/>
      </patternFill>
    </fill>
    <fill>
      <patternFill patternType="solid">
        <fgColor rgb="FFFCE4D6"/>
      </patternFill>
    </fill>
    <fill>
      <patternFill patternType="solid">
        <fgColor rgb="FFFA430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87722"/>
        <bgColor indexed="64"/>
      </patternFill>
    </fill>
    <fill>
      <patternFill patternType="solid">
        <fgColor rgb="FFA93226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6064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2">
    <xf numFmtId="0" fontId="0" fillId="0" borderId="0"/>
    <xf numFmtId="41" fontId="32" fillId="0" borderId="0" applyFont="0" applyFill="0" applyBorder="0" applyAlignment="0" applyProtection="0"/>
  </cellStyleXfs>
  <cellXfs count="18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3" fontId="9" fillId="14" borderId="1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/>
    </xf>
    <xf numFmtId="3" fontId="3" fillId="19" borderId="1" xfId="0" applyNumberFormat="1" applyFont="1" applyFill="1" applyBorder="1" applyAlignment="1">
      <alignment horizontal="center" vertical="center"/>
    </xf>
    <xf numFmtId="3" fontId="11" fillId="20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/>
    </xf>
    <xf numFmtId="3" fontId="13" fillId="16" borderId="1" xfId="0" applyNumberFormat="1" applyFont="1" applyFill="1" applyBorder="1" applyAlignment="1">
      <alignment horizontal="center" vertical="center"/>
    </xf>
    <xf numFmtId="3" fontId="15" fillId="19" borderId="1" xfId="0" applyNumberFormat="1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/>
    </xf>
    <xf numFmtId="3" fontId="13" fillId="15" borderId="1" xfId="0" applyNumberFormat="1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3" fontId="17" fillId="2" borderId="1" xfId="0" applyNumberFormat="1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center" vertical="center"/>
    </xf>
    <xf numFmtId="0" fontId="30" fillId="0" borderId="0" xfId="0" applyFont="1"/>
    <xf numFmtId="0" fontId="21" fillId="4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64" fontId="9" fillId="16" borderId="1" xfId="0" applyNumberFormat="1" applyFont="1" applyFill="1" applyBorder="1" applyAlignment="1">
      <alignment horizontal="center" vertical="center"/>
    </xf>
    <xf numFmtId="2" fontId="9" fillId="28" borderId="1" xfId="0" applyNumberFormat="1" applyFont="1" applyFill="1" applyBorder="1" applyAlignment="1">
      <alignment horizontal="center" vertical="center"/>
    </xf>
    <xf numFmtId="164" fontId="9" fillId="15" borderId="1" xfId="0" applyNumberFormat="1" applyFont="1" applyFill="1" applyBorder="1" applyAlignment="1">
      <alignment horizontal="center" vertical="center"/>
    </xf>
    <xf numFmtId="164" fontId="31" fillId="6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164" fontId="21" fillId="4" borderId="1" xfId="0" applyNumberFormat="1" applyFont="1" applyFill="1" applyBorder="1" applyAlignment="1">
      <alignment horizontal="center" vertical="center"/>
    </xf>
    <xf numFmtId="41" fontId="9" fillId="15" borderId="1" xfId="1" applyFont="1" applyFill="1" applyBorder="1" applyAlignment="1">
      <alignment horizontal="center" vertical="center"/>
    </xf>
    <xf numFmtId="41" fontId="9" fillId="14" borderId="1" xfId="1" applyFont="1" applyFill="1" applyBorder="1" applyAlignment="1">
      <alignment horizontal="center" vertical="center"/>
    </xf>
    <xf numFmtId="41" fontId="0" fillId="0" borderId="0" xfId="1" applyFont="1"/>
    <xf numFmtId="165" fontId="9" fillId="14" borderId="1" xfId="1" applyNumberFormat="1" applyFont="1" applyFill="1" applyBorder="1" applyAlignment="1">
      <alignment horizontal="center" vertical="center"/>
    </xf>
    <xf numFmtId="165" fontId="9" fillId="14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9" fillId="15" borderId="1" xfId="1" applyNumberFormat="1" applyFont="1" applyFill="1" applyBorder="1" applyAlignment="1">
      <alignment horizontal="center" vertical="center"/>
    </xf>
    <xf numFmtId="165" fontId="9" fillId="15" borderId="1" xfId="0" applyNumberFormat="1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 wrapText="1"/>
    </xf>
    <xf numFmtId="0" fontId="34" fillId="30" borderId="1" xfId="0" applyFont="1" applyFill="1" applyBorder="1" applyAlignment="1">
      <alignment horizontal="center" vertical="center" wrapText="1"/>
    </xf>
    <xf numFmtId="166" fontId="9" fillId="15" borderId="1" xfId="0" applyNumberFormat="1" applyFont="1" applyFill="1" applyBorder="1" applyAlignment="1">
      <alignment horizontal="center" vertical="center"/>
    </xf>
    <xf numFmtId="166" fontId="9" fillId="14" borderId="1" xfId="0" applyNumberFormat="1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 wrapText="1"/>
    </xf>
    <xf numFmtId="41" fontId="9" fillId="16" borderId="1" xfId="1" applyFont="1" applyFill="1" applyBorder="1" applyAlignment="1">
      <alignment horizontal="center" vertical="center"/>
    </xf>
    <xf numFmtId="165" fontId="9" fillId="16" borderId="1" xfId="1" applyNumberFormat="1" applyFont="1" applyFill="1" applyBorder="1" applyAlignment="1">
      <alignment horizontal="center" vertical="center"/>
    </xf>
    <xf numFmtId="165" fontId="8" fillId="9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41" fontId="13" fillId="16" borderId="1" xfId="1" applyFont="1" applyFill="1" applyBorder="1" applyAlignment="1">
      <alignment horizontal="center" vertical="center"/>
    </xf>
    <xf numFmtId="41" fontId="15" fillId="19" borderId="1" xfId="1" applyFont="1" applyFill="1" applyBorder="1" applyAlignment="1">
      <alignment horizontal="center" vertical="center"/>
    </xf>
    <xf numFmtId="41" fontId="13" fillId="15" borderId="1" xfId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165" fontId="9" fillId="0" borderId="1" xfId="1" applyNumberFormat="1" applyFont="1" applyBorder="1" applyAlignment="1">
      <alignment horizontal="center" vertical="center"/>
    </xf>
    <xf numFmtId="165" fontId="35" fillId="32" borderId="1" xfId="0" applyNumberFormat="1" applyFont="1" applyFill="1" applyBorder="1" applyAlignment="1">
      <alignment horizontal="center" vertical="center"/>
    </xf>
    <xf numFmtId="165" fontId="9" fillId="32" borderId="1" xfId="0" applyNumberFormat="1" applyFont="1" applyFill="1" applyBorder="1" applyAlignment="1">
      <alignment horizontal="center" vertical="center"/>
    </xf>
    <xf numFmtId="3" fontId="37" fillId="35" borderId="1" xfId="0" applyNumberFormat="1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 wrapText="1"/>
    </xf>
    <xf numFmtId="0" fontId="36" fillId="31" borderId="1" xfId="0" applyFont="1" applyFill="1" applyBorder="1" applyAlignment="1">
      <alignment horizontal="center" vertical="center" wrapText="1"/>
    </xf>
    <xf numFmtId="0" fontId="38" fillId="18" borderId="1" xfId="0" applyFont="1" applyFill="1" applyBorder="1" applyAlignment="1">
      <alignment horizontal="left" vertical="center"/>
    </xf>
    <xf numFmtId="41" fontId="36" fillId="31" borderId="1" xfId="1" applyFont="1" applyFill="1" applyBorder="1" applyAlignment="1">
      <alignment horizontal="center" vertical="center" wrapText="1"/>
    </xf>
    <xf numFmtId="41" fontId="10" fillId="18" borderId="1" xfId="1" applyFont="1" applyFill="1" applyBorder="1" applyAlignment="1">
      <alignment horizontal="left" vertical="center"/>
    </xf>
    <xf numFmtId="41" fontId="39" fillId="16" borderId="1" xfId="1" applyFont="1" applyFill="1" applyBorder="1" applyAlignment="1">
      <alignment horizontal="center" vertical="center"/>
    </xf>
    <xf numFmtId="41" fontId="39" fillId="15" borderId="1" xfId="1" applyFont="1" applyFill="1" applyBorder="1" applyAlignment="1">
      <alignment horizontal="center" vertical="center"/>
    </xf>
    <xf numFmtId="0" fontId="40" fillId="38" borderId="1" xfId="0" applyFont="1" applyFill="1" applyBorder="1" applyAlignment="1">
      <alignment horizontal="center" vertical="center"/>
    </xf>
    <xf numFmtId="0" fontId="41" fillId="39" borderId="0" xfId="0" applyFont="1" applyFill="1" applyAlignment="1">
      <alignment horizontal="center"/>
    </xf>
    <xf numFmtId="0" fontId="43" fillId="34" borderId="0" xfId="0" applyFont="1" applyFill="1" applyAlignment="1">
      <alignment horizontal="center"/>
    </xf>
    <xf numFmtId="0" fontId="43" fillId="29" borderId="0" xfId="0" applyFont="1" applyFill="1" applyAlignment="1">
      <alignment horizontal="center"/>
    </xf>
    <xf numFmtId="0" fontId="43" fillId="43" borderId="0" xfId="0" applyFont="1" applyFill="1" applyAlignment="1">
      <alignment horizontal="center"/>
    </xf>
    <xf numFmtId="0" fontId="43" fillId="44" borderId="0" xfId="0" applyFont="1" applyFill="1" applyAlignment="1">
      <alignment horizontal="center"/>
    </xf>
    <xf numFmtId="0" fontId="43" fillId="45" borderId="0" xfId="0" applyFont="1" applyFill="1" applyAlignment="1">
      <alignment horizontal="center"/>
    </xf>
    <xf numFmtId="0" fontId="43" fillId="46" borderId="0" xfId="0" applyFont="1" applyFill="1" applyAlignment="1">
      <alignment horizontal="center"/>
    </xf>
    <xf numFmtId="0" fontId="43" fillId="47" borderId="0" xfId="0" applyFont="1" applyFill="1" applyAlignment="1">
      <alignment horizontal="center"/>
    </xf>
    <xf numFmtId="0" fontId="43" fillId="33" borderId="0" xfId="0" applyFont="1" applyFill="1" applyAlignment="1">
      <alignment horizontal="center"/>
    </xf>
    <xf numFmtId="0" fontId="47" fillId="40" borderId="0" xfId="0" applyFont="1" applyFill="1" applyAlignment="1">
      <alignment horizontal="center"/>
    </xf>
    <xf numFmtId="0" fontId="44" fillId="40" borderId="0" xfId="0" applyFont="1" applyFill="1" applyAlignment="1">
      <alignment horizontal="center"/>
    </xf>
    <xf numFmtId="0" fontId="48" fillId="40" borderId="0" xfId="0" applyFont="1" applyFill="1" applyAlignment="1">
      <alignment horizontal="center"/>
    </xf>
    <xf numFmtId="0" fontId="49" fillId="40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2" fillId="0" borderId="0" xfId="0" applyFont="1" applyAlignment="1">
      <alignment horizontal="left"/>
    </xf>
    <xf numFmtId="0" fontId="45" fillId="34" borderId="0" xfId="0" applyFont="1" applyFill="1" applyAlignment="1">
      <alignment horizontal="center"/>
    </xf>
    <xf numFmtId="0" fontId="45" fillId="33" borderId="0" xfId="0" applyFont="1" applyFill="1" applyAlignment="1">
      <alignment horizontal="center"/>
    </xf>
    <xf numFmtId="0" fontId="54" fillId="37" borderId="1" xfId="0" applyFont="1" applyFill="1" applyBorder="1" applyAlignment="1">
      <alignment horizontal="center" vertical="center"/>
    </xf>
    <xf numFmtId="0" fontId="55" fillId="36" borderId="1" xfId="0" applyFont="1" applyFill="1" applyBorder="1" applyAlignment="1">
      <alignment horizontal="center" vertical="center"/>
    </xf>
    <xf numFmtId="0" fontId="56" fillId="37" borderId="1" xfId="0" applyFont="1" applyFill="1" applyBorder="1" applyAlignment="1">
      <alignment horizontal="center" vertical="center"/>
    </xf>
    <xf numFmtId="0" fontId="57" fillId="36" borderId="1" xfId="0" applyFont="1" applyFill="1" applyBorder="1" applyAlignment="1">
      <alignment horizontal="center" vertical="center"/>
    </xf>
    <xf numFmtId="0" fontId="59" fillId="48" borderId="1" xfId="0" applyFont="1" applyFill="1" applyBorder="1" applyAlignment="1">
      <alignment horizontal="center" vertical="center"/>
    </xf>
    <xf numFmtId="0" fontId="61" fillId="41" borderId="0" xfId="0" applyFont="1" applyFill="1" applyAlignment="1">
      <alignment horizontal="center"/>
    </xf>
    <xf numFmtId="0" fontId="61" fillId="42" borderId="0" xfId="0" applyFont="1" applyFill="1" applyAlignment="1">
      <alignment horizontal="center"/>
    </xf>
    <xf numFmtId="0" fontId="7" fillId="22" borderId="9" xfId="0" applyFont="1" applyFill="1" applyBorder="1" applyAlignment="1">
      <alignment horizontal="center" vertical="center" wrapText="1"/>
    </xf>
    <xf numFmtId="0" fontId="60" fillId="49" borderId="1" xfId="0" applyFont="1" applyFill="1" applyBorder="1" applyAlignment="1">
      <alignment horizontal="center" wrapText="1"/>
    </xf>
    <xf numFmtId="41" fontId="39" fillId="41" borderId="1" xfId="1" applyFont="1" applyFill="1" applyBorder="1" applyAlignment="1">
      <alignment horizontal="center" vertical="center"/>
    </xf>
    <xf numFmtId="41" fontId="39" fillId="42" borderId="1" xfId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5" fontId="18" fillId="39" borderId="1" xfId="1" applyNumberFormat="1" applyFont="1" applyFill="1" applyBorder="1" applyAlignment="1">
      <alignment horizontal="center" vertical="center"/>
    </xf>
    <xf numFmtId="0" fontId="18" fillId="39" borderId="1" xfId="0" applyFont="1" applyFill="1" applyBorder="1" applyAlignment="1">
      <alignment horizontal="center" vertical="center"/>
    </xf>
    <xf numFmtId="0" fontId="53" fillId="46" borderId="0" xfId="0" applyFont="1" applyFill="1" applyAlignment="1">
      <alignment horizontal="center"/>
    </xf>
    <xf numFmtId="0" fontId="0" fillId="0" borderId="0" xfId="0"/>
    <xf numFmtId="0" fontId="46" fillId="33" borderId="0" xfId="0" applyFont="1" applyFill="1" applyAlignment="1">
      <alignment horizontal="center"/>
    </xf>
    <xf numFmtId="0" fontId="45" fillId="38" borderId="0" xfId="0" applyFont="1" applyFill="1" applyAlignment="1">
      <alignment horizontal="center"/>
    </xf>
    <xf numFmtId="0" fontId="53" fillId="29" borderId="0" xfId="0" applyFont="1" applyFill="1" applyAlignment="1">
      <alignment horizontal="center"/>
    </xf>
    <xf numFmtId="0" fontId="53" fillId="44" borderId="0" xfId="0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26" fillId="28" borderId="1" xfId="0" applyFont="1" applyFill="1" applyBorder="1" applyAlignment="1">
      <alignment horizontal="center" vertical="center"/>
    </xf>
    <xf numFmtId="0" fontId="0" fillId="0" borderId="3" xfId="0" applyBorder="1"/>
    <xf numFmtId="0" fontId="21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left" vertical="center"/>
    </xf>
    <xf numFmtId="0" fontId="25" fillId="25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14" fillId="25" borderId="1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 wrapText="1"/>
    </xf>
    <xf numFmtId="0" fontId="13" fillId="27" borderId="1" xfId="0" applyFont="1" applyFill="1" applyBorder="1" applyAlignment="1">
      <alignment horizontal="center" vertical="center"/>
    </xf>
    <xf numFmtId="0" fontId="0" fillId="0" borderId="2" xfId="0" applyBorder="1"/>
    <xf numFmtId="0" fontId="17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14" fillId="23" borderId="5" xfId="0" applyFont="1" applyFill="1" applyBorder="1" applyAlignment="1">
      <alignment horizontal="left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17" fillId="2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0" fillId="0" borderId="8" xfId="0" applyBorder="1"/>
    <xf numFmtId="0" fontId="1" fillId="2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4" xfId="0" applyBorder="1"/>
    <xf numFmtId="0" fontId="7" fillId="29" borderId="1" xfId="0" applyFont="1" applyFill="1" applyBorder="1" applyAlignment="1">
      <alignment horizontal="center" vertical="center"/>
    </xf>
    <xf numFmtId="0" fontId="0" fillId="29" borderId="3" xfId="0" applyFill="1" applyBorder="1"/>
    <xf numFmtId="0" fontId="0" fillId="29" borderId="4" xfId="0" applyFill="1" applyBorder="1"/>
    <xf numFmtId="0" fontId="7" fillId="31" borderId="1" xfId="0" applyFont="1" applyFill="1" applyBorder="1" applyAlignment="1">
      <alignment horizontal="center" vertical="center"/>
    </xf>
    <xf numFmtId="0" fontId="0" fillId="31" borderId="3" xfId="0" applyFill="1" applyBorder="1"/>
    <xf numFmtId="0" fontId="0" fillId="31" borderId="4" xfId="0" applyFill="1" applyBorder="1"/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3" fillId="30" borderId="1" xfId="0" applyFont="1" applyFill="1" applyBorder="1" applyAlignment="1">
      <alignment horizontal="center" vertical="center"/>
    </xf>
    <xf numFmtId="0" fontId="0" fillId="30" borderId="3" xfId="0" applyFill="1" applyBorder="1"/>
    <xf numFmtId="0" fontId="0" fillId="30" borderId="4" xfId="0" applyFill="1" applyBorder="1"/>
    <xf numFmtId="0" fontId="7" fillId="2" borderId="1" xfId="0" applyFont="1" applyFill="1" applyBorder="1" applyAlignment="1">
      <alignment horizontal="center" vertical="center"/>
    </xf>
    <xf numFmtId="0" fontId="1" fillId="33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8" fillId="37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left" vertical="center"/>
    </xf>
    <xf numFmtId="0" fontId="58" fillId="36" borderId="1" xfId="0" applyFont="1" applyFill="1" applyBorder="1" applyAlignment="1">
      <alignment vertical="center" wrapText="1"/>
    </xf>
    <xf numFmtId="0" fontId="42" fillId="37" borderId="0" xfId="0" applyFont="1" applyFill="1" applyAlignment="1">
      <alignment horizontal="left" vertical="center"/>
    </xf>
    <xf numFmtId="0" fontId="16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</cellXfs>
  <cellStyles count="2">
    <cellStyle name="Comma [0]" xfId="1" builtinId="6"/>
    <cellStyle name="Normal" xfId="0" builtinId="0"/>
  </cellStyles>
  <dxfs count="152"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font>
        <b/>
        <i val="0"/>
        <color rgb="FFFFFFFF"/>
      </font>
      <fill>
        <patternFill patternType="solid">
          <fgColor indexed="64"/>
          <bgColor rgb="FF95A5A6"/>
        </patternFill>
      </fill>
    </dxf>
    <dxf>
      <font>
        <b/>
        <i val="0"/>
        <color rgb="FF000000"/>
      </font>
      <fill>
        <patternFill patternType="solid">
          <fgColor indexed="64"/>
          <bgColor rgb="FFF39C12"/>
        </patternFill>
      </fill>
    </dxf>
    <dxf>
      <font>
        <b/>
        <i val="0"/>
        <color rgb="FFFFFFFF"/>
      </font>
      <fill>
        <patternFill patternType="solid">
          <fgColor indexed="64"/>
          <bgColor rgb="FFC0392B"/>
        </patternFill>
      </fill>
    </dxf>
    <dxf>
      <font>
        <b/>
        <i val="0"/>
        <color rgb="FFFFFFFF"/>
      </font>
      <fill>
        <patternFill patternType="solid">
          <fgColor indexed="64"/>
          <bgColor rgb="FF95A5A6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font>
        <b/>
        <i val="0"/>
        <color rgb="FFFFFFFF"/>
      </font>
      <fill>
        <patternFill patternType="solid">
          <fgColor indexed="64"/>
          <bgColor rgb="FFF39C12"/>
        </patternFill>
      </fill>
    </dxf>
    <dxf>
      <font>
        <b/>
        <i val="0"/>
        <color rgb="FFFFFFFF"/>
      </font>
      <fill>
        <patternFill patternType="solid">
          <fgColor indexed="64"/>
          <bgColor rgb="FFC0392B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b/>
        <i val="0"/>
        <color rgb="FFFFFFFF"/>
      </font>
      <fill>
        <patternFill patternType="solid">
          <fgColor indexed="64"/>
          <bgColor rgb="FF95A5A6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font>
        <b/>
        <i val="0"/>
        <color rgb="FFFFFFFF"/>
      </font>
      <fill>
        <patternFill patternType="solid">
          <fgColor indexed="64"/>
          <bgColor rgb="FFF39C12"/>
        </patternFill>
      </fill>
    </dxf>
    <dxf>
      <font>
        <b/>
        <i val="0"/>
        <color rgb="FFFFFFFF"/>
      </font>
      <fill>
        <patternFill patternType="solid">
          <fgColor indexed="64"/>
          <bgColor rgb="FFC0392B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b/>
        <i val="0"/>
        <color rgb="FFFFFFFF"/>
      </font>
      <fill>
        <patternFill patternType="solid">
          <fgColor indexed="64"/>
          <bgColor rgb="FFC0392B"/>
        </patternFill>
      </fill>
    </dxf>
    <dxf>
      <font>
        <b/>
        <i val="0"/>
        <color rgb="FFFFFFFF"/>
      </font>
      <fill>
        <patternFill patternType="solid">
          <fgColor indexed="64"/>
          <bgColor rgb="FF95A5A6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font>
        <b/>
        <i val="0"/>
        <color rgb="FFFFFFFF"/>
      </font>
      <fill>
        <patternFill patternType="solid">
          <fgColor indexed="64"/>
          <bgColor rgb="FFF39C12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b/>
        <i val="0"/>
        <color rgb="FFE67E22"/>
      </font>
      <fill>
        <patternFill patternType="solid">
          <fgColor indexed="64"/>
          <bgColor rgb="FFFDEBD0"/>
        </patternFill>
      </fill>
    </dxf>
    <dxf>
      <font>
        <color rgb="FF27AE60"/>
      </font>
      <fill>
        <patternFill patternType="solid">
          <fgColor indexed="64"/>
          <bgColor rgb="FFD5F5E3"/>
        </patternFill>
      </fill>
    </dxf>
    <dxf>
      <font>
        <b/>
        <i val="0"/>
        <color rgb="FFC0392B"/>
      </font>
      <fill>
        <patternFill patternType="solid">
          <fgColor indexed="64"/>
          <bgColor rgb="FFFADBD8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7D4B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7B3F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color rgb="FF9C0006"/>
      </font>
      <fill>
        <patternFill patternType="solid">
          <fgColor indexed="64"/>
          <bgColor rgb="FFFFCCCC"/>
        </patternFill>
      </fill>
    </dxf>
  </dxfs>
  <tableStyles count="0" defaultTableStyle="TableStyleMedium9" defaultPivotStyle="PivotStyleLight16"/>
  <colors>
    <mruColors>
      <color rgb="FFFA43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FFA ST 07 OLEIN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'EVALUASI STABILITAS'!$W$4</c:f>
              <c:strCache>
                <c:ptCount val="1"/>
                <c:pt idx="0">
                  <c:v>FFA ST 07 OLEIN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'EVALUASI STABILITAS'!$V$5:$V$34</c:f>
              <c:strCache>
                <c:ptCount val="30"/>
                <c:pt idx="0">
                  <c:v>01/Mar</c:v>
                </c:pt>
                <c:pt idx="1">
                  <c:v>02/Mar</c:v>
                </c:pt>
                <c:pt idx="2">
                  <c:v>03/Mar</c:v>
                </c:pt>
                <c:pt idx="3">
                  <c:v>04/Mar</c:v>
                </c:pt>
                <c:pt idx="4">
                  <c:v>05/Mar</c:v>
                </c:pt>
                <c:pt idx="5">
                  <c:v>06/Mar</c:v>
                </c:pt>
                <c:pt idx="6">
                  <c:v>07/Mar</c:v>
                </c:pt>
                <c:pt idx="7">
                  <c:v>08/Mar</c:v>
                </c:pt>
                <c:pt idx="8">
                  <c:v>09/Mar</c:v>
                </c:pt>
                <c:pt idx="9">
                  <c:v>10/Mar</c:v>
                </c:pt>
                <c:pt idx="10">
                  <c:v>11/Mar</c:v>
                </c:pt>
                <c:pt idx="11">
                  <c:v>12/Mar</c:v>
                </c:pt>
                <c:pt idx="12">
                  <c:v>13/Mar</c:v>
                </c:pt>
                <c:pt idx="13">
                  <c:v>14/Mar</c:v>
                </c:pt>
                <c:pt idx="14">
                  <c:v>15/Mar</c:v>
                </c:pt>
                <c:pt idx="15">
                  <c:v>16/Mar</c:v>
                </c:pt>
                <c:pt idx="16">
                  <c:v>17/Mar</c:v>
                </c:pt>
                <c:pt idx="17">
                  <c:v>18/Mar</c:v>
                </c:pt>
                <c:pt idx="18">
                  <c:v>19/Mar</c:v>
                </c:pt>
                <c:pt idx="19">
                  <c:v>20/Mar</c:v>
                </c:pt>
                <c:pt idx="20">
                  <c:v>21/Mar</c:v>
                </c:pt>
                <c:pt idx="21">
                  <c:v>22/Mar</c:v>
                </c:pt>
                <c:pt idx="22">
                  <c:v>23/Mar</c:v>
                </c:pt>
                <c:pt idx="23">
                  <c:v>24/Mar</c:v>
                </c:pt>
                <c:pt idx="24">
                  <c:v>25/Mar</c:v>
                </c:pt>
                <c:pt idx="25">
                  <c:v>26/Mar</c:v>
                </c:pt>
                <c:pt idx="26">
                  <c:v>27/Mar</c:v>
                </c:pt>
                <c:pt idx="27">
                  <c:v>28/Mar</c:v>
                </c:pt>
                <c:pt idx="28">
                  <c:v>29/Mar</c:v>
                </c:pt>
                <c:pt idx="29">
                  <c:v>30/Mar</c:v>
                </c:pt>
              </c:strCache>
            </c:strRef>
          </c:cat>
          <c:val>
            <c:numRef>
              <c:f>'EVALUASI STABILITAS'!$W$5:$W$34</c:f>
              <c:numCache>
                <c:formatCode>General</c:formatCode>
                <c:ptCount val="30"/>
                <c:pt idx="0">
                  <c:v>8.3000000000000004E-2</c:v>
                </c:pt>
                <c:pt idx="1">
                  <c:v>8.3000000000000004E-2</c:v>
                </c:pt>
                <c:pt idx="2">
                  <c:v>8.3000000000000004E-2</c:v>
                </c:pt>
                <c:pt idx="3">
                  <c:v>#N/A</c:v>
                </c:pt>
                <c:pt idx="4">
                  <c:v>8.3000000000000004E-2</c:v>
                </c:pt>
                <c:pt idx="5">
                  <c:v>8.4000000000000005E-2</c:v>
                </c:pt>
                <c:pt idx="6">
                  <c:v>8.4000000000000005E-2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A-D844-AD95-F64CB8D52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716160"/>
        <c:axId val="685714368"/>
      </c:lineChart>
      <c:catAx>
        <c:axId val="68571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714368"/>
        <c:crosses val="autoZero"/>
        <c:auto val="1"/>
        <c:lblAlgn val="ctr"/>
        <c:lblOffset val="100"/>
        <c:noMultiLvlLbl val="0"/>
      </c:catAx>
      <c:valAx>
        <c:axId val="6857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71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FFA ST 08 OLEIN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'EVALUASI STABILITAS'!$W$35</c:f>
              <c:strCache>
                <c:ptCount val="1"/>
                <c:pt idx="0">
                  <c:v>FFA ST 08 OLEIN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'EVALUASI STABILITAS'!$V$36:$V$65</c:f>
              <c:strCache>
                <c:ptCount val="30"/>
                <c:pt idx="0">
                  <c:v>01/Mar</c:v>
                </c:pt>
                <c:pt idx="1">
                  <c:v>02/Mar</c:v>
                </c:pt>
                <c:pt idx="2">
                  <c:v>03/Mar</c:v>
                </c:pt>
                <c:pt idx="3">
                  <c:v>04/Mar</c:v>
                </c:pt>
                <c:pt idx="4">
                  <c:v>05/Mar</c:v>
                </c:pt>
                <c:pt idx="5">
                  <c:v>06/Mar</c:v>
                </c:pt>
                <c:pt idx="6">
                  <c:v>07/Mar</c:v>
                </c:pt>
                <c:pt idx="7">
                  <c:v>08/Mar</c:v>
                </c:pt>
                <c:pt idx="8">
                  <c:v>09/Mar</c:v>
                </c:pt>
                <c:pt idx="9">
                  <c:v>10/Mar</c:v>
                </c:pt>
                <c:pt idx="10">
                  <c:v>11/Mar</c:v>
                </c:pt>
                <c:pt idx="11">
                  <c:v>12/Mar</c:v>
                </c:pt>
                <c:pt idx="12">
                  <c:v>13/Mar</c:v>
                </c:pt>
                <c:pt idx="13">
                  <c:v>14/Mar</c:v>
                </c:pt>
                <c:pt idx="14">
                  <c:v>15/Mar</c:v>
                </c:pt>
                <c:pt idx="15">
                  <c:v>16/Mar</c:v>
                </c:pt>
                <c:pt idx="16">
                  <c:v>17/Mar</c:v>
                </c:pt>
                <c:pt idx="17">
                  <c:v>18/Mar</c:v>
                </c:pt>
                <c:pt idx="18">
                  <c:v>19/Mar</c:v>
                </c:pt>
                <c:pt idx="19">
                  <c:v>20/Mar</c:v>
                </c:pt>
                <c:pt idx="20">
                  <c:v>21/Mar</c:v>
                </c:pt>
                <c:pt idx="21">
                  <c:v>22/Mar</c:v>
                </c:pt>
                <c:pt idx="22">
                  <c:v>23/Mar</c:v>
                </c:pt>
                <c:pt idx="23">
                  <c:v>24/Mar</c:v>
                </c:pt>
                <c:pt idx="24">
                  <c:v>25/Mar</c:v>
                </c:pt>
                <c:pt idx="25">
                  <c:v>26/Mar</c:v>
                </c:pt>
                <c:pt idx="26">
                  <c:v>27/Mar</c:v>
                </c:pt>
                <c:pt idx="27">
                  <c:v>28/Mar</c:v>
                </c:pt>
                <c:pt idx="28">
                  <c:v>29/Mar</c:v>
                </c:pt>
                <c:pt idx="29">
                  <c:v>30/Mar</c:v>
                </c:pt>
              </c:strCache>
            </c:strRef>
          </c:cat>
          <c:val>
            <c:numRef>
              <c:f>'EVALUASI STABILITAS'!$W$36:$W$65</c:f>
              <c:numCache>
                <c:formatCode>General</c:formatCode>
                <c:ptCount val="30"/>
                <c:pt idx="0">
                  <c:v>7.1999999999999995E-2</c:v>
                </c:pt>
                <c:pt idx="1">
                  <c:v>7.1999999999999995E-2</c:v>
                </c:pt>
                <c:pt idx="2">
                  <c:v>7.1999999999999995E-2</c:v>
                </c:pt>
                <c:pt idx="3">
                  <c:v>#N/A</c:v>
                </c:pt>
                <c:pt idx="4">
                  <c:v>7.5999999999999998E-2</c:v>
                </c:pt>
                <c:pt idx="5">
                  <c:v>7.5999999999999998E-2</c:v>
                </c:pt>
                <c:pt idx="6">
                  <c:v>7.5999999999999998E-2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0-AE42-A538-E5E6D8FB1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669760"/>
        <c:axId val="690671552"/>
      </c:lineChart>
      <c:catAx>
        <c:axId val="6906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71552"/>
        <c:crosses val="autoZero"/>
        <c:auto val="1"/>
        <c:lblAlgn val="ctr"/>
        <c:lblOffset val="100"/>
        <c:noMultiLvlLbl val="0"/>
      </c:catAx>
      <c:valAx>
        <c:axId val="6906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6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FFA ST 09 OLEIN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'EVALUASI STABILITAS'!$W$66</c:f>
              <c:strCache>
                <c:ptCount val="1"/>
                <c:pt idx="0">
                  <c:v>FFA ST 09 OLEIN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'EVALUASI STABILITAS'!$V$67:$V$96</c:f>
              <c:strCache>
                <c:ptCount val="30"/>
                <c:pt idx="0">
                  <c:v>01/Mar</c:v>
                </c:pt>
                <c:pt idx="1">
                  <c:v>02/Mar</c:v>
                </c:pt>
                <c:pt idx="2">
                  <c:v>03/Mar</c:v>
                </c:pt>
                <c:pt idx="3">
                  <c:v>04/Mar</c:v>
                </c:pt>
                <c:pt idx="4">
                  <c:v>05/Mar</c:v>
                </c:pt>
                <c:pt idx="5">
                  <c:v>06/Mar</c:v>
                </c:pt>
                <c:pt idx="6">
                  <c:v>07/Mar</c:v>
                </c:pt>
                <c:pt idx="7">
                  <c:v>08/Mar</c:v>
                </c:pt>
                <c:pt idx="8">
                  <c:v>09/Mar</c:v>
                </c:pt>
                <c:pt idx="9">
                  <c:v>10/Mar</c:v>
                </c:pt>
                <c:pt idx="10">
                  <c:v>11/Mar</c:v>
                </c:pt>
                <c:pt idx="11">
                  <c:v>12/Mar</c:v>
                </c:pt>
                <c:pt idx="12">
                  <c:v>13/Mar</c:v>
                </c:pt>
                <c:pt idx="13">
                  <c:v>14/Mar</c:v>
                </c:pt>
                <c:pt idx="14">
                  <c:v>15/Mar</c:v>
                </c:pt>
                <c:pt idx="15">
                  <c:v>16/Mar</c:v>
                </c:pt>
                <c:pt idx="16">
                  <c:v>17/Mar</c:v>
                </c:pt>
                <c:pt idx="17">
                  <c:v>18/Mar</c:v>
                </c:pt>
                <c:pt idx="18">
                  <c:v>19/Mar</c:v>
                </c:pt>
                <c:pt idx="19">
                  <c:v>20/Mar</c:v>
                </c:pt>
                <c:pt idx="20">
                  <c:v>21/Mar</c:v>
                </c:pt>
                <c:pt idx="21">
                  <c:v>22/Mar</c:v>
                </c:pt>
                <c:pt idx="22">
                  <c:v>23/Mar</c:v>
                </c:pt>
                <c:pt idx="23">
                  <c:v>24/Mar</c:v>
                </c:pt>
                <c:pt idx="24">
                  <c:v>25/Mar</c:v>
                </c:pt>
                <c:pt idx="25">
                  <c:v>26/Mar</c:v>
                </c:pt>
                <c:pt idx="26">
                  <c:v>27/Mar</c:v>
                </c:pt>
                <c:pt idx="27">
                  <c:v>28/Mar</c:v>
                </c:pt>
                <c:pt idx="28">
                  <c:v>29/Mar</c:v>
                </c:pt>
                <c:pt idx="29">
                  <c:v>30/Mar</c:v>
                </c:pt>
              </c:strCache>
            </c:strRef>
          </c:cat>
          <c:val>
            <c:numRef>
              <c:f>'EVALUASI STABILITAS'!$W$67:$W$96</c:f>
              <c:numCache>
                <c:formatCode>General</c:formatCode>
                <c:ptCount val="30"/>
                <c:pt idx="0">
                  <c:v>6.6000000000000003E-2</c:v>
                </c:pt>
                <c:pt idx="1">
                  <c:v>6.6000000000000003E-2</c:v>
                </c:pt>
                <c:pt idx="2">
                  <c:v>6.6000000000000003E-2</c:v>
                </c:pt>
                <c:pt idx="3">
                  <c:v>#N/A</c:v>
                </c:pt>
                <c:pt idx="4">
                  <c:v>7.1999999999999995E-2</c:v>
                </c:pt>
                <c:pt idx="5">
                  <c:v>7.1999999999999995E-2</c:v>
                </c:pt>
                <c:pt idx="6">
                  <c:v>7.1999999999999995E-2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6-FA46-9FAD-BDD70C05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963584"/>
        <c:axId val="686954624"/>
      </c:lineChart>
      <c:catAx>
        <c:axId val="68696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54624"/>
        <c:crosses val="autoZero"/>
        <c:auto val="1"/>
        <c:lblAlgn val="ctr"/>
        <c:lblOffset val="100"/>
        <c:noMultiLvlLbl val="0"/>
      </c:catAx>
      <c:valAx>
        <c:axId val="6869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6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FFA ST 10 OLEIN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'EVALUASI STABILITAS'!$W$97</c:f>
              <c:strCache>
                <c:ptCount val="1"/>
                <c:pt idx="0">
                  <c:v>FFA ST 10 OLEIN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'EVALUASI STABILITAS'!$V$98:$V$127</c:f>
              <c:strCache>
                <c:ptCount val="30"/>
                <c:pt idx="0">
                  <c:v>01/Mar</c:v>
                </c:pt>
                <c:pt idx="1">
                  <c:v>02/Mar</c:v>
                </c:pt>
                <c:pt idx="2">
                  <c:v>03/Mar</c:v>
                </c:pt>
                <c:pt idx="3">
                  <c:v>04/Mar</c:v>
                </c:pt>
                <c:pt idx="4">
                  <c:v>05/Mar</c:v>
                </c:pt>
                <c:pt idx="5">
                  <c:v>06/Mar</c:v>
                </c:pt>
                <c:pt idx="6">
                  <c:v>07/Mar</c:v>
                </c:pt>
                <c:pt idx="7">
                  <c:v>08/Mar</c:v>
                </c:pt>
                <c:pt idx="8">
                  <c:v>09/Mar</c:v>
                </c:pt>
                <c:pt idx="9">
                  <c:v>10/Mar</c:v>
                </c:pt>
                <c:pt idx="10">
                  <c:v>11/Mar</c:v>
                </c:pt>
                <c:pt idx="11">
                  <c:v>12/Mar</c:v>
                </c:pt>
                <c:pt idx="12">
                  <c:v>13/Mar</c:v>
                </c:pt>
                <c:pt idx="13">
                  <c:v>14/Mar</c:v>
                </c:pt>
                <c:pt idx="14">
                  <c:v>15/Mar</c:v>
                </c:pt>
                <c:pt idx="15">
                  <c:v>16/Mar</c:v>
                </c:pt>
                <c:pt idx="16">
                  <c:v>17/Mar</c:v>
                </c:pt>
                <c:pt idx="17">
                  <c:v>18/Mar</c:v>
                </c:pt>
                <c:pt idx="18">
                  <c:v>19/Mar</c:v>
                </c:pt>
                <c:pt idx="19">
                  <c:v>20/Mar</c:v>
                </c:pt>
                <c:pt idx="20">
                  <c:v>21/Mar</c:v>
                </c:pt>
                <c:pt idx="21">
                  <c:v>22/Mar</c:v>
                </c:pt>
                <c:pt idx="22">
                  <c:v>23/Mar</c:v>
                </c:pt>
                <c:pt idx="23">
                  <c:v>24/Mar</c:v>
                </c:pt>
                <c:pt idx="24">
                  <c:v>25/Mar</c:v>
                </c:pt>
                <c:pt idx="25">
                  <c:v>26/Mar</c:v>
                </c:pt>
                <c:pt idx="26">
                  <c:v>27/Mar</c:v>
                </c:pt>
                <c:pt idx="27">
                  <c:v>28/Mar</c:v>
                </c:pt>
                <c:pt idx="28">
                  <c:v>29/Mar</c:v>
                </c:pt>
                <c:pt idx="29">
                  <c:v>30/Mar</c:v>
                </c:pt>
              </c:strCache>
            </c:strRef>
          </c:cat>
          <c:val>
            <c:numRef>
              <c:f>'EVALUASI STABILITAS'!$W$98:$W$127</c:f>
              <c:numCache>
                <c:formatCode>General</c:formatCode>
                <c:ptCount val="30"/>
                <c:pt idx="0">
                  <c:v>7.0999999999999994E-2</c:v>
                </c:pt>
                <c:pt idx="1">
                  <c:v>7.0999999999999994E-2</c:v>
                </c:pt>
                <c:pt idx="2">
                  <c:v>7.0999999999999994E-2</c:v>
                </c:pt>
                <c:pt idx="3">
                  <c:v>#N/A</c:v>
                </c:pt>
                <c:pt idx="4">
                  <c:v>7.0999999999999994E-2</c:v>
                </c:pt>
                <c:pt idx="5">
                  <c:v>7.0999999999999994E-2</c:v>
                </c:pt>
                <c:pt idx="6">
                  <c:v>7.0999999999999994E-2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F-8243-B963-664DA62D0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839744"/>
        <c:axId val="698841536"/>
      </c:lineChart>
      <c:catAx>
        <c:axId val="69883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41536"/>
        <c:crosses val="autoZero"/>
        <c:auto val="1"/>
        <c:lblAlgn val="ctr"/>
        <c:lblOffset val="100"/>
        <c:noMultiLvlLbl val="0"/>
      </c:catAx>
      <c:valAx>
        <c:axId val="6988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3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FFA ST 11 OLEIN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'EVALUASI STABILITAS'!$W$128</c:f>
              <c:strCache>
                <c:ptCount val="1"/>
                <c:pt idx="0">
                  <c:v>FFA ST 11 OLEIN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'EVALUASI STABILITAS'!$V$129:$V$158</c:f>
              <c:strCache>
                <c:ptCount val="30"/>
                <c:pt idx="0">
                  <c:v>01/Mar</c:v>
                </c:pt>
                <c:pt idx="1">
                  <c:v>02/Mar</c:v>
                </c:pt>
                <c:pt idx="2">
                  <c:v>03/Mar</c:v>
                </c:pt>
                <c:pt idx="3">
                  <c:v>04/Mar</c:v>
                </c:pt>
                <c:pt idx="4">
                  <c:v>05/Mar</c:v>
                </c:pt>
                <c:pt idx="5">
                  <c:v>06/Mar</c:v>
                </c:pt>
                <c:pt idx="6">
                  <c:v>07/Mar</c:v>
                </c:pt>
                <c:pt idx="7">
                  <c:v>08/Mar</c:v>
                </c:pt>
                <c:pt idx="8">
                  <c:v>09/Mar</c:v>
                </c:pt>
                <c:pt idx="9">
                  <c:v>10/Mar</c:v>
                </c:pt>
                <c:pt idx="10">
                  <c:v>11/Mar</c:v>
                </c:pt>
                <c:pt idx="11">
                  <c:v>12/Mar</c:v>
                </c:pt>
                <c:pt idx="12">
                  <c:v>13/Mar</c:v>
                </c:pt>
                <c:pt idx="13">
                  <c:v>14/Mar</c:v>
                </c:pt>
                <c:pt idx="14">
                  <c:v>15/Mar</c:v>
                </c:pt>
                <c:pt idx="15">
                  <c:v>16/Mar</c:v>
                </c:pt>
                <c:pt idx="16">
                  <c:v>17/Mar</c:v>
                </c:pt>
                <c:pt idx="17">
                  <c:v>18/Mar</c:v>
                </c:pt>
                <c:pt idx="18">
                  <c:v>19/Mar</c:v>
                </c:pt>
                <c:pt idx="19">
                  <c:v>20/Mar</c:v>
                </c:pt>
                <c:pt idx="20">
                  <c:v>21/Mar</c:v>
                </c:pt>
                <c:pt idx="21">
                  <c:v>22/Mar</c:v>
                </c:pt>
                <c:pt idx="22">
                  <c:v>23/Mar</c:v>
                </c:pt>
                <c:pt idx="23">
                  <c:v>24/Mar</c:v>
                </c:pt>
                <c:pt idx="24">
                  <c:v>25/Mar</c:v>
                </c:pt>
                <c:pt idx="25">
                  <c:v>26/Mar</c:v>
                </c:pt>
                <c:pt idx="26">
                  <c:v>27/Mar</c:v>
                </c:pt>
                <c:pt idx="27">
                  <c:v>28/Mar</c:v>
                </c:pt>
                <c:pt idx="28">
                  <c:v>29/Mar</c:v>
                </c:pt>
                <c:pt idx="29">
                  <c:v>30/Mar</c:v>
                </c:pt>
              </c:strCache>
            </c:strRef>
          </c:cat>
          <c:val>
            <c:numRef>
              <c:f>'EVALUASI STABILITAS'!$W$129:$W$158</c:f>
              <c:numCache>
                <c:formatCode>General</c:formatCode>
                <c:ptCount val="30"/>
                <c:pt idx="0">
                  <c:v>6.7000000000000004E-2</c:v>
                </c:pt>
                <c:pt idx="1">
                  <c:v>6.7000000000000004E-2</c:v>
                </c:pt>
                <c:pt idx="2">
                  <c:v>6.7000000000000004E-2</c:v>
                </c:pt>
                <c:pt idx="3">
                  <c:v>#N/A</c:v>
                </c:pt>
                <c:pt idx="4">
                  <c:v>7.4999999999999997E-2</c:v>
                </c:pt>
                <c:pt idx="5">
                  <c:v>7.8E-2</c:v>
                </c:pt>
                <c:pt idx="6">
                  <c:v>0.08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D-0247-A2E6-54F5B6988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680064"/>
        <c:axId val="698844032"/>
      </c:lineChart>
      <c:catAx>
        <c:axId val="6906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44032"/>
        <c:crosses val="autoZero"/>
        <c:auto val="1"/>
        <c:lblAlgn val="ctr"/>
        <c:lblOffset val="100"/>
        <c:noMultiLvlLbl val="0"/>
      </c:catAx>
      <c:valAx>
        <c:axId val="6988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8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Tren FFA CPO Harian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'GRAFIK TREN'!$B$3</c:f>
              <c:strCache>
                <c:ptCount val="1"/>
                <c:pt idx="0">
                  <c:v>FFA ST01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'GRAFIK TREN'!$A$4:$A$33</c:f>
              <c:strCache>
                <c:ptCount val="30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'GRAFIK TREN'!$B$4:$B$33</c:f>
              <c:numCache>
                <c:formatCode>_(* #,##0.00_);_(* \(#,##0.00\);_(* "-"_);_(@_)</c:formatCode>
                <c:ptCount val="30"/>
                <c:pt idx="0">
                  <c:v>4.87</c:v>
                </c:pt>
                <c:pt idx="1">
                  <c:v>4.93</c:v>
                </c:pt>
                <c:pt idx="2">
                  <c:v>4.9400000000000004</c:v>
                </c:pt>
                <c:pt idx="3">
                  <c:v>0</c:v>
                </c:pt>
                <c:pt idx="4">
                  <c:v>4.9800000000000004</c:v>
                </c:pt>
                <c:pt idx="5">
                  <c:v>4.9800000000000004</c:v>
                </c:pt>
                <c:pt idx="6">
                  <c:v>4.9800000000000004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DE-7C4C-AA6A-D4D6501E2E7A}"/>
            </c:ext>
          </c:extLst>
        </c:ser>
        <c:ser>
          <c:idx val="1"/>
          <c:order val="1"/>
          <c:tx>
            <c:strRef>
              <c:f>'GRAFIK TREN'!$C$3</c:f>
              <c:strCache>
                <c:ptCount val="1"/>
                <c:pt idx="0">
                  <c:v>FFA ST02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'GRAFIK TREN'!$A$4:$A$33</c:f>
              <c:strCache>
                <c:ptCount val="30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'GRAFIK TREN'!$C$4:$C$33</c:f>
              <c:numCache>
                <c:formatCode>_(* #,##0.00_);_(* \(#,##0.00\);_(* "-"_);_(@_)</c:formatCode>
                <c:ptCount val="30"/>
                <c:pt idx="0">
                  <c:v>4.99</c:v>
                </c:pt>
                <c:pt idx="1">
                  <c:v>5.03</c:v>
                </c:pt>
                <c:pt idx="2">
                  <c:v>5.05</c:v>
                </c:pt>
                <c:pt idx="3">
                  <c:v>0</c:v>
                </c:pt>
                <c:pt idx="4">
                  <c:v>5.09</c:v>
                </c:pt>
                <c:pt idx="5">
                  <c:v>5.09</c:v>
                </c:pt>
                <c:pt idx="6">
                  <c:v>5.13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DE-7C4C-AA6A-D4D6501E2E7A}"/>
            </c:ext>
          </c:extLst>
        </c:ser>
        <c:ser>
          <c:idx val="2"/>
          <c:order val="2"/>
          <c:tx>
            <c:strRef>
              <c:f>'GRAFIK TREN'!$D$3</c:f>
              <c:strCache>
                <c:ptCount val="1"/>
                <c:pt idx="0">
                  <c:v>FFA ST03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'GRAFIK TREN'!$A$4:$A$33</c:f>
              <c:strCache>
                <c:ptCount val="30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'GRAFIK TREN'!$D$4:$D$33</c:f>
              <c:numCache>
                <c:formatCode>_(* #,##0.00_);_(* \(#,##0.00\);_(* "-"_);_(@_)</c:formatCode>
                <c:ptCount val="30"/>
                <c:pt idx="0">
                  <c:v>5.42</c:v>
                </c:pt>
                <c:pt idx="1">
                  <c:v>5.4</c:v>
                </c:pt>
                <c:pt idx="2">
                  <c:v>5.38</c:v>
                </c:pt>
                <c:pt idx="3">
                  <c:v>0</c:v>
                </c:pt>
                <c:pt idx="4">
                  <c:v>5.34</c:v>
                </c:pt>
                <c:pt idx="5">
                  <c:v>5.3</c:v>
                </c:pt>
                <c:pt idx="6">
                  <c:v>5.28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DE-7C4C-AA6A-D4D6501E2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Tanggal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FFA (%)</a:t>
                </a:r>
              </a:p>
            </c:rich>
          </c:tx>
          <c:overlay val="1"/>
        </c:title>
        <c:numFmt formatCode="_(* #,##0.00_);_(* \(#,##0.00\);_(* &quot;-&quot;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739805555555559"/>
          <c:y val="0.15861574074074075"/>
          <c:w val="0.1179075"/>
          <c:h val="0.1594812499999999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Tren DOBI CPO Harian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'GRAFIK TREN'!$E$3</c:f>
              <c:strCache>
                <c:ptCount val="1"/>
                <c:pt idx="0">
                  <c:v>DOBI ST01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'GRAFIK TREN'!$A$4:$A$33</c:f>
              <c:strCache>
                <c:ptCount val="30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'GRAFIK TREN'!$E$4:$E$33</c:f>
              <c:numCache>
                <c:formatCode>_(* #,##0.00_);_(* \(#,##0.00\);_(* "-"_);_(@_)</c:formatCode>
                <c:ptCount val="30"/>
                <c:pt idx="0">
                  <c:v>1.87</c:v>
                </c:pt>
                <c:pt idx="1">
                  <c:v>1.87</c:v>
                </c:pt>
                <c:pt idx="2">
                  <c:v>1.87</c:v>
                </c:pt>
                <c:pt idx="3">
                  <c:v>0</c:v>
                </c:pt>
                <c:pt idx="4">
                  <c:v>1.87</c:v>
                </c:pt>
                <c:pt idx="5">
                  <c:v>1.87</c:v>
                </c:pt>
                <c:pt idx="6">
                  <c:v>1.87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DE-9B42-B067-85E6077A394D}"/>
            </c:ext>
          </c:extLst>
        </c:ser>
        <c:ser>
          <c:idx val="1"/>
          <c:order val="1"/>
          <c:tx>
            <c:strRef>
              <c:f>'GRAFIK TREN'!$F$3</c:f>
              <c:strCache>
                <c:ptCount val="1"/>
                <c:pt idx="0">
                  <c:v>DOBI ST02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'GRAFIK TREN'!$A$4:$A$33</c:f>
              <c:strCache>
                <c:ptCount val="30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'GRAFIK TREN'!$F$4:$F$33</c:f>
              <c:numCache>
                <c:formatCode>_(* #,##0.00_);_(* \(#,##0.00\);_(* "-"_);_(@_)</c:formatCode>
                <c:ptCount val="30"/>
                <c:pt idx="0">
                  <c:v>1.85</c:v>
                </c:pt>
                <c:pt idx="1">
                  <c:v>1.85</c:v>
                </c:pt>
                <c:pt idx="2">
                  <c:v>1.85</c:v>
                </c:pt>
                <c:pt idx="3">
                  <c:v>0</c:v>
                </c:pt>
                <c:pt idx="4">
                  <c:v>1.85</c:v>
                </c:pt>
                <c:pt idx="5">
                  <c:v>1.85</c:v>
                </c:pt>
                <c:pt idx="6">
                  <c:v>1.85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DE-9B42-B067-85E6077A394D}"/>
            </c:ext>
          </c:extLst>
        </c:ser>
        <c:ser>
          <c:idx val="2"/>
          <c:order val="2"/>
          <c:tx>
            <c:strRef>
              <c:f>'GRAFIK TREN'!$G$3</c:f>
              <c:strCache>
                <c:ptCount val="1"/>
                <c:pt idx="0">
                  <c:v>DOBI ST03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'GRAFIK TREN'!$A$4:$A$33</c:f>
              <c:strCache>
                <c:ptCount val="30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'GRAFIK TREN'!$G$4:$G$33</c:f>
              <c:numCache>
                <c:formatCode>_(* #,##0.00_);_(* \(#,##0.00\);_(* "-"_);_(@_)</c:formatCode>
                <c:ptCount val="30"/>
                <c:pt idx="0">
                  <c:v>1.81</c:v>
                </c:pt>
                <c:pt idx="1">
                  <c:v>1.81</c:v>
                </c:pt>
                <c:pt idx="2">
                  <c:v>1.81</c:v>
                </c:pt>
                <c:pt idx="3">
                  <c:v>0</c:v>
                </c:pt>
                <c:pt idx="4">
                  <c:v>1.81</c:v>
                </c:pt>
                <c:pt idx="5">
                  <c:v>1.81</c:v>
                </c:pt>
                <c:pt idx="6">
                  <c:v>1.81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DE-9B42-B067-85E6077A3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Tanggal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DOBI</a:t>
                </a:r>
              </a:p>
            </c:rich>
          </c:tx>
          <c:overlay val="1"/>
        </c:title>
        <c:numFmt formatCode="_(* #,##0.00_);_(* \(#,##0.00\);_(* &quot;-&quot;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724708333333332"/>
          <c:y val="4.9842592592592584E-2"/>
          <c:w val="0.12805847222222222"/>
          <c:h val="0.1594812499999999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Tren FFA Harian Semua Olein Tank - Maret 2026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'REKAP FFA TREND'!$B$3</c:f>
              <c:strCache>
                <c:ptCount val="1"/>
                <c:pt idx="0">
                  <c:v>Olein ST07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'REKAP FFA TREND'!$A$4:$A$33</c:f>
              <c:strCache>
                <c:ptCount val="30"/>
                <c:pt idx="0">
                  <c:v>01 Mar (Min)</c:v>
                </c:pt>
                <c:pt idx="1">
                  <c:v>02 Mar (Sen)</c:v>
                </c:pt>
                <c:pt idx="2">
                  <c:v>03 Mar (Sel)</c:v>
                </c:pt>
                <c:pt idx="3">
                  <c:v>04 Mar (Rab)</c:v>
                </c:pt>
                <c:pt idx="4">
                  <c:v>05 Mar (Kam)</c:v>
                </c:pt>
                <c:pt idx="5">
                  <c:v>06 Mar (Jum)</c:v>
                </c:pt>
                <c:pt idx="6">
                  <c:v>07 Mar (Sab)</c:v>
                </c:pt>
                <c:pt idx="7">
                  <c:v>08 Mar (Min)</c:v>
                </c:pt>
                <c:pt idx="8">
                  <c:v>09 Mar (Sen)</c:v>
                </c:pt>
                <c:pt idx="9">
                  <c:v>10 Mar (Sel)</c:v>
                </c:pt>
                <c:pt idx="10">
                  <c:v>11 Mar (Rab)</c:v>
                </c:pt>
                <c:pt idx="11">
                  <c:v>12 Mar (Kam)</c:v>
                </c:pt>
                <c:pt idx="12">
                  <c:v>13 Mar (Jum)</c:v>
                </c:pt>
                <c:pt idx="13">
                  <c:v>14 Mar (Sab)</c:v>
                </c:pt>
                <c:pt idx="14">
                  <c:v>15 Mar (Min)</c:v>
                </c:pt>
                <c:pt idx="15">
                  <c:v>16 Mar (Sen)</c:v>
                </c:pt>
                <c:pt idx="16">
                  <c:v>17 Mar (Sel)</c:v>
                </c:pt>
                <c:pt idx="17">
                  <c:v>18 Mar (Rab)</c:v>
                </c:pt>
                <c:pt idx="18">
                  <c:v>19 Mar (Kam)</c:v>
                </c:pt>
                <c:pt idx="19">
                  <c:v>20 Mar (Jum)</c:v>
                </c:pt>
                <c:pt idx="20">
                  <c:v>21 Mar (Sab)</c:v>
                </c:pt>
                <c:pt idx="21">
                  <c:v>22 Mar (Min)</c:v>
                </c:pt>
                <c:pt idx="22">
                  <c:v>23 Mar (Sen)</c:v>
                </c:pt>
                <c:pt idx="23">
                  <c:v>24 Mar (Sel)</c:v>
                </c:pt>
                <c:pt idx="24">
                  <c:v>25 Mar (Rab)</c:v>
                </c:pt>
                <c:pt idx="25">
                  <c:v>26 Mar (Kam)</c:v>
                </c:pt>
                <c:pt idx="26">
                  <c:v>27 Mar (Jum)</c:v>
                </c:pt>
                <c:pt idx="27">
                  <c:v>28 Mar (Sab)</c:v>
                </c:pt>
                <c:pt idx="28">
                  <c:v>29 Mar (Min)</c:v>
                </c:pt>
                <c:pt idx="29">
                  <c:v>30 Mar (Sen)</c:v>
                </c:pt>
              </c:strCache>
            </c:strRef>
          </c:cat>
          <c:val>
            <c:numRef>
              <c:f>'REKAP FFA TREND'!$B$4:$B$33</c:f>
              <c:numCache>
                <c:formatCode>0.000</c:formatCode>
                <c:ptCount val="30"/>
                <c:pt idx="0">
                  <c:v>8.3000000000000004E-2</c:v>
                </c:pt>
                <c:pt idx="1">
                  <c:v>8.3000000000000004E-2</c:v>
                </c:pt>
                <c:pt idx="2">
                  <c:v>8.3000000000000004E-2</c:v>
                </c:pt>
                <c:pt idx="3">
                  <c:v>0</c:v>
                </c:pt>
                <c:pt idx="4">
                  <c:v>8.3000000000000004E-2</c:v>
                </c:pt>
                <c:pt idx="5">
                  <c:v>8.4000000000000005E-2</c:v>
                </c:pt>
                <c:pt idx="6">
                  <c:v>8.4000000000000005E-2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56-C34F-8C7D-72C1028F05BB}"/>
            </c:ext>
          </c:extLst>
        </c:ser>
        <c:ser>
          <c:idx val="1"/>
          <c:order val="1"/>
          <c:tx>
            <c:strRef>
              <c:f>'REKAP FFA TREND'!$C$3</c:f>
              <c:strCache>
                <c:ptCount val="1"/>
                <c:pt idx="0">
                  <c:v>Olein ST08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'REKAP FFA TREND'!$A$4:$A$33</c:f>
              <c:strCache>
                <c:ptCount val="30"/>
                <c:pt idx="0">
                  <c:v>01 Mar (Min)</c:v>
                </c:pt>
                <c:pt idx="1">
                  <c:v>02 Mar (Sen)</c:v>
                </c:pt>
                <c:pt idx="2">
                  <c:v>03 Mar (Sel)</c:v>
                </c:pt>
                <c:pt idx="3">
                  <c:v>04 Mar (Rab)</c:v>
                </c:pt>
                <c:pt idx="4">
                  <c:v>05 Mar (Kam)</c:v>
                </c:pt>
                <c:pt idx="5">
                  <c:v>06 Mar (Jum)</c:v>
                </c:pt>
                <c:pt idx="6">
                  <c:v>07 Mar (Sab)</c:v>
                </c:pt>
                <c:pt idx="7">
                  <c:v>08 Mar (Min)</c:v>
                </c:pt>
                <c:pt idx="8">
                  <c:v>09 Mar (Sen)</c:v>
                </c:pt>
                <c:pt idx="9">
                  <c:v>10 Mar (Sel)</c:v>
                </c:pt>
                <c:pt idx="10">
                  <c:v>11 Mar (Rab)</c:v>
                </c:pt>
                <c:pt idx="11">
                  <c:v>12 Mar (Kam)</c:v>
                </c:pt>
                <c:pt idx="12">
                  <c:v>13 Mar (Jum)</c:v>
                </c:pt>
                <c:pt idx="13">
                  <c:v>14 Mar (Sab)</c:v>
                </c:pt>
                <c:pt idx="14">
                  <c:v>15 Mar (Min)</c:v>
                </c:pt>
                <c:pt idx="15">
                  <c:v>16 Mar (Sen)</c:v>
                </c:pt>
                <c:pt idx="16">
                  <c:v>17 Mar (Sel)</c:v>
                </c:pt>
                <c:pt idx="17">
                  <c:v>18 Mar (Rab)</c:v>
                </c:pt>
                <c:pt idx="18">
                  <c:v>19 Mar (Kam)</c:v>
                </c:pt>
                <c:pt idx="19">
                  <c:v>20 Mar (Jum)</c:v>
                </c:pt>
                <c:pt idx="20">
                  <c:v>21 Mar (Sab)</c:v>
                </c:pt>
                <c:pt idx="21">
                  <c:v>22 Mar (Min)</c:v>
                </c:pt>
                <c:pt idx="22">
                  <c:v>23 Mar (Sen)</c:v>
                </c:pt>
                <c:pt idx="23">
                  <c:v>24 Mar (Sel)</c:v>
                </c:pt>
                <c:pt idx="24">
                  <c:v>25 Mar (Rab)</c:v>
                </c:pt>
                <c:pt idx="25">
                  <c:v>26 Mar (Kam)</c:v>
                </c:pt>
                <c:pt idx="26">
                  <c:v>27 Mar (Jum)</c:v>
                </c:pt>
                <c:pt idx="27">
                  <c:v>28 Mar (Sab)</c:v>
                </c:pt>
                <c:pt idx="28">
                  <c:v>29 Mar (Min)</c:v>
                </c:pt>
                <c:pt idx="29">
                  <c:v>30 Mar (Sen)</c:v>
                </c:pt>
              </c:strCache>
            </c:strRef>
          </c:cat>
          <c:val>
            <c:numRef>
              <c:f>'REKAP FFA TREND'!$C$4:$C$33</c:f>
              <c:numCache>
                <c:formatCode>0.000</c:formatCode>
                <c:ptCount val="30"/>
                <c:pt idx="0">
                  <c:v>7.1999999999999995E-2</c:v>
                </c:pt>
                <c:pt idx="1">
                  <c:v>7.1999999999999995E-2</c:v>
                </c:pt>
                <c:pt idx="2">
                  <c:v>7.1999999999999995E-2</c:v>
                </c:pt>
                <c:pt idx="3">
                  <c:v>0</c:v>
                </c:pt>
                <c:pt idx="4">
                  <c:v>7.5999999999999998E-2</c:v>
                </c:pt>
                <c:pt idx="5">
                  <c:v>7.5999999999999998E-2</c:v>
                </c:pt>
                <c:pt idx="6">
                  <c:v>7.5999999999999998E-2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56-C34F-8C7D-72C1028F05BB}"/>
            </c:ext>
          </c:extLst>
        </c:ser>
        <c:ser>
          <c:idx val="2"/>
          <c:order val="2"/>
          <c:tx>
            <c:strRef>
              <c:f>'REKAP FFA TREND'!$D$3</c:f>
              <c:strCache>
                <c:ptCount val="1"/>
                <c:pt idx="0">
                  <c:v>Olein ST09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'REKAP FFA TREND'!$A$4:$A$33</c:f>
              <c:strCache>
                <c:ptCount val="30"/>
                <c:pt idx="0">
                  <c:v>01 Mar (Min)</c:v>
                </c:pt>
                <c:pt idx="1">
                  <c:v>02 Mar (Sen)</c:v>
                </c:pt>
                <c:pt idx="2">
                  <c:v>03 Mar (Sel)</c:v>
                </c:pt>
                <c:pt idx="3">
                  <c:v>04 Mar (Rab)</c:v>
                </c:pt>
                <c:pt idx="4">
                  <c:v>05 Mar (Kam)</c:v>
                </c:pt>
                <c:pt idx="5">
                  <c:v>06 Mar (Jum)</c:v>
                </c:pt>
                <c:pt idx="6">
                  <c:v>07 Mar (Sab)</c:v>
                </c:pt>
                <c:pt idx="7">
                  <c:v>08 Mar (Min)</c:v>
                </c:pt>
                <c:pt idx="8">
                  <c:v>09 Mar (Sen)</c:v>
                </c:pt>
                <c:pt idx="9">
                  <c:v>10 Mar (Sel)</c:v>
                </c:pt>
                <c:pt idx="10">
                  <c:v>11 Mar (Rab)</c:v>
                </c:pt>
                <c:pt idx="11">
                  <c:v>12 Mar (Kam)</c:v>
                </c:pt>
                <c:pt idx="12">
                  <c:v>13 Mar (Jum)</c:v>
                </c:pt>
                <c:pt idx="13">
                  <c:v>14 Mar (Sab)</c:v>
                </c:pt>
                <c:pt idx="14">
                  <c:v>15 Mar (Min)</c:v>
                </c:pt>
                <c:pt idx="15">
                  <c:v>16 Mar (Sen)</c:v>
                </c:pt>
                <c:pt idx="16">
                  <c:v>17 Mar (Sel)</c:v>
                </c:pt>
                <c:pt idx="17">
                  <c:v>18 Mar (Rab)</c:v>
                </c:pt>
                <c:pt idx="18">
                  <c:v>19 Mar (Kam)</c:v>
                </c:pt>
                <c:pt idx="19">
                  <c:v>20 Mar (Jum)</c:v>
                </c:pt>
                <c:pt idx="20">
                  <c:v>21 Mar (Sab)</c:v>
                </c:pt>
                <c:pt idx="21">
                  <c:v>22 Mar (Min)</c:v>
                </c:pt>
                <c:pt idx="22">
                  <c:v>23 Mar (Sen)</c:v>
                </c:pt>
                <c:pt idx="23">
                  <c:v>24 Mar (Sel)</c:v>
                </c:pt>
                <c:pt idx="24">
                  <c:v>25 Mar (Rab)</c:v>
                </c:pt>
                <c:pt idx="25">
                  <c:v>26 Mar (Kam)</c:v>
                </c:pt>
                <c:pt idx="26">
                  <c:v>27 Mar (Jum)</c:v>
                </c:pt>
                <c:pt idx="27">
                  <c:v>28 Mar (Sab)</c:v>
                </c:pt>
                <c:pt idx="28">
                  <c:v>29 Mar (Min)</c:v>
                </c:pt>
                <c:pt idx="29">
                  <c:v>30 Mar (Sen)</c:v>
                </c:pt>
              </c:strCache>
            </c:strRef>
          </c:cat>
          <c:val>
            <c:numRef>
              <c:f>'REKAP FFA TREND'!$D$4:$D$33</c:f>
              <c:numCache>
                <c:formatCode>0.000</c:formatCode>
                <c:ptCount val="30"/>
                <c:pt idx="0">
                  <c:v>6.6000000000000003E-2</c:v>
                </c:pt>
                <c:pt idx="1">
                  <c:v>6.6000000000000003E-2</c:v>
                </c:pt>
                <c:pt idx="2">
                  <c:v>6.6000000000000003E-2</c:v>
                </c:pt>
                <c:pt idx="3">
                  <c:v>0</c:v>
                </c:pt>
                <c:pt idx="4">
                  <c:v>7.1999999999999995E-2</c:v>
                </c:pt>
                <c:pt idx="5">
                  <c:v>7.1999999999999995E-2</c:v>
                </c:pt>
                <c:pt idx="6">
                  <c:v>7.1999999999999995E-2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56-C34F-8C7D-72C1028F05BB}"/>
            </c:ext>
          </c:extLst>
        </c:ser>
        <c:ser>
          <c:idx val="3"/>
          <c:order val="3"/>
          <c:tx>
            <c:strRef>
              <c:f>'REKAP FFA TREND'!$E$3</c:f>
              <c:strCache>
                <c:ptCount val="1"/>
                <c:pt idx="0">
                  <c:v>Olein ST10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'REKAP FFA TREND'!$A$4:$A$33</c:f>
              <c:strCache>
                <c:ptCount val="30"/>
                <c:pt idx="0">
                  <c:v>01 Mar (Min)</c:v>
                </c:pt>
                <c:pt idx="1">
                  <c:v>02 Mar (Sen)</c:v>
                </c:pt>
                <c:pt idx="2">
                  <c:v>03 Mar (Sel)</c:v>
                </c:pt>
                <c:pt idx="3">
                  <c:v>04 Mar (Rab)</c:v>
                </c:pt>
                <c:pt idx="4">
                  <c:v>05 Mar (Kam)</c:v>
                </c:pt>
                <c:pt idx="5">
                  <c:v>06 Mar (Jum)</c:v>
                </c:pt>
                <c:pt idx="6">
                  <c:v>07 Mar (Sab)</c:v>
                </c:pt>
                <c:pt idx="7">
                  <c:v>08 Mar (Min)</c:v>
                </c:pt>
                <c:pt idx="8">
                  <c:v>09 Mar (Sen)</c:v>
                </c:pt>
                <c:pt idx="9">
                  <c:v>10 Mar (Sel)</c:v>
                </c:pt>
                <c:pt idx="10">
                  <c:v>11 Mar (Rab)</c:v>
                </c:pt>
                <c:pt idx="11">
                  <c:v>12 Mar (Kam)</c:v>
                </c:pt>
                <c:pt idx="12">
                  <c:v>13 Mar (Jum)</c:v>
                </c:pt>
                <c:pt idx="13">
                  <c:v>14 Mar (Sab)</c:v>
                </c:pt>
                <c:pt idx="14">
                  <c:v>15 Mar (Min)</c:v>
                </c:pt>
                <c:pt idx="15">
                  <c:v>16 Mar (Sen)</c:v>
                </c:pt>
                <c:pt idx="16">
                  <c:v>17 Mar (Sel)</c:v>
                </c:pt>
                <c:pt idx="17">
                  <c:v>18 Mar (Rab)</c:v>
                </c:pt>
                <c:pt idx="18">
                  <c:v>19 Mar (Kam)</c:v>
                </c:pt>
                <c:pt idx="19">
                  <c:v>20 Mar (Jum)</c:v>
                </c:pt>
                <c:pt idx="20">
                  <c:v>21 Mar (Sab)</c:v>
                </c:pt>
                <c:pt idx="21">
                  <c:v>22 Mar (Min)</c:v>
                </c:pt>
                <c:pt idx="22">
                  <c:v>23 Mar (Sen)</c:v>
                </c:pt>
                <c:pt idx="23">
                  <c:v>24 Mar (Sel)</c:v>
                </c:pt>
                <c:pt idx="24">
                  <c:v>25 Mar (Rab)</c:v>
                </c:pt>
                <c:pt idx="25">
                  <c:v>26 Mar (Kam)</c:v>
                </c:pt>
                <c:pt idx="26">
                  <c:v>27 Mar (Jum)</c:v>
                </c:pt>
                <c:pt idx="27">
                  <c:v>28 Mar (Sab)</c:v>
                </c:pt>
                <c:pt idx="28">
                  <c:v>29 Mar (Min)</c:v>
                </c:pt>
                <c:pt idx="29">
                  <c:v>30 Mar (Sen)</c:v>
                </c:pt>
              </c:strCache>
            </c:strRef>
          </c:cat>
          <c:val>
            <c:numRef>
              <c:f>'REKAP FFA TREND'!$E$4:$E$33</c:f>
              <c:numCache>
                <c:formatCode>0.000</c:formatCode>
                <c:ptCount val="30"/>
                <c:pt idx="0">
                  <c:v>7.0999999999999994E-2</c:v>
                </c:pt>
                <c:pt idx="1">
                  <c:v>7.0999999999999994E-2</c:v>
                </c:pt>
                <c:pt idx="2">
                  <c:v>7.0999999999999994E-2</c:v>
                </c:pt>
                <c:pt idx="3">
                  <c:v>0</c:v>
                </c:pt>
                <c:pt idx="4">
                  <c:v>7.0999999999999994E-2</c:v>
                </c:pt>
                <c:pt idx="5">
                  <c:v>7.0999999999999994E-2</c:v>
                </c:pt>
                <c:pt idx="6">
                  <c:v>7.0999999999999994E-2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D56-C34F-8C7D-72C1028F05BB}"/>
            </c:ext>
          </c:extLst>
        </c:ser>
        <c:ser>
          <c:idx val="4"/>
          <c:order val="4"/>
          <c:tx>
            <c:strRef>
              <c:f>'REKAP FFA TREND'!$F$3</c:f>
              <c:strCache>
                <c:ptCount val="1"/>
                <c:pt idx="0">
                  <c:v>Olein ST11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'REKAP FFA TREND'!$A$4:$A$33</c:f>
              <c:strCache>
                <c:ptCount val="30"/>
                <c:pt idx="0">
                  <c:v>01 Mar (Min)</c:v>
                </c:pt>
                <c:pt idx="1">
                  <c:v>02 Mar (Sen)</c:v>
                </c:pt>
                <c:pt idx="2">
                  <c:v>03 Mar (Sel)</c:v>
                </c:pt>
                <c:pt idx="3">
                  <c:v>04 Mar (Rab)</c:v>
                </c:pt>
                <c:pt idx="4">
                  <c:v>05 Mar (Kam)</c:v>
                </c:pt>
                <c:pt idx="5">
                  <c:v>06 Mar (Jum)</c:v>
                </c:pt>
                <c:pt idx="6">
                  <c:v>07 Mar (Sab)</c:v>
                </c:pt>
                <c:pt idx="7">
                  <c:v>08 Mar (Min)</c:v>
                </c:pt>
                <c:pt idx="8">
                  <c:v>09 Mar (Sen)</c:v>
                </c:pt>
                <c:pt idx="9">
                  <c:v>10 Mar (Sel)</c:v>
                </c:pt>
                <c:pt idx="10">
                  <c:v>11 Mar (Rab)</c:v>
                </c:pt>
                <c:pt idx="11">
                  <c:v>12 Mar (Kam)</c:v>
                </c:pt>
                <c:pt idx="12">
                  <c:v>13 Mar (Jum)</c:v>
                </c:pt>
                <c:pt idx="13">
                  <c:v>14 Mar (Sab)</c:v>
                </c:pt>
                <c:pt idx="14">
                  <c:v>15 Mar (Min)</c:v>
                </c:pt>
                <c:pt idx="15">
                  <c:v>16 Mar (Sen)</c:v>
                </c:pt>
                <c:pt idx="16">
                  <c:v>17 Mar (Sel)</c:v>
                </c:pt>
                <c:pt idx="17">
                  <c:v>18 Mar (Rab)</c:v>
                </c:pt>
                <c:pt idx="18">
                  <c:v>19 Mar (Kam)</c:v>
                </c:pt>
                <c:pt idx="19">
                  <c:v>20 Mar (Jum)</c:v>
                </c:pt>
                <c:pt idx="20">
                  <c:v>21 Mar (Sab)</c:v>
                </c:pt>
                <c:pt idx="21">
                  <c:v>22 Mar (Min)</c:v>
                </c:pt>
                <c:pt idx="22">
                  <c:v>23 Mar (Sen)</c:v>
                </c:pt>
                <c:pt idx="23">
                  <c:v>24 Mar (Sel)</c:v>
                </c:pt>
                <c:pt idx="24">
                  <c:v>25 Mar (Rab)</c:v>
                </c:pt>
                <c:pt idx="25">
                  <c:v>26 Mar (Kam)</c:v>
                </c:pt>
                <c:pt idx="26">
                  <c:v>27 Mar (Jum)</c:v>
                </c:pt>
                <c:pt idx="27">
                  <c:v>28 Mar (Sab)</c:v>
                </c:pt>
                <c:pt idx="28">
                  <c:v>29 Mar (Min)</c:v>
                </c:pt>
                <c:pt idx="29">
                  <c:v>30 Mar (Sen)</c:v>
                </c:pt>
              </c:strCache>
            </c:strRef>
          </c:cat>
          <c:val>
            <c:numRef>
              <c:f>'REKAP FFA TREND'!$F$4:$F$33</c:f>
              <c:numCache>
                <c:formatCode>0.000</c:formatCode>
                <c:ptCount val="30"/>
                <c:pt idx="0">
                  <c:v>6.7000000000000004E-2</c:v>
                </c:pt>
                <c:pt idx="1">
                  <c:v>6.7000000000000004E-2</c:v>
                </c:pt>
                <c:pt idx="2">
                  <c:v>6.7000000000000004E-2</c:v>
                </c:pt>
                <c:pt idx="3">
                  <c:v>0</c:v>
                </c:pt>
                <c:pt idx="4">
                  <c:v>7.4999999999999997E-2</c:v>
                </c:pt>
                <c:pt idx="5">
                  <c:v>7.8E-2</c:v>
                </c:pt>
                <c:pt idx="6">
                  <c:v>0.08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D56-C34F-8C7D-72C1028F0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Tanggal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FFA (%)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203199</xdr:rowOff>
    </xdr:from>
    <xdr:to>
      <xdr:col>7</xdr:col>
      <xdr:colOff>457200</xdr:colOff>
      <xdr:row>30</xdr:row>
      <xdr:rowOff>126999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D8C1C8E-04C9-ACFA-2886-567AD597A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203199</xdr:rowOff>
    </xdr:from>
    <xdr:to>
      <xdr:col>7</xdr:col>
      <xdr:colOff>457200</xdr:colOff>
      <xdr:row>61</xdr:row>
      <xdr:rowOff>126999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3E2ECD-AC50-DD65-59E2-A8BCDA82C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75</xdr:row>
      <xdr:rowOff>203199</xdr:rowOff>
    </xdr:from>
    <xdr:to>
      <xdr:col>7</xdr:col>
      <xdr:colOff>457200</xdr:colOff>
      <xdr:row>92</xdr:row>
      <xdr:rowOff>126999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F073A5A-0086-2F5C-B711-677832CB3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106</xdr:row>
      <xdr:rowOff>203199</xdr:rowOff>
    </xdr:from>
    <xdr:to>
      <xdr:col>7</xdr:col>
      <xdr:colOff>457200</xdr:colOff>
      <xdr:row>123</xdr:row>
      <xdr:rowOff>126999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C148D56-61DA-7F3B-DCEE-E640796CD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137</xdr:row>
      <xdr:rowOff>203199</xdr:rowOff>
    </xdr:from>
    <xdr:to>
      <xdr:col>7</xdr:col>
      <xdr:colOff>457200</xdr:colOff>
      <xdr:row>154</xdr:row>
      <xdr:rowOff>126999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8A6584A-E2BA-48FA-8C63-6D0BB460F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93FE54-94B4-B847-9F81-852993605F42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064"/>
  </sheetPr>
  <dimension ref="A1:N17"/>
  <sheetViews>
    <sheetView showGridLines="0" zoomScale="125" workbookViewId="0">
      <selection activeCell="D19" sqref="D19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3" width="10" customWidth="1"/>
    <col min="4" max="5" width="13" customWidth="1"/>
    <col min="6" max="6" width="15" customWidth="1"/>
    <col min="7" max="7" width="14" customWidth="1"/>
    <col min="8" max="8" width="23.6640625" customWidth="1"/>
    <col min="9" max="9" width="20" customWidth="1"/>
    <col min="10" max="10" width="12.1640625" customWidth="1"/>
  </cols>
  <sheetData>
    <row r="1" spans="1:14" ht="28" customHeight="1" x14ac:dyDescent="0.2">
      <c r="A1" s="131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16" customHeight="1" x14ac:dyDescent="0.2">
      <c r="A2" s="130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</row>
    <row r="3" spans="1:14" ht="40" customHeight="1" x14ac:dyDescent="0.2">
      <c r="A3" s="41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116" t="s">
        <v>10</v>
      </c>
      <c r="J3" s="117" t="s">
        <v>300</v>
      </c>
    </row>
    <row r="4" spans="1:14" ht="20" customHeight="1" x14ac:dyDescent="0.2">
      <c r="A4" s="26">
        <v>1</v>
      </c>
      <c r="B4" s="27" t="s">
        <v>11</v>
      </c>
      <c r="C4" s="4" t="s">
        <v>12</v>
      </c>
      <c r="D4" s="42"/>
      <c r="E4" s="42"/>
      <c r="F4" s="113" t="str">
        <f t="shared" ref="F4:F17" si="0">IF(AND(D4&lt;&gt;"",E4&lt;&gt;""),E4-D4,"")</f>
        <v/>
      </c>
      <c r="G4" s="118" cm="1">
        <f t="array" ref="G4">IFERROR(INDEX('MUTASI STOK'!K5:K34,MATCH(2,1/('MUTASI STOK'!K5:K34&gt;0),1)),0)</f>
        <v>2506149</v>
      </c>
      <c r="H4" s="42"/>
      <c r="I4" s="43"/>
      <c r="J4" s="114" t="str">
        <f t="shared" ref="J4:J17" ca="1" si="1">IF(E4&lt;&gt;"",TODAY()-E4,IF(D4&lt;&gt;"",TODAY()-D4,""))</f>
        <v/>
      </c>
    </row>
    <row r="5" spans="1:14" ht="20" customHeight="1" x14ac:dyDescent="0.2">
      <c r="A5" s="31">
        <v>2</v>
      </c>
      <c r="B5" s="32" t="s">
        <v>13</v>
      </c>
      <c r="C5" s="4" t="s">
        <v>12</v>
      </c>
      <c r="D5" s="42"/>
      <c r="E5" s="42"/>
      <c r="F5" s="113" t="str">
        <f t="shared" si="0"/>
        <v/>
      </c>
      <c r="G5" s="119" cm="1">
        <f t="array" ref="G5">IFERROR(INDEX('MUTASI STOK'!U5:U34,MATCH(2,1/('MUTASI STOK'!U5:U34&gt;0),1)),0)</f>
        <v>2577692</v>
      </c>
      <c r="H5" s="42"/>
      <c r="I5" s="43"/>
      <c r="J5" s="115" t="str">
        <f t="shared" ca="1" si="1"/>
        <v/>
      </c>
    </row>
    <row r="6" spans="1:14" ht="20" customHeight="1" x14ac:dyDescent="0.2">
      <c r="A6" s="26">
        <v>3</v>
      </c>
      <c r="B6" s="27" t="s">
        <v>14</v>
      </c>
      <c r="C6" s="4" t="s">
        <v>12</v>
      </c>
      <c r="D6" s="42"/>
      <c r="E6" s="42"/>
      <c r="F6" s="113" t="str">
        <f t="shared" si="0"/>
        <v/>
      </c>
      <c r="G6" s="118" cm="1">
        <f t="array" ref="G6">IFERROR(INDEX('MUTASI STOK'!AE5:AE34,MATCH(2,1/('MUTASI STOK'!AE5:AE34&gt;0),1)),0)</f>
        <v>2443036</v>
      </c>
      <c r="H6" s="42"/>
      <c r="I6" s="43"/>
      <c r="J6" s="114" t="str">
        <f t="shared" ca="1" si="1"/>
        <v/>
      </c>
    </row>
    <row r="7" spans="1:14" ht="20" customHeight="1" x14ac:dyDescent="0.2">
      <c r="A7" s="31">
        <v>4</v>
      </c>
      <c r="B7" s="32" t="s">
        <v>15</v>
      </c>
      <c r="C7" s="5" t="s">
        <v>16</v>
      </c>
      <c r="D7" s="42"/>
      <c r="E7" s="42"/>
      <c r="F7" s="113" t="str">
        <f t="shared" si="0"/>
        <v/>
      </c>
      <c r="G7" s="119" cm="1">
        <f t="array" ref="G7">IFERROR(INDEX('MUTASI STOK'!AL5:AL34,MATCH(2,1/('MUTASI STOK'!AL5:AL34&gt;0),1)),0)</f>
        <v>328064</v>
      </c>
      <c r="H7" s="42"/>
      <c r="I7" s="43"/>
      <c r="J7" s="115" t="str">
        <f t="shared" ca="1" si="1"/>
        <v/>
      </c>
    </row>
    <row r="8" spans="1:14" ht="20" customHeight="1" x14ac:dyDescent="0.2">
      <c r="A8" s="26">
        <v>5</v>
      </c>
      <c r="B8" s="27" t="s">
        <v>17</v>
      </c>
      <c r="C8" s="6" t="s">
        <v>18</v>
      </c>
      <c r="D8" s="42"/>
      <c r="E8" s="42"/>
      <c r="F8" s="113" t="str">
        <f t="shared" si="0"/>
        <v/>
      </c>
      <c r="G8" s="118" cm="1">
        <f t="array" ref="G8">IFERROR(INDEX('MUTASI STOK'!AS5:AS34,MATCH(2,1/('MUTASI STOK'!AS5:AS34&gt;0),1)),0)</f>
        <v>529521</v>
      </c>
      <c r="H8" s="42"/>
      <c r="I8" s="43"/>
      <c r="J8" s="114" t="str">
        <f t="shared" ca="1" si="1"/>
        <v/>
      </c>
    </row>
    <row r="9" spans="1:14" ht="20" customHeight="1" x14ac:dyDescent="0.2">
      <c r="A9" s="31">
        <v>6</v>
      </c>
      <c r="B9" s="32" t="s">
        <v>19</v>
      </c>
      <c r="C9" s="6" t="s">
        <v>18</v>
      </c>
      <c r="D9" s="42"/>
      <c r="E9" s="42"/>
      <c r="F9" s="113" t="str">
        <f t="shared" si="0"/>
        <v/>
      </c>
      <c r="G9" s="119" cm="1">
        <f t="array" ref="G9">IFERROR(INDEX('MUTASI STOK'!AZ5:AZ34,MATCH(2,1/('MUTASI STOK'!AZ5:AZ34&gt;0),1)),0)</f>
        <v>44014</v>
      </c>
      <c r="H9" s="42"/>
      <c r="I9" s="43"/>
      <c r="J9" s="115" t="str">
        <f t="shared" ca="1" si="1"/>
        <v/>
      </c>
    </row>
    <row r="10" spans="1:14" ht="20" customHeight="1" x14ac:dyDescent="0.2">
      <c r="A10" s="26">
        <v>7</v>
      </c>
      <c r="B10" s="27" t="s">
        <v>20</v>
      </c>
      <c r="C10" s="7" t="s">
        <v>21</v>
      </c>
      <c r="D10" s="26" t="s">
        <v>22</v>
      </c>
      <c r="E10" s="26" t="s">
        <v>23</v>
      </c>
      <c r="F10" s="113">
        <f t="shared" si="0"/>
        <v>5</v>
      </c>
      <c r="G10" s="118" cm="1">
        <f t="array" ref="G10">IFERROR(INDEX('MUTASI STOK'!BJ5:BJ34,MATCH(2,1/('MUTASI STOK'!BJ5:BJ34&gt;0),1)),0)</f>
        <v>536860</v>
      </c>
      <c r="H10" s="44" t="s">
        <v>24</v>
      </c>
      <c r="I10" s="43"/>
      <c r="J10" s="114">
        <f t="shared" ca="1" si="1"/>
        <v>65</v>
      </c>
    </row>
    <row r="11" spans="1:14" ht="20" customHeight="1" x14ac:dyDescent="0.2">
      <c r="A11" s="31">
        <v>8</v>
      </c>
      <c r="B11" s="32" t="s">
        <v>25</v>
      </c>
      <c r="C11" s="7" t="s">
        <v>21</v>
      </c>
      <c r="D11" s="31" t="s">
        <v>23</v>
      </c>
      <c r="E11" s="31" t="s">
        <v>26</v>
      </c>
      <c r="F11" s="113">
        <f t="shared" si="0"/>
        <v>3</v>
      </c>
      <c r="G11" s="119" cm="1">
        <f t="array" ref="G11">IFERROR(INDEX('MUTASI STOK'!BT5:BT34,MATCH(2,1/('MUTASI STOK'!BT5:BT34&gt;0),1)),0)</f>
        <v>278400</v>
      </c>
      <c r="H11" s="44" t="s">
        <v>24</v>
      </c>
      <c r="I11" s="43"/>
      <c r="J11" s="115">
        <f t="shared" ca="1" si="1"/>
        <v>62</v>
      </c>
    </row>
    <row r="12" spans="1:14" ht="20" customHeight="1" x14ac:dyDescent="0.2">
      <c r="A12" s="26">
        <v>9</v>
      </c>
      <c r="B12" s="27" t="s">
        <v>27</v>
      </c>
      <c r="C12" s="7" t="s">
        <v>21</v>
      </c>
      <c r="D12" s="26" t="s">
        <v>26</v>
      </c>
      <c r="E12" s="26" t="s">
        <v>28</v>
      </c>
      <c r="F12" s="113">
        <f t="shared" si="0"/>
        <v>3</v>
      </c>
      <c r="G12" s="118" cm="1">
        <f t="array" ref="G12">IFERROR(INDEX('MUTASI STOK'!CD5:CD34,MATCH(2,1/('MUTASI STOK'!CD5:CD34&gt;0),1)),0)</f>
        <v>508583</v>
      </c>
      <c r="H12" s="44" t="s">
        <v>24</v>
      </c>
      <c r="I12" s="43"/>
      <c r="J12" s="114">
        <f t="shared" ca="1" si="1"/>
        <v>59</v>
      </c>
    </row>
    <row r="13" spans="1:14" ht="20" customHeight="1" x14ac:dyDescent="0.2">
      <c r="A13" s="31">
        <v>10</v>
      </c>
      <c r="B13" s="32" t="s">
        <v>29</v>
      </c>
      <c r="C13" s="7" t="s">
        <v>21</v>
      </c>
      <c r="D13" s="31" t="s">
        <v>30</v>
      </c>
      <c r="E13" s="31" t="s">
        <v>31</v>
      </c>
      <c r="F13" s="113">
        <f t="shared" si="0"/>
        <v>31</v>
      </c>
      <c r="G13" s="119" cm="1">
        <f t="array" ref="G13">IFERROR(INDEX('MUTASI STOK'!CN5:CN34,MATCH(2,1/('MUTASI STOK'!CN5:CN34&gt;0),1)),0)</f>
        <v>510730</v>
      </c>
      <c r="H13" s="44" t="s">
        <v>24</v>
      </c>
      <c r="I13" s="43"/>
      <c r="J13" s="115">
        <f t="shared" ca="1" si="1"/>
        <v>50</v>
      </c>
    </row>
    <row r="14" spans="1:14" ht="20" customHeight="1" x14ac:dyDescent="0.2">
      <c r="A14" s="26">
        <v>11</v>
      </c>
      <c r="B14" s="27" t="s">
        <v>32</v>
      </c>
      <c r="C14" s="7" t="s">
        <v>21</v>
      </c>
      <c r="D14" s="26" t="s">
        <v>31</v>
      </c>
      <c r="E14" s="26" t="s">
        <v>31</v>
      </c>
      <c r="F14" s="113">
        <f t="shared" si="0"/>
        <v>0</v>
      </c>
      <c r="G14" s="118" cm="1">
        <f t="array" ref="G14">IFERROR(INDEX('MUTASI STOK'!CX5:CX34,MATCH(2,1/('MUTASI STOK'!CX5:CX34&gt;0),1)),0)</f>
        <v>26023</v>
      </c>
      <c r="H14" s="44" t="s">
        <v>24</v>
      </c>
      <c r="I14" s="43"/>
      <c r="J14" s="114">
        <f t="shared" ca="1" si="1"/>
        <v>50</v>
      </c>
    </row>
    <row r="15" spans="1:14" ht="20" customHeight="1" x14ac:dyDescent="0.2">
      <c r="A15" s="31">
        <v>12</v>
      </c>
      <c r="B15" s="32" t="s">
        <v>33</v>
      </c>
      <c r="C15" s="8" t="s">
        <v>34</v>
      </c>
      <c r="D15" s="42"/>
      <c r="E15" s="42"/>
      <c r="F15" s="113" t="str">
        <f t="shared" si="0"/>
        <v/>
      </c>
      <c r="G15" s="119" cm="1">
        <f t="array" ref="G15">IFERROR(INDEX('MUTASI STOK'!DE5:DE34,MATCH(2,1/('MUTASI STOK'!DE5:DE34&gt;0),1)),0)</f>
        <v>1164563</v>
      </c>
      <c r="H15" s="42"/>
      <c r="I15" s="43"/>
      <c r="J15" s="115" t="str">
        <f t="shared" ca="1" si="1"/>
        <v/>
      </c>
    </row>
    <row r="16" spans="1:14" ht="20" customHeight="1" x14ac:dyDescent="0.2">
      <c r="A16" s="26">
        <v>13</v>
      </c>
      <c r="B16" s="27" t="s">
        <v>35</v>
      </c>
      <c r="C16" s="8" t="s">
        <v>34</v>
      </c>
      <c r="D16" s="42"/>
      <c r="E16" s="42"/>
      <c r="F16" s="113" t="str">
        <f t="shared" si="0"/>
        <v/>
      </c>
      <c r="G16" s="118" cm="1">
        <f t="array" ref="G16">IFERROR(INDEX('MUTASI STOK'!DL5:DL34,MATCH(2,1/('MUTASI STOK'!DL5:DL34&gt;0),1)),0)</f>
        <v>961820</v>
      </c>
      <c r="H16" s="42"/>
      <c r="I16" s="43"/>
      <c r="J16" s="114" t="str">
        <f t="shared" ca="1" si="1"/>
        <v/>
      </c>
    </row>
    <row r="17" spans="1:10" ht="20" customHeight="1" x14ac:dyDescent="0.2">
      <c r="A17" s="31">
        <v>14</v>
      </c>
      <c r="B17" s="32" t="s">
        <v>36</v>
      </c>
      <c r="C17" s="7" t="s">
        <v>21</v>
      </c>
      <c r="D17" s="42"/>
      <c r="E17" s="42"/>
      <c r="F17" s="113" t="str">
        <f t="shared" si="0"/>
        <v/>
      </c>
      <c r="G17" s="119" cm="1">
        <f t="array" ref="G17">IFERROR(INDEX('MUTASI STOK'!DS5:DS34,MATCH(2,1/('MUTASI STOK'!DS5:DS34&gt;0),1)),0)</f>
        <v>32951</v>
      </c>
      <c r="H17" s="42"/>
      <c r="I17" s="43"/>
      <c r="J17" s="115" t="str">
        <f t="shared" ca="1" si="1"/>
        <v/>
      </c>
    </row>
  </sheetData>
  <mergeCells count="2">
    <mergeCell ref="A2:N2"/>
    <mergeCell ref="A1:N1"/>
  </mergeCells>
  <conditionalFormatting sqref="G4:G17">
    <cfRule type="cellIs" dxfId="151" priority="4" operator="equal">
      <formula>0</formula>
    </cfRule>
  </conditionalFormatting>
  <conditionalFormatting sqref="J4:J17">
    <cfRule type="cellIs" dxfId="150" priority="1" operator="greaterThan">
      <formula>45</formula>
    </cfRule>
    <cfRule type="cellIs" dxfId="149" priority="2" operator="between">
      <formula>30</formula>
      <formula>45</formula>
    </cfRule>
    <cfRule type="cellIs" dxfId="148" priority="3" operator="lessThanOrEqual">
      <formula>30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33C00"/>
  </sheetPr>
  <dimension ref="A1:W158"/>
  <sheetViews>
    <sheetView showGridLines="0" zoomScale="114" zoomScaleNormal="125" workbookViewId="0">
      <selection activeCell="W7" sqref="W7"/>
    </sheetView>
  </sheetViews>
  <sheetFormatPr baseColWidth="10" defaultColWidth="8.83203125" defaultRowHeight="15" x14ac:dyDescent="0.2"/>
  <cols>
    <col min="1" max="1" width="14" customWidth="1"/>
    <col min="2" max="5" width="8" customWidth="1"/>
    <col min="6" max="6" width="15" customWidth="1"/>
    <col min="7" max="7" width="8" customWidth="1"/>
    <col min="8" max="8" width="23.6640625" customWidth="1"/>
    <col min="9" max="9" width="12" customWidth="1"/>
    <col min="10" max="17" width="8" customWidth="1"/>
    <col min="18" max="20" width="6" customWidth="1"/>
  </cols>
  <sheetData>
    <row r="1" spans="1:23" ht="28" customHeight="1" x14ac:dyDescent="0.2">
      <c r="A1" s="157" t="s">
        <v>37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3" ht="16" customHeight="1" x14ac:dyDescent="0.2">
      <c r="A2" s="130" t="s">
        <v>38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</row>
    <row r="3" spans="1:23" ht="22" customHeight="1" x14ac:dyDescent="0.2">
      <c r="A3" s="154" t="s">
        <v>39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</row>
    <row r="4" spans="1:23" ht="20" customHeight="1" x14ac:dyDescent="0.2">
      <c r="A4" s="147" t="s">
        <v>40</v>
      </c>
      <c r="B4" s="125"/>
      <c r="C4" s="125"/>
      <c r="D4" s="125"/>
      <c r="E4" s="125"/>
      <c r="F4" s="125"/>
      <c r="G4" s="125"/>
      <c r="I4" s="145" t="s">
        <v>41</v>
      </c>
      <c r="J4" s="125"/>
      <c r="K4" s="139" t="s">
        <v>42</v>
      </c>
      <c r="L4" s="125"/>
      <c r="M4" s="142" t="s">
        <v>43</v>
      </c>
      <c r="N4" s="125"/>
      <c r="O4" s="146" t="s">
        <v>44</v>
      </c>
      <c r="P4" s="125"/>
      <c r="V4" s="45" t="s">
        <v>45</v>
      </c>
      <c r="W4" s="45" t="s">
        <v>46</v>
      </c>
    </row>
    <row r="5" spans="1:23" ht="20" customHeight="1" x14ac:dyDescent="0.2">
      <c r="A5" s="125"/>
      <c r="B5" s="125"/>
      <c r="C5" s="125"/>
      <c r="D5" s="125"/>
      <c r="E5" s="125"/>
      <c r="F5" s="125"/>
      <c r="G5" s="125"/>
      <c r="I5" s="141" t="s">
        <v>47</v>
      </c>
      <c r="J5" s="151"/>
      <c r="K5" s="143">
        <v>5.8999999999999997E-2</v>
      </c>
      <c r="L5" s="151"/>
      <c r="M5" s="134">
        <f>IFERROR(LOOKUP(2,1/('INPUT KUALITAS'!AP6:AP35&lt;&gt;""),'INPUT KUALITAS'!AP6:AP35),"-")</f>
        <v>8.4000000000000005E-2</v>
      </c>
      <c r="N5" s="151"/>
      <c r="O5" s="137" t="str">
        <f>IFERROR(IF(M5="-","-",TEXT(M5-0.059,"0.000")&amp;" ("&amp;IF(M5&gt;0.059,"NAIK","TURUN")&amp;")"),"-")</f>
        <v>0.000 (NAIK)</v>
      </c>
      <c r="P5" s="158"/>
      <c r="V5" t="s">
        <v>48</v>
      </c>
      <c r="W5">
        <f>IF('INPUT KUALITAS'!AP6="",NA(),'INPUT KUALITAS'!AP6)</f>
        <v>8.3000000000000004E-2</v>
      </c>
    </row>
    <row r="6" spans="1:23" ht="20" customHeight="1" x14ac:dyDescent="0.2">
      <c r="A6" s="125"/>
      <c r="B6" s="125"/>
      <c r="C6" s="125"/>
      <c r="D6" s="125"/>
      <c r="E6" s="125"/>
      <c r="F6" s="125"/>
      <c r="G6" s="125"/>
      <c r="I6" s="141" t="s">
        <v>49</v>
      </c>
      <c r="J6" s="148"/>
      <c r="K6" s="143">
        <v>0.05</v>
      </c>
      <c r="L6" s="148"/>
      <c r="M6" s="134">
        <f>IFERROR(LOOKUP(2,1/('INPUT KUALITAS'!AR6:AR35&lt;&gt;""),'INPUT KUALITAS'!AR6:AR35),"-")</f>
        <v>7.0000000000000007E-2</v>
      </c>
      <c r="N6" s="148"/>
      <c r="O6" s="132" t="str">
        <f>IFERROR(IF(M6="-","-",TEXT(ABS(M6-0.05),"0.00")&amp;" (NAIK)"),"-")</f>
        <v>000 (NAIK)</v>
      </c>
      <c r="P6" s="133"/>
      <c r="V6" t="s">
        <v>50</v>
      </c>
      <c r="W6">
        <f>IF('INPUT KUALITAS'!AP7="",NA(),'INPUT KUALITAS'!AP7)</f>
        <v>8.3000000000000004E-2</v>
      </c>
    </row>
    <row r="7" spans="1:23" ht="20" customHeight="1" x14ac:dyDescent="0.2">
      <c r="A7" s="125"/>
      <c r="B7" s="125"/>
      <c r="C7" s="125"/>
      <c r="D7" s="125"/>
      <c r="E7" s="125"/>
      <c r="F7" s="125"/>
      <c r="G7" s="125"/>
      <c r="I7" s="141" t="s">
        <v>51</v>
      </c>
      <c r="J7" s="148"/>
      <c r="K7" s="143">
        <v>2.1</v>
      </c>
      <c r="L7" s="148"/>
      <c r="M7" s="134" t="str">
        <f>IFERROR(LOOKUP(2,1/('INPUT KUALITAS'!AQ6:AQ35&lt;&gt;""),'INPUT KUALITAS'!AQ6:AQ35),"-")</f>
        <v>2.2R/22Y</v>
      </c>
      <c r="N7" s="148"/>
      <c r="O7" s="132" t="str">
        <f>IFERROR(IF(M7="-","-",TEXT(ABS(M7-2.1),"0.00")&amp;" ()"),"-")</f>
        <v>-</v>
      </c>
      <c r="P7" s="133"/>
      <c r="V7" t="s">
        <v>52</v>
      </c>
      <c r="W7">
        <f>IF('INPUT KUALITAS'!AP8="",NA(),'INPUT KUALITAS'!AP8)</f>
        <v>8.3000000000000004E-2</v>
      </c>
    </row>
    <row r="8" spans="1:23" ht="20" customHeight="1" x14ac:dyDescent="0.2">
      <c r="A8" s="125"/>
      <c r="B8" s="125"/>
      <c r="C8" s="125"/>
      <c r="D8" s="125"/>
      <c r="E8" s="125"/>
      <c r="F8" s="125"/>
      <c r="G8" s="125"/>
      <c r="I8" s="141" t="s">
        <v>53</v>
      </c>
      <c r="J8" s="148"/>
      <c r="K8" s="143">
        <v>56.21</v>
      </c>
      <c r="L8" s="148"/>
      <c r="M8" s="134">
        <f>IFERROR(LOOKUP(2,1/('INPUT KUALITAS'!AS6:AS35&lt;&gt;""),'INPUT KUALITAS'!AS6:AS35),"-")</f>
        <v>56.01</v>
      </c>
      <c r="N8" s="148"/>
      <c r="O8" s="149" t="str">
        <f>IFERROR(IF(M8="-","-",TEXT(M8-56.21,"0.00")&amp;" ("&amp;IF(M8&lt;56.21,"TURUN","NAIK")&amp;")"),"-")</f>
        <v>000 (TURUN)</v>
      </c>
      <c r="P8" s="133"/>
      <c r="V8" t="s">
        <v>54</v>
      </c>
      <c r="W8" t="e">
        <f>IF('INPUT KUALITAS'!AP9="",NA(),'INPUT KUALITAS'!AP9)</f>
        <v>#N/A</v>
      </c>
    </row>
    <row r="9" spans="1:23" ht="20" customHeight="1" x14ac:dyDescent="0.2">
      <c r="A9" s="125"/>
      <c r="B9" s="125"/>
      <c r="C9" s="125"/>
      <c r="D9" s="125"/>
      <c r="E9" s="125"/>
      <c r="F9" s="125"/>
      <c r="G9" s="125"/>
      <c r="I9" s="141" t="s">
        <v>55</v>
      </c>
      <c r="J9" s="150"/>
      <c r="K9" s="143">
        <v>9.8000000000000007</v>
      </c>
      <c r="L9" s="150"/>
      <c r="M9" s="134">
        <f>IFERROR(LOOKUP(2,1/('INPUT KUALITAS'!AT6:AT35&lt;&gt;""),'INPUT KUALITAS'!AT6:AT35),"-")</f>
        <v>10</v>
      </c>
      <c r="N9" s="150"/>
      <c r="O9" s="132" t="str">
        <f>IFERROR(IF(M9="-","-",TEXT(ABS(M9-9.8),"0.00")&amp;" (NAIK)"),"-")</f>
        <v>000 (NAIK)</v>
      </c>
      <c r="P9" s="152"/>
      <c r="V9" t="s">
        <v>56</v>
      </c>
      <c r="W9">
        <f>IF('INPUT KUALITAS'!AP10="",NA(),'INPUT KUALITAS'!AP10)</f>
        <v>8.3000000000000004E-2</v>
      </c>
    </row>
    <row r="10" spans="1:23" ht="18" customHeight="1" x14ac:dyDescent="0.2">
      <c r="A10" s="153" t="s">
        <v>57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V10" t="s">
        <v>58</v>
      </c>
      <c r="W10">
        <f>IF('INPUT KUALITAS'!AP11="",NA(),'INPUT KUALITAS'!AP11)</f>
        <v>8.4000000000000005E-2</v>
      </c>
    </row>
    <row r="11" spans="1:23" ht="18" customHeight="1" x14ac:dyDescent="0.2">
      <c r="A11" s="136" t="str">
        <f>IFERROR("✅  FFA NAIK "&amp;TEXT(ROUND((LOOKUP(2,1/('INPUT KUALITAS'!AP6:AP35&lt;&gt;""),'INPUT KUALITAS'!AP6:AP35)-LOOKUP(1,1/('INPUT KUALITAS'!AP6:AP35&lt;&gt;""),'INPUT KUALITAS'!AP6:AP35))/4,3),"0.000")&amp;" SETIAP MINGGU (rata-rata selama Maret 2026)","Data belum cukup untuk menghitung laju FFA")</f>
        <v>✅  FFA NAIK 0.000 SETIAP MINGGU (rata-rata selama Maret 2026)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V11" t="s">
        <v>59</v>
      </c>
      <c r="W11">
        <f>IF('INPUT KUALITAS'!AP12="",NA(),'INPUT KUALITAS'!AP12)</f>
        <v>8.4000000000000005E-2</v>
      </c>
    </row>
    <row r="12" spans="1:23" ht="18" customHeight="1" x14ac:dyDescent="0.2">
      <c r="A12" s="156" t="s">
        <v>60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V12" t="s">
        <v>61</v>
      </c>
      <c r="W12" t="e">
        <f>IF('INPUT KUALITAS'!AP13="",NA(),'INPUT KUALITAS'!AP13)</f>
        <v>#N/A</v>
      </c>
    </row>
    <row r="13" spans="1:23" ht="18" customHeight="1" x14ac:dyDescent="0.2">
      <c r="A13" s="155" t="s">
        <v>62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V13" t="s">
        <v>63</v>
      </c>
      <c r="W13" t="e">
        <f>IF('INPUT KUALITAS'!AP14="",NA(),'INPUT KUALITAS'!AP14)</f>
        <v>#N/A</v>
      </c>
    </row>
    <row r="14" spans="1:23" ht="16" customHeight="1" x14ac:dyDescent="0.2">
      <c r="A14" s="138" t="s">
        <v>64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V14" t="s">
        <v>65</v>
      </c>
      <c r="W14" t="e">
        <f>IF('INPUT KUALITAS'!AP15="",NA(),'INPUT KUALITAS'!AP15)</f>
        <v>#N/A</v>
      </c>
    </row>
    <row r="15" spans="1:23" x14ac:dyDescent="0.2">
      <c r="V15" t="s">
        <v>66</v>
      </c>
      <c r="W15" t="e">
        <f>IF('INPUT KUALITAS'!AP16="",NA(),'INPUT KUALITAS'!AP16)</f>
        <v>#N/A</v>
      </c>
    </row>
    <row r="16" spans="1:23" x14ac:dyDescent="0.2">
      <c r="V16" t="s">
        <v>67</v>
      </c>
      <c r="W16" t="e">
        <f>IF('INPUT KUALITAS'!AP17="",NA(),'INPUT KUALITAS'!AP17)</f>
        <v>#N/A</v>
      </c>
    </row>
    <row r="17" spans="22:23" x14ac:dyDescent="0.2">
      <c r="V17" t="s">
        <v>68</v>
      </c>
      <c r="W17" t="e">
        <f>IF('INPUT KUALITAS'!AP18="",NA(),'INPUT KUALITAS'!AP18)</f>
        <v>#N/A</v>
      </c>
    </row>
    <row r="18" spans="22:23" x14ac:dyDescent="0.2">
      <c r="V18" t="s">
        <v>69</v>
      </c>
      <c r="W18" t="e">
        <f>IF('INPUT KUALITAS'!AP19="",NA(),'INPUT KUALITAS'!AP19)</f>
        <v>#N/A</v>
      </c>
    </row>
    <row r="19" spans="22:23" x14ac:dyDescent="0.2">
      <c r="V19" t="s">
        <v>70</v>
      </c>
      <c r="W19" t="e">
        <f>IF('INPUT KUALITAS'!AP20="",NA(),'INPUT KUALITAS'!AP20)</f>
        <v>#N/A</v>
      </c>
    </row>
    <row r="20" spans="22:23" x14ac:dyDescent="0.2">
      <c r="V20" t="s">
        <v>71</v>
      </c>
      <c r="W20" t="e">
        <f>IF('INPUT KUALITAS'!AP21="",NA(),'INPUT KUALITAS'!AP21)</f>
        <v>#N/A</v>
      </c>
    </row>
    <row r="21" spans="22:23" x14ac:dyDescent="0.2">
      <c r="V21" t="s">
        <v>72</v>
      </c>
      <c r="W21" t="e">
        <f>IF('INPUT KUALITAS'!AP22="",NA(),'INPUT KUALITAS'!AP22)</f>
        <v>#N/A</v>
      </c>
    </row>
    <row r="22" spans="22:23" x14ac:dyDescent="0.2">
      <c r="V22" t="s">
        <v>73</v>
      </c>
      <c r="W22" t="e">
        <f>IF('INPUT KUALITAS'!AP23="",NA(),'INPUT KUALITAS'!AP23)</f>
        <v>#N/A</v>
      </c>
    </row>
    <row r="23" spans="22:23" x14ac:dyDescent="0.2">
      <c r="V23" t="s">
        <v>74</v>
      </c>
      <c r="W23" t="e">
        <f>IF('INPUT KUALITAS'!AP24="",NA(),'INPUT KUALITAS'!AP24)</f>
        <v>#N/A</v>
      </c>
    </row>
    <row r="24" spans="22:23" x14ac:dyDescent="0.2">
      <c r="V24" t="s">
        <v>75</v>
      </c>
      <c r="W24" t="e">
        <f>IF('INPUT KUALITAS'!AP25="",NA(),'INPUT KUALITAS'!AP25)</f>
        <v>#N/A</v>
      </c>
    </row>
    <row r="25" spans="22:23" x14ac:dyDescent="0.2">
      <c r="V25" t="s">
        <v>76</v>
      </c>
      <c r="W25" t="e">
        <f>IF('INPUT KUALITAS'!AP26="",NA(),'INPUT KUALITAS'!AP26)</f>
        <v>#N/A</v>
      </c>
    </row>
    <row r="26" spans="22:23" x14ac:dyDescent="0.2">
      <c r="V26" t="s">
        <v>77</v>
      </c>
      <c r="W26" t="e">
        <f>IF('INPUT KUALITAS'!AP27="",NA(),'INPUT KUALITAS'!AP27)</f>
        <v>#N/A</v>
      </c>
    </row>
    <row r="27" spans="22:23" x14ac:dyDescent="0.2">
      <c r="V27" t="s">
        <v>78</v>
      </c>
      <c r="W27" t="e">
        <f>IF('INPUT KUALITAS'!AP28="",NA(),'INPUT KUALITAS'!AP28)</f>
        <v>#N/A</v>
      </c>
    </row>
    <row r="28" spans="22:23" x14ac:dyDescent="0.2">
      <c r="V28" t="s">
        <v>79</v>
      </c>
      <c r="W28" t="e">
        <f>IF('INPUT KUALITAS'!AP29="",NA(),'INPUT KUALITAS'!AP29)</f>
        <v>#N/A</v>
      </c>
    </row>
    <row r="29" spans="22:23" x14ac:dyDescent="0.2">
      <c r="V29" t="s">
        <v>80</v>
      </c>
      <c r="W29" t="e">
        <f>IF('INPUT KUALITAS'!AP30="",NA(),'INPUT KUALITAS'!AP30)</f>
        <v>#N/A</v>
      </c>
    </row>
    <row r="30" spans="22:23" x14ac:dyDescent="0.2">
      <c r="V30" t="s">
        <v>81</v>
      </c>
      <c r="W30" t="e">
        <f>IF('INPUT KUALITAS'!AP31="",NA(),'INPUT KUALITAS'!AP31)</f>
        <v>#N/A</v>
      </c>
    </row>
    <row r="31" spans="22:23" x14ac:dyDescent="0.2">
      <c r="V31" t="s">
        <v>82</v>
      </c>
      <c r="W31" t="e">
        <f>IF('INPUT KUALITAS'!AP32="",NA(),'INPUT KUALITAS'!AP32)</f>
        <v>#N/A</v>
      </c>
    </row>
    <row r="32" spans="22:23" x14ac:dyDescent="0.2">
      <c r="V32" t="s">
        <v>83</v>
      </c>
      <c r="W32" t="e">
        <f>IF('INPUT KUALITAS'!AP33="",NA(),'INPUT KUALITAS'!AP33)</f>
        <v>#N/A</v>
      </c>
    </row>
    <row r="33" spans="1:23" ht="10" customHeight="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V33" t="s">
        <v>84</v>
      </c>
      <c r="W33" t="e">
        <f>IF('INPUT KUALITAS'!AP34="",NA(),'INPUT KUALITAS'!AP34)</f>
        <v>#N/A</v>
      </c>
    </row>
    <row r="34" spans="1:23" ht="22" customHeight="1" x14ac:dyDescent="0.2">
      <c r="A34" s="154" t="s">
        <v>85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V34" t="s">
        <v>86</v>
      </c>
      <c r="W34" t="e">
        <f>IF('INPUT KUALITAS'!AP35="",NA(),'INPUT KUALITAS'!AP35)</f>
        <v>#N/A</v>
      </c>
    </row>
    <row r="35" spans="1:23" ht="20" customHeight="1" x14ac:dyDescent="0.2">
      <c r="A35" s="147" t="s">
        <v>87</v>
      </c>
      <c r="B35" s="125"/>
      <c r="C35" s="125"/>
      <c r="D35" s="125"/>
      <c r="E35" s="125"/>
      <c r="F35" s="125"/>
      <c r="G35" s="125"/>
      <c r="I35" s="145" t="s">
        <v>41</v>
      </c>
      <c r="J35" s="140"/>
      <c r="K35" s="139" t="s">
        <v>88</v>
      </c>
      <c r="L35" s="140"/>
      <c r="M35" s="142" t="s">
        <v>43</v>
      </c>
      <c r="N35" s="140"/>
      <c r="O35" s="146" t="s">
        <v>44</v>
      </c>
      <c r="P35" s="140"/>
      <c r="V35" s="45" t="s">
        <v>45</v>
      </c>
      <c r="W35" s="45" t="s">
        <v>89</v>
      </c>
    </row>
    <row r="36" spans="1:23" ht="20" customHeight="1" x14ac:dyDescent="0.2">
      <c r="A36" s="125"/>
      <c r="B36" s="125"/>
      <c r="C36" s="125"/>
      <c r="D36" s="125"/>
      <c r="E36" s="125"/>
      <c r="F36" s="125"/>
      <c r="G36" s="125"/>
      <c r="I36" s="141" t="s">
        <v>47</v>
      </c>
      <c r="J36" s="135"/>
      <c r="K36" s="143">
        <v>5.0999999999999997E-2</v>
      </c>
      <c r="L36" s="135"/>
      <c r="M36" s="134">
        <f>IFERROR(LOOKUP(2,1/('INPUT KUALITAS'!AV6:AV35&lt;&gt;""),'INPUT KUALITAS'!AV6:AV35),"-")</f>
        <v>7.5999999999999998E-2</v>
      </c>
      <c r="N36" s="135"/>
      <c r="O36" s="137" t="str">
        <f>IFERROR(IF(M36="-","-",TEXT(M36-0.051,"0.000")&amp;" ("&amp;IF(M36&gt;0.051,"NAIK","TURUN")&amp;")"),"-")</f>
        <v>0.000 (NAIK)</v>
      </c>
      <c r="P36" s="135"/>
      <c r="V36" t="s">
        <v>48</v>
      </c>
      <c r="W36">
        <f>IF('INPUT KUALITAS'!AV6="",NA(),'INPUT KUALITAS'!AV6)</f>
        <v>7.1999999999999995E-2</v>
      </c>
    </row>
    <row r="37" spans="1:23" ht="20" customHeight="1" x14ac:dyDescent="0.2">
      <c r="A37" s="125"/>
      <c r="B37" s="125"/>
      <c r="C37" s="125"/>
      <c r="D37" s="125"/>
      <c r="E37" s="125"/>
      <c r="F37" s="125"/>
      <c r="G37" s="125"/>
      <c r="I37" s="141" t="s">
        <v>49</v>
      </c>
      <c r="J37" s="135"/>
      <c r="K37" s="143">
        <v>0.04</v>
      </c>
      <c r="L37" s="135"/>
      <c r="M37" s="134">
        <f>IFERROR(LOOKUP(2,1/('INPUT KUALITAS'!AX6:AX35&lt;&gt;""),'INPUT KUALITAS'!AX6:AX35),"-")</f>
        <v>7.0000000000000007E-2</v>
      </c>
      <c r="N37" s="135"/>
      <c r="O37" s="132" t="str">
        <f>IFERROR(IF(M37="-","-",TEXT(ABS(M37-0.04),"0.00")&amp;" (NAIK)"),"-")</f>
        <v>000 (NAIK)</v>
      </c>
      <c r="P37" s="135"/>
      <c r="V37" t="s">
        <v>50</v>
      </c>
      <c r="W37">
        <f>IF('INPUT KUALITAS'!AV7="",NA(),'INPUT KUALITAS'!AV7)</f>
        <v>7.1999999999999995E-2</v>
      </c>
    </row>
    <row r="38" spans="1:23" ht="20" customHeight="1" x14ac:dyDescent="0.2">
      <c r="A38" s="125"/>
      <c r="B38" s="125"/>
      <c r="C38" s="125"/>
      <c r="D38" s="125"/>
      <c r="E38" s="125"/>
      <c r="F38" s="125"/>
      <c r="G38" s="125"/>
      <c r="I38" s="141" t="s">
        <v>51</v>
      </c>
      <c r="J38" s="135"/>
      <c r="K38" s="143">
        <v>2.1</v>
      </c>
      <c r="L38" s="135"/>
      <c r="M38" s="134" t="str">
        <f>IFERROR(LOOKUP(2,1/('INPUT KUALITAS'!AW6:AW35&lt;&gt;""),'INPUT KUALITAS'!AW6:AW35),"-")</f>
        <v>2.1R/21Y</v>
      </c>
      <c r="N38" s="135"/>
      <c r="O38" s="132" t="str">
        <f>IFERROR(IF(M38="-","-",TEXT(ABS(M38-2.1),"0.00")&amp;" ()"),"-")</f>
        <v>-</v>
      </c>
      <c r="P38" s="135"/>
      <c r="V38" t="s">
        <v>52</v>
      </c>
      <c r="W38">
        <f>IF('INPUT KUALITAS'!AV8="",NA(),'INPUT KUALITAS'!AV8)</f>
        <v>7.1999999999999995E-2</v>
      </c>
    </row>
    <row r="39" spans="1:23" ht="20" customHeight="1" x14ac:dyDescent="0.2">
      <c r="A39" s="125"/>
      <c r="B39" s="125"/>
      <c r="C39" s="125"/>
      <c r="D39" s="125"/>
      <c r="E39" s="125"/>
      <c r="F39" s="125"/>
      <c r="G39" s="125"/>
      <c r="I39" s="141" t="s">
        <v>53</v>
      </c>
      <c r="J39" s="135"/>
      <c r="K39" s="143">
        <v>57.85</v>
      </c>
      <c r="L39" s="135"/>
      <c r="M39" s="134">
        <f>IFERROR(LOOKUP(2,1/('INPUT KUALITAS'!AY6:AY35&lt;&gt;""),'INPUT KUALITAS'!AY6:AY35),"-")</f>
        <v>57.65</v>
      </c>
      <c r="N39" s="135"/>
      <c r="O39" s="149" t="str">
        <f>IFERROR(IF(M39="-","-",TEXT(M39-57.85,"0.00")&amp;" ("&amp;IF(M39&lt;57.85,"TURUN","NAIK")&amp;")"),"-")</f>
        <v>000 (TURUN)</v>
      </c>
      <c r="P39" s="135"/>
      <c r="V39" t="s">
        <v>54</v>
      </c>
      <c r="W39" t="e">
        <f>IF('INPUT KUALITAS'!AV9="",NA(),'INPUT KUALITAS'!AV9)</f>
        <v>#N/A</v>
      </c>
    </row>
    <row r="40" spans="1:23" ht="20" customHeight="1" x14ac:dyDescent="0.2">
      <c r="A40" s="125"/>
      <c r="B40" s="125"/>
      <c r="C40" s="125"/>
      <c r="D40" s="125"/>
      <c r="E40" s="125"/>
      <c r="F40" s="125"/>
      <c r="G40" s="125"/>
      <c r="I40" s="141" t="s">
        <v>55</v>
      </c>
      <c r="J40" s="144"/>
      <c r="K40" s="143">
        <v>8.8000000000000007</v>
      </c>
      <c r="L40" s="144"/>
      <c r="M40" s="134">
        <f>IFERROR(LOOKUP(2,1/('INPUT KUALITAS'!AZ6:AZ35&lt;&gt;""),'INPUT KUALITAS'!AZ6:AZ35),"-")</f>
        <v>9</v>
      </c>
      <c r="N40" s="144"/>
      <c r="O40" s="132" t="str">
        <f>IFERROR(IF(M40="-","-",TEXT(ABS(M40-8.8),"0.00")&amp;" (NAIK)"),"-")</f>
        <v>000 (NAIK)</v>
      </c>
      <c r="P40" s="144"/>
      <c r="V40" t="s">
        <v>56</v>
      </c>
      <c r="W40">
        <f>IF('INPUT KUALITAS'!AV10="",NA(),'INPUT KUALITAS'!AV10)</f>
        <v>7.5999999999999998E-2</v>
      </c>
    </row>
    <row r="41" spans="1:23" ht="18" customHeight="1" x14ac:dyDescent="0.2">
      <c r="A41" s="153" t="s">
        <v>57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V41" t="s">
        <v>58</v>
      </c>
      <c r="W41">
        <f>IF('INPUT KUALITAS'!AV11="",NA(),'INPUT KUALITAS'!AV11)</f>
        <v>7.5999999999999998E-2</v>
      </c>
    </row>
    <row r="42" spans="1:23" ht="18" customHeight="1" x14ac:dyDescent="0.2">
      <c r="A42" s="136" t="str">
        <f>IFERROR("✅  FFA NAIK "&amp;TEXT(ROUND((LOOKUP(2,1/('INPUT KUALITAS'!AV6:AV35&lt;&gt;""),'INPUT KUALITAS'!AV6:AV35)-LOOKUP(1,1/('INPUT KUALITAS'!AV6:AV35&lt;&gt;""),'INPUT KUALITAS'!AV6:AV35))/4,3),"0.000")&amp;" SETIAP MINGGU (rata-rata selama Maret 2026)","Data belum cukup untuk menghitung laju FFA")</f>
        <v>✅  FFA NAIK 0.000 SETIAP MINGGU (rata-rata selama Maret 2026)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V42" t="s">
        <v>59</v>
      </c>
      <c r="W42">
        <f>IF('INPUT KUALITAS'!AV12="",NA(),'INPUT KUALITAS'!AV12)</f>
        <v>7.5999999999999998E-2</v>
      </c>
    </row>
    <row r="43" spans="1:23" ht="18" customHeight="1" x14ac:dyDescent="0.2">
      <c r="A43" s="156" t="s">
        <v>60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V43" t="s">
        <v>61</v>
      </c>
      <c r="W43" t="e">
        <f>IF('INPUT KUALITAS'!AV13="",NA(),'INPUT KUALITAS'!AV13)</f>
        <v>#N/A</v>
      </c>
    </row>
    <row r="44" spans="1:23" ht="18" customHeight="1" x14ac:dyDescent="0.2">
      <c r="A44" s="155" t="s">
        <v>90</v>
      </c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V44" t="s">
        <v>63</v>
      </c>
      <c r="W44" t="e">
        <f>IF('INPUT KUALITAS'!AV14="",NA(),'INPUT KUALITAS'!AV14)</f>
        <v>#N/A</v>
      </c>
    </row>
    <row r="45" spans="1:23" ht="16" customHeight="1" x14ac:dyDescent="0.2">
      <c r="A45" s="138" t="s">
        <v>64</v>
      </c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V45" t="s">
        <v>65</v>
      </c>
      <c r="W45" t="e">
        <f>IF('INPUT KUALITAS'!AV15="",NA(),'INPUT KUALITAS'!AV15)</f>
        <v>#N/A</v>
      </c>
    </row>
    <row r="46" spans="1:23" x14ac:dyDescent="0.2">
      <c r="V46" t="s">
        <v>66</v>
      </c>
      <c r="W46" t="e">
        <f>IF('INPUT KUALITAS'!AV16="",NA(),'INPUT KUALITAS'!AV16)</f>
        <v>#N/A</v>
      </c>
    </row>
    <row r="47" spans="1:23" x14ac:dyDescent="0.2">
      <c r="V47" t="s">
        <v>67</v>
      </c>
      <c r="W47" t="e">
        <f>IF('INPUT KUALITAS'!AV17="",NA(),'INPUT KUALITAS'!AV17)</f>
        <v>#N/A</v>
      </c>
    </row>
    <row r="48" spans="1:23" x14ac:dyDescent="0.2">
      <c r="V48" t="s">
        <v>68</v>
      </c>
      <c r="W48" t="e">
        <f>IF('INPUT KUALITAS'!AV18="",NA(),'INPUT KUALITAS'!AV18)</f>
        <v>#N/A</v>
      </c>
    </row>
    <row r="49" spans="1:23" x14ac:dyDescent="0.2">
      <c r="V49" t="s">
        <v>69</v>
      </c>
      <c r="W49" t="e">
        <f>IF('INPUT KUALITAS'!AV19="",NA(),'INPUT KUALITAS'!AV19)</f>
        <v>#N/A</v>
      </c>
    </row>
    <row r="50" spans="1:23" x14ac:dyDescent="0.2">
      <c r="V50" t="s">
        <v>70</v>
      </c>
      <c r="W50" t="e">
        <f>IF('INPUT KUALITAS'!AV20="",NA(),'INPUT KUALITAS'!AV20)</f>
        <v>#N/A</v>
      </c>
    </row>
    <row r="51" spans="1:23" x14ac:dyDescent="0.2">
      <c r="V51" t="s">
        <v>71</v>
      </c>
      <c r="W51" t="e">
        <f>IF('INPUT KUALITAS'!AV21="",NA(),'INPUT KUALITAS'!AV21)</f>
        <v>#N/A</v>
      </c>
    </row>
    <row r="52" spans="1:23" x14ac:dyDescent="0.2">
      <c r="V52" t="s">
        <v>72</v>
      </c>
      <c r="W52" t="e">
        <f>IF('INPUT KUALITAS'!AV22="",NA(),'INPUT KUALITAS'!AV22)</f>
        <v>#N/A</v>
      </c>
    </row>
    <row r="53" spans="1:23" x14ac:dyDescent="0.2">
      <c r="V53" t="s">
        <v>73</v>
      </c>
      <c r="W53" t="e">
        <f>IF('INPUT KUALITAS'!AV23="",NA(),'INPUT KUALITAS'!AV23)</f>
        <v>#N/A</v>
      </c>
    </row>
    <row r="54" spans="1:23" x14ac:dyDescent="0.2">
      <c r="V54" t="s">
        <v>74</v>
      </c>
      <c r="W54" t="e">
        <f>IF('INPUT KUALITAS'!AV24="",NA(),'INPUT KUALITAS'!AV24)</f>
        <v>#N/A</v>
      </c>
    </row>
    <row r="55" spans="1:23" x14ac:dyDescent="0.2">
      <c r="V55" t="s">
        <v>75</v>
      </c>
      <c r="W55" t="e">
        <f>IF('INPUT KUALITAS'!AV25="",NA(),'INPUT KUALITAS'!AV25)</f>
        <v>#N/A</v>
      </c>
    </row>
    <row r="56" spans="1:23" x14ac:dyDescent="0.2">
      <c r="V56" t="s">
        <v>76</v>
      </c>
      <c r="W56" t="e">
        <f>IF('INPUT KUALITAS'!AV26="",NA(),'INPUT KUALITAS'!AV26)</f>
        <v>#N/A</v>
      </c>
    </row>
    <row r="57" spans="1:23" x14ac:dyDescent="0.2">
      <c r="V57" t="s">
        <v>77</v>
      </c>
      <c r="W57" t="e">
        <f>IF('INPUT KUALITAS'!AV27="",NA(),'INPUT KUALITAS'!AV27)</f>
        <v>#N/A</v>
      </c>
    </row>
    <row r="58" spans="1:23" x14ac:dyDescent="0.2">
      <c r="V58" t="s">
        <v>78</v>
      </c>
      <c r="W58" t="e">
        <f>IF('INPUT KUALITAS'!AV28="",NA(),'INPUT KUALITAS'!AV28)</f>
        <v>#N/A</v>
      </c>
    </row>
    <row r="59" spans="1:23" x14ac:dyDescent="0.2">
      <c r="V59" t="s">
        <v>79</v>
      </c>
      <c r="W59" t="e">
        <f>IF('INPUT KUALITAS'!AV29="",NA(),'INPUT KUALITAS'!AV29)</f>
        <v>#N/A</v>
      </c>
    </row>
    <row r="60" spans="1:23" x14ac:dyDescent="0.2">
      <c r="V60" t="s">
        <v>80</v>
      </c>
      <c r="W60" t="e">
        <f>IF('INPUT KUALITAS'!AV30="",NA(),'INPUT KUALITAS'!AV30)</f>
        <v>#N/A</v>
      </c>
    </row>
    <row r="61" spans="1:23" x14ac:dyDescent="0.2">
      <c r="V61" t="s">
        <v>81</v>
      </c>
      <c r="W61" t="e">
        <f>IF('INPUT KUALITAS'!AV31="",NA(),'INPUT KUALITAS'!AV31)</f>
        <v>#N/A</v>
      </c>
    </row>
    <row r="62" spans="1:23" x14ac:dyDescent="0.2">
      <c r="V62" t="s">
        <v>82</v>
      </c>
      <c r="W62" t="e">
        <f>IF('INPUT KUALITAS'!AV32="",NA(),'INPUT KUALITAS'!AV32)</f>
        <v>#N/A</v>
      </c>
    </row>
    <row r="63" spans="1:23" x14ac:dyDescent="0.2">
      <c r="V63" t="s">
        <v>83</v>
      </c>
      <c r="W63" t="e">
        <f>IF('INPUT KUALITAS'!AV33="",NA(),'INPUT KUALITAS'!AV33)</f>
        <v>#N/A</v>
      </c>
    </row>
    <row r="64" spans="1:23" ht="10" customHeight="1" x14ac:dyDescent="0.2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V64" t="s">
        <v>84</v>
      </c>
      <c r="W64" t="e">
        <f>IF('INPUT KUALITAS'!AV34="",NA(),'INPUT KUALITAS'!AV34)</f>
        <v>#N/A</v>
      </c>
    </row>
    <row r="65" spans="1:23" ht="22" customHeight="1" x14ac:dyDescent="0.2">
      <c r="A65" s="154" t="s">
        <v>91</v>
      </c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V65" t="s">
        <v>86</v>
      </c>
      <c r="W65" t="e">
        <f>IF('INPUT KUALITAS'!AV35="",NA(),'INPUT KUALITAS'!AV35)</f>
        <v>#N/A</v>
      </c>
    </row>
    <row r="66" spans="1:23" ht="20" customHeight="1" x14ac:dyDescent="0.2">
      <c r="A66" s="147" t="s">
        <v>92</v>
      </c>
      <c r="B66" s="125"/>
      <c r="C66" s="125"/>
      <c r="D66" s="125"/>
      <c r="E66" s="125"/>
      <c r="F66" s="125"/>
      <c r="G66" s="125"/>
      <c r="I66" s="145" t="s">
        <v>41</v>
      </c>
      <c r="J66" s="140"/>
      <c r="K66" s="139" t="s">
        <v>93</v>
      </c>
      <c r="L66" s="140"/>
      <c r="M66" s="142" t="s">
        <v>43</v>
      </c>
      <c r="N66" s="140"/>
      <c r="O66" s="146" t="s">
        <v>44</v>
      </c>
      <c r="P66" s="140"/>
      <c r="V66" s="45" t="s">
        <v>45</v>
      </c>
      <c r="W66" s="45" t="s">
        <v>94</v>
      </c>
    </row>
    <row r="67" spans="1:23" ht="20" customHeight="1" x14ac:dyDescent="0.2">
      <c r="A67" s="125"/>
      <c r="B67" s="125"/>
      <c r="C67" s="125"/>
      <c r="D67" s="125"/>
      <c r="E67" s="125"/>
      <c r="F67" s="125"/>
      <c r="G67" s="125"/>
      <c r="I67" s="141" t="s">
        <v>47</v>
      </c>
      <c r="J67" s="135"/>
      <c r="K67" s="143">
        <v>4.9000000000000002E-2</v>
      </c>
      <c r="L67" s="135"/>
      <c r="M67" s="134">
        <f>IFERROR(LOOKUP(2,1/('INPUT KUALITAS'!BB6:BB35&lt;&gt;""),'INPUT KUALITAS'!BB6:BB35),"-")</f>
        <v>7.1999999999999995E-2</v>
      </c>
      <c r="N67" s="135"/>
      <c r="O67" s="137" t="str">
        <f>IFERROR(IF(M67="-","-",TEXT(M67-0.049,"0.000")&amp;" ("&amp;IF(M67&gt;0.049,"NAIK","TURUN")&amp;")"),"-")</f>
        <v>0.000 (NAIK)</v>
      </c>
      <c r="P67" s="135"/>
      <c r="V67" t="s">
        <v>48</v>
      </c>
      <c r="W67">
        <f>IF('INPUT KUALITAS'!BB6="",NA(),'INPUT KUALITAS'!BB6)</f>
        <v>6.6000000000000003E-2</v>
      </c>
    </row>
    <row r="68" spans="1:23" ht="20" customHeight="1" x14ac:dyDescent="0.2">
      <c r="A68" s="125"/>
      <c r="B68" s="125"/>
      <c r="C68" s="125"/>
      <c r="D68" s="125"/>
      <c r="E68" s="125"/>
      <c r="F68" s="125"/>
      <c r="G68" s="125"/>
      <c r="I68" s="141" t="s">
        <v>49</v>
      </c>
      <c r="J68" s="135"/>
      <c r="K68" s="143">
        <v>0.04</v>
      </c>
      <c r="L68" s="135"/>
      <c r="M68" s="134">
        <f>IFERROR(LOOKUP(2,1/('INPUT KUALITAS'!BD6:BD35&lt;&gt;""),'INPUT KUALITAS'!BD6:BD35),"-")</f>
        <v>7.0000000000000007E-2</v>
      </c>
      <c r="N68" s="135"/>
      <c r="O68" s="132" t="str">
        <f>IFERROR(IF(M68="-","-",TEXT(ABS(M68-0.04),"0.00")&amp;" (NAIK)"),"-")</f>
        <v>000 (NAIK)</v>
      </c>
      <c r="P68" s="135"/>
      <c r="V68" t="s">
        <v>50</v>
      </c>
      <c r="W68">
        <f>IF('INPUT KUALITAS'!BB7="",NA(),'INPUT KUALITAS'!BB7)</f>
        <v>6.6000000000000003E-2</v>
      </c>
    </row>
    <row r="69" spans="1:23" ht="20" customHeight="1" x14ac:dyDescent="0.2">
      <c r="A69" s="125"/>
      <c r="B69" s="125"/>
      <c r="C69" s="125"/>
      <c r="D69" s="125"/>
      <c r="E69" s="125"/>
      <c r="F69" s="125"/>
      <c r="G69" s="125"/>
      <c r="I69" s="141" t="s">
        <v>51</v>
      </c>
      <c r="J69" s="135"/>
      <c r="K69" s="143">
        <v>2.1</v>
      </c>
      <c r="L69" s="135"/>
      <c r="M69" s="134" t="str">
        <f>IFERROR(LOOKUP(2,1/('INPUT KUALITAS'!BC6:BC35&lt;&gt;""),'INPUT KUALITAS'!BC6:BC35),"-")</f>
        <v>2.2R/22Y</v>
      </c>
      <c r="N69" s="135"/>
      <c r="O69" s="132" t="str">
        <f>IFERROR(IF(M69="-","-",TEXT(ABS(M69-2.1),"0.00")&amp;" ()"),"-")</f>
        <v>-</v>
      </c>
      <c r="P69" s="135"/>
      <c r="V69" t="s">
        <v>52</v>
      </c>
      <c r="W69">
        <f>IF('INPUT KUALITAS'!BB8="",NA(),'INPUT KUALITAS'!BB8)</f>
        <v>6.6000000000000003E-2</v>
      </c>
    </row>
    <row r="70" spans="1:23" ht="20" customHeight="1" x14ac:dyDescent="0.2">
      <c r="A70" s="125"/>
      <c r="B70" s="125"/>
      <c r="C70" s="125"/>
      <c r="D70" s="125"/>
      <c r="E70" s="125"/>
      <c r="F70" s="125"/>
      <c r="G70" s="125"/>
      <c r="I70" s="141" t="s">
        <v>53</v>
      </c>
      <c r="J70" s="135"/>
      <c r="K70" s="143">
        <v>56.3</v>
      </c>
      <c r="L70" s="135"/>
      <c r="M70" s="134">
        <f>IFERROR(LOOKUP(2,1/('INPUT KUALITAS'!BE6:BE35&lt;&gt;""),'INPUT KUALITAS'!BE6:BE35),"-")</f>
        <v>56.55</v>
      </c>
      <c r="N70" s="135"/>
      <c r="O70" s="149" t="str">
        <f>IFERROR(IF(M70="-","-",TEXT(M70-56.3,"0.00")&amp;" ("&amp;IF(M70&lt;56.3,"TURUN","NAIK")&amp;")"),"-")</f>
        <v>000 (NAIK)</v>
      </c>
      <c r="P70" s="135"/>
      <c r="V70" t="s">
        <v>54</v>
      </c>
      <c r="W70" t="e">
        <f>IF('INPUT KUALITAS'!BB9="",NA(),'INPUT KUALITAS'!BB9)</f>
        <v>#N/A</v>
      </c>
    </row>
    <row r="71" spans="1:23" ht="20" customHeight="1" x14ac:dyDescent="0.2">
      <c r="A71" s="125"/>
      <c r="B71" s="125"/>
      <c r="C71" s="125"/>
      <c r="D71" s="125"/>
      <c r="E71" s="125"/>
      <c r="F71" s="125"/>
      <c r="G71" s="125"/>
      <c r="I71" s="141" t="s">
        <v>55</v>
      </c>
      <c r="J71" s="144"/>
      <c r="K71" s="143">
        <v>9.8000000000000007</v>
      </c>
      <c r="L71" s="144"/>
      <c r="M71" s="134">
        <f>IFERROR(LOOKUP(2,1/('INPUT KUALITAS'!BF6:BF35&lt;&gt;""),'INPUT KUALITAS'!BF6:BF35),"-")</f>
        <v>9.8000000000000007</v>
      </c>
      <c r="N71" s="144"/>
      <c r="O71" s="132" t="str">
        <f>IFERROR(IF(M71="-","-",TEXT(ABS(M71-9.8),"0.00")&amp;" (NAIK)"),"-")</f>
        <v>000 (NAIK)</v>
      </c>
      <c r="P71" s="144"/>
      <c r="V71" t="s">
        <v>56</v>
      </c>
      <c r="W71">
        <f>IF('INPUT KUALITAS'!BB10="",NA(),'INPUT KUALITAS'!BB10)</f>
        <v>7.1999999999999995E-2</v>
      </c>
    </row>
    <row r="72" spans="1:23" ht="18" customHeight="1" x14ac:dyDescent="0.2">
      <c r="A72" s="153" t="s">
        <v>57</v>
      </c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V72" t="s">
        <v>58</v>
      </c>
      <c r="W72">
        <f>IF('INPUT KUALITAS'!BB11="",NA(),'INPUT KUALITAS'!BB11)</f>
        <v>7.1999999999999995E-2</v>
      </c>
    </row>
    <row r="73" spans="1:23" ht="18" customHeight="1" x14ac:dyDescent="0.2">
      <c r="A73" s="136" t="str">
        <f>IFERROR("✅  FFA NAIK "&amp;TEXT(ROUND((LOOKUP(2,1/('INPUT KUALITAS'!BB6:BB35&lt;&gt;""),'INPUT KUALITAS'!BB6:BB35)-LOOKUP(1,1/('INPUT KUALITAS'!BB6:BB35&lt;&gt;""),'INPUT KUALITAS'!BB6:BB35))/4,3),"0.000")&amp;" SETIAP MINGGU (rata-rata selama Maret 2026)","Data belum cukup untuk menghitung laju FFA")</f>
        <v>✅  FFA NAIK 0.000 SETIAP MINGGU (rata-rata selama Maret 2026)</v>
      </c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V73" t="s">
        <v>59</v>
      </c>
      <c r="W73">
        <f>IF('INPUT KUALITAS'!BB12="",NA(),'INPUT KUALITAS'!BB12)</f>
        <v>7.1999999999999995E-2</v>
      </c>
    </row>
    <row r="74" spans="1:23" ht="18" customHeight="1" x14ac:dyDescent="0.2">
      <c r="A74" s="156" t="s">
        <v>60</v>
      </c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V74" t="s">
        <v>61</v>
      </c>
      <c r="W74" t="e">
        <f>IF('INPUT KUALITAS'!BB13="",NA(),'INPUT KUALITAS'!BB13)</f>
        <v>#N/A</v>
      </c>
    </row>
    <row r="75" spans="1:23" ht="18" customHeight="1" x14ac:dyDescent="0.2">
      <c r="A75" s="155" t="s">
        <v>95</v>
      </c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V75" t="s">
        <v>63</v>
      </c>
      <c r="W75" t="e">
        <f>IF('INPUT KUALITAS'!BB14="",NA(),'INPUT KUALITAS'!BB14)</f>
        <v>#N/A</v>
      </c>
    </row>
    <row r="76" spans="1:23" ht="16" customHeight="1" x14ac:dyDescent="0.2">
      <c r="A76" s="138" t="s">
        <v>64</v>
      </c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V76" t="s">
        <v>65</v>
      </c>
      <c r="W76" t="e">
        <f>IF('INPUT KUALITAS'!BB15="",NA(),'INPUT KUALITAS'!BB15)</f>
        <v>#N/A</v>
      </c>
    </row>
    <row r="77" spans="1:23" x14ac:dyDescent="0.2">
      <c r="V77" t="s">
        <v>66</v>
      </c>
      <c r="W77" t="e">
        <f>IF('INPUT KUALITAS'!BB16="",NA(),'INPUT KUALITAS'!BB16)</f>
        <v>#N/A</v>
      </c>
    </row>
    <row r="78" spans="1:23" x14ac:dyDescent="0.2">
      <c r="V78" t="s">
        <v>67</v>
      </c>
      <c r="W78" t="e">
        <f>IF('INPUT KUALITAS'!BB17="",NA(),'INPUT KUALITAS'!BB17)</f>
        <v>#N/A</v>
      </c>
    </row>
    <row r="79" spans="1:23" x14ac:dyDescent="0.2">
      <c r="V79" t="s">
        <v>68</v>
      </c>
      <c r="W79" t="e">
        <f>IF('INPUT KUALITAS'!BB18="",NA(),'INPUT KUALITAS'!BB18)</f>
        <v>#N/A</v>
      </c>
    </row>
    <row r="80" spans="1:23" x14ac:dyDescent="0.2">
      <c r="V80" t="s">
        <v>69</v>
      </c>
      <c r="W80" t="e">
        <f>IF('INPUT KUALITAS'!BB19="",NA(),'INPUT KUALITAS'!BB19)</f>
        <v>#N/A</v>
      </c>
    </row>
    <row r="81" spans="1:23" x14ac:dyDescent="0.2">
      <c r="V81" t="s">
        <v>70</v>
      </c>
      <c r="W81" t="e">
        <f>IF('INPUT KUALITAS'!BB20="",NA(),'INPUT KUALITAS'!BB20)</f>
        <v>#N/A</v>
      </c>
    </row>
    <row r="82" spans="1:23" x14ac:dyDescent="0.2">
      <c r="V82" t="s">
        <v>71</v>
      </c>
      <c r="W82" t="e">
        <f>IF('INPUT KUALITAS'!BB21="",NA(),'INPUT KUALITAS'!BB21)</f>
        <v>#N/A</v>
      </c>
    </row>
    <row r="83" spans="1:23" x14ac:dyDescent="0.2">
      <c r="V83" t="s">
        <v>72</v>
      </c>
      <c r="W83" t="e">
        <f>IF('INPUT KUALITAS'!BB22="",NA(),'INPUT KUALITAS'!BB22)</f>
        <v>#N/A</v>
      </c>
    </row>
    <row r="84" spans="1:23" x14ac:dyDescent="0.2">
      <c r="V84" t="s">
        <v>73</v>
      </c>
      <c r="W84" t="e">
        <f>IF('INPUT KUALITAS'!BB23="",NA(),'INPUT KUALITAS'!BB23)</f>
        <v>#N/A</v>
      </c>
    </row>
    <row r="85" spans="1:23" x14ac:dyDescent="0.2">
      <c r="V85" t="s">
        <v>74</v>
      </c>
      <c r="W85" t="e">
        <f>IF('INPUT KUALITAS'!BB24="",NA(),'INPUT KUALITAS'!BB24)</f>
        <v>#N/A</v>
      </c>
    </row>
    <row r="86" spans="1:23" x14ac:dyDescent="0.2">
      <c r="V86" t="s">
        <v>75</v>
      </c>
      <c r="W86" t="e">
        <f>IF('INPUT KUALITAS'!BB25="",NA(),'INPUT KUALITAS'!BB25)</f>
        <v>#N/A</v>
      </c>
    </row>
    <row r="87" spans="1:23" x14ac:dyDescent="0.2">
      <c r="V87" t="s">
        <v>76</v>
      </c>
      <c r="W87" t="e">
        <f>IF('INPUT KUALITAS'!BB26="",NA(),'INPUT KUALITAS'!BB26)</f>
        <v>#N/A</v>
      </c>
    </row>
    <row r="88" spans="1:23" x14ac:dyDescent="0.2">
      <c r="V88" t="s">
        <v>77</v>
      </c>
      <c r="W88" t="e">
        <f>IF('INPUT KUALITAS'!BB27="",NA(),'INPUT KUALITAS'!BB27)</f>
        <v>#N/A</v>
      </c>
    </row>
    <row r="89" spans="1:23" x14ac:dyDescent="0.2">
      <c r="V89" t="s">
        <v>78</v>
      </c>
      <c r="W89" t="e">
        <f>IF('INPUT KUALITAS'!BB28="",NA(),'INPUT KUALITAS'!BB28)</f>
        <v>#N/A</v>
      </c>
    </row>
    <row r="90" spans="1:23" x14ac:dyDescent="0.2">
      <c r="V90" t="s">
        <v>79</v>
      </c>
      <c r="W90" t="e">
        <f>IF('INPUT KUALITAS'!BB29="",NA(),'INPUT KUALITAS'!BB29)</f>
        <v>#N/A</v>
      </c>
    </row>
    <row r="91" spans="1:23" x14ac:dyDescent="0.2">
      <c r="V91" t="s">
        <v>80</v>
      </c>
      <c r="W91" t="e">
        <f>IF('INPUT KUALITAS'!BB30="",NA(),'INPUT KUALITAS'!BB30)</f>
        <v>#N/A</v>
      </c>
    </row>
    <row r="92" spans="1:23" x14ac:dyDescent="0.2">
      <c r="V92" t="s">
        <v>81</v>
      </c>
      <c r="W92" t="e">
        <f>IF('INPUT KUALITAS'!BB31="",NA(),'INPUT KUALITAS'!BB31)</f>
        <v>#N/A</v>
      </c>
    </row>
    <row r="93" spans="1:23" x14ac:dyDescent="0.2">
      <c r="V93" t="s">
        <v>82</v>
      </c>
      <c r="W93" t="e">
        <f>IF('INPUT KUALITAS'!BB32="",NA(),'INPUT KUALITAS'!BB32)</f>
        <v>#N/A</v>
      </c>
    </row>
    <row r="94" spans="1:23" x14ac:dyDescent="0.2">
      <c r="V94" t="s">
        <v>83</v>
      </c>
      <c r="W94" t="e">
        <f>IF('INPUT KUALITAS'!BB33="",NA(),'INPUT KUALITAS'!BB33)</f>
        <v>#N/A</v>
      </c>
    </row>
    <row r="95" spans="1:23" ht="10" customHeight="1" x14ac:dyDescent="0.2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V95" t="s">
        <v>84</v>
      </c>
      <c r="W95" t="e">
        <f>IF('INPUT KUALITAS'!BB34="",NA(),'INPUT KUALITAS'!BB34)</f>
        <v>#N/A</v>
      </c>
    </row>
    <row r="96" spans="1:23" ht="22" customHeight="1" x14ac:dyDescent="0.2">
      <c r="A96" s="154" t="s">
        <v>96</v>
      </c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V96" t="s">
        <v>86</v>
      </c>
      <c r="W96" t="e">
        <f>IF('INPUT KUALITAS'!BB35="",NA(),'INPUT KUALITAS'!BB35)</f>
        <v>#N/A</v>
      </c>
    </row>
    <row r="97" spans="1:23" ht="20" customHeight="1" x14ac:dyDescent="0.2">
      <c r="A97" s="147" t="s">
        <v>97</v>
      </c>
      <c r="B97" s="125"/>
      <c r="C97" s="125"/>
      <c r="D97" s="125"/>
      <c r="E97" s="125"/>
      <c r="F97" s="125"/>
      <c r="G97" s="125"/>
      <c r="I97" s="145" t="s">
        <v>41</v>
      </c>
      <c r="J97" s="140"/>
      <c r="K97" s="139" t="s">
        <v>98</v>
      </c>
      <c r="L97" s="140"/>
      <c r="M97" s="142" t="s">
        <v>43</v>
      </c>
      <c r="N97" s="140"/>
      <c r="O97" s="146" t="s">
        <v>44</v>
      </c>
      <c r="P97" s="140"/>
      <c r="V97" s="45" t="s">
        <v>99</v>
      </c>
      <c r="W97" s="45" t="s">
        <v>100</v>
      </c>
    </row>
    <row r="98" spans="1:23" ht="20" customHeight="1" x14ac:dyDescent="0.2">
      <c r="A98" s="125"/>
      <c r="B98" s="125"/>
      <c r="C98" s="125"/>
      <c r="D98" s="125"/>
      <c r="E98" s="125"/>
      <c r="F98" s="125"/>
      <c r="G98" s="125"/>
      <c r="I98" s="141" t="s">
        <v>47</v>
      </c>
      <c r="J98" s="135"/>
      <c r="K98" s="143">
        <v>5.1999999999999998E-2</v>
      </c>
      <c r="L98" s="135"/>
      <c r="M98" s="134">
        <f>IFERROR(LOOKUP(2,1/('INPUT KUALITAS'!BH6:BH35&lt;&gt;""),'INPUT KUALITAS'!BH6:BH35),"-")</f>
        <v>7.0999999999999994E-2</v>
      </c>
      <c r="N98" s="135"/>
      <c r="O98" s="137" t="str">
        <f>IFERROR(IF(M98="-","-",TEXT(M98-0.052,"0.000")&amp;" ("&amp;IF(M98&gt;0.052,"NAIK","TURUN")&amp;")"),"-")</f>
        <v>0.000 (NAIK)</v>
      </c>
      <c r="P98" s="135"/>
      <c r="V98" t="s">
        <v>48</v>
      </c>
      <c r="W98">
        <f>IF('INPUT KUALITAS'!BH6="",NA(),'INPUT KUALITAS'!BH6)</f>
        <v>7.0999999999999994E-2</v>
      </c>
    </row>
    <row r="99" spans="1:23" ht="20" customHeight="1" x14ac:dyDescent="0.2">
      <c r="A99" s="125"/>
      <c r="B99" s="125"/>
      <c r="C99" s="125"/>
      <c r="D99" s="125"/>
      <c r="E99" s="125"/>
      <c r="F99" s="125"/>
      <c r="G99" s="125"/>
      <c r="I99" s="141" t="s">
        <v>49</v>
      </c>
      <c r="J99" s="135"/>
      <c r="K99" s="143">
        <v>0.04</v>
      </c>
      <c r="L99" s="135"/>
      <c r="M99" s="134">
        <f>IFERROR(LOOKUP(2,1/('INPUT KUALITAS'!BJ6:BJ35&lt;&gt;""),'INPUT KUALITAS'!BJ6:BJ35),"-")</f>
        <v>7.0000000000000007E-2</v>
      </c>
      <c r="N99" s="135"/>
      <c r="O99" s="132" t="str">
        <f>IFERROR(IF(M99="-","-",TEXT(ABS(M99-0.04),"0.00")&amp;" (NAIK)"),"-")</f>
        <v>000 (NAIK)</v>
      </c>
      <c r="P99" s="135"/>
      <c r="V99" t="s">
        <v>50</v>
      </c>
      <c r="W99">
        <f>IF('INPUT KUALITAS'!BH7="",NA(),'INPUT KUALITAS'!BH7)</f>
        <v>7.0999999999999994E-2</v>
      </c>
    </row>
    <row r="100" spans="1:23" ht="20" customHeight="1" x14ac:dyDescent="0.2">
      <c r="A100" s="125"/>
      <c r="B100" s="125"/>
      <c r="C100" s="125"/>
      <c r="D100" s="125"/>
      <c r="E100" s="125"/>
      <c r="F100" s="125"/>
      <c r="G100" s="125"/>
      <c r="I100" s="141" t="s">
        <v>51</v>
      </c>
      <c r="J100" s="135"/>
      <c r="K100" s="143">
        <v>2.2000000000000002</v>
      </c>
      <c r="L100" s="135"/>
      <c r="M100" s="134" t="str">
        <f>IFERROR(LOOKUP(2,1/('INPUT KUALITAS'!BI6:BI35&lt;&gt;""),'INPUT KUALITAS'!BI6:BI35),"-")</f>
        <v>2.3R/23Y</v>
      </c>
      <c r="N100" s="135"/>
      <c r="O100" s="132" t="str">
        <f>IFERROR(IF(M100="-","-",TEXT(ABS(M100-2.2),"0.00")&amp;" ()"),"-")</f>
        <v>-</v>
      </c>
      <c r="P100" s="135"/>
      <c r="V100" t="s">
        <v>52</v>
      </c>
      <c r="W100">
        <f>IF('INPUT KUALITAS'!BH8="",NA(),'INPUT KUALITAS'!BH8)</f>
        <v>7.0999999999999994E-2</v>
      </c>
    </row>
    <row r="101" spans="1:23" ht="20" customHeight="1" x14ac:dyDescent="0.2">
      <c r="A101" s="125"/>
      <c r="B101" s="125"/>
      <c r="C101" s="125"/>
      <c r="D101" s="125"/>
      <c r="E101" s="125"/>
      <c r="F101" s="125"/>
      <c r="G101" s="125"/>
      <c r="I101" s="141" t="s">
        <v>53</v>
      </c>
      <c r="J101" s="135"/>
      <c r="K101" s="143">
        <v>56.55</v>
      </c>
      <c r="L101" s="135"/>
      <c r="M101" s="134">
        <f>IFERROR(LOOKUP(2,1/('INPUT KUALITAS'!BK6:BK35&lt;&gt;""),'INPUT KUALITAS'!BK6:BK35),"-")</f>
        <v>56.8</v>
      </c>
      <c r="N101" s="135"/>
      <c r="O101" s="149" t="str">
        <f>IFERROR(IF(M101="-","-",TEXT(M101-56.55,"0.00")&amp;" ("&amp;IF(M101&lt;56.55,"TURUN","NAIK")&amp;")"),"-")</f>
        <v>000 (NAIK)</v>
      </c>
      <c r="P101" s="135"/>
      <c r="V101" t="s">
        <v>54</v>
      </c>
      <c r="W101" t="e">
        <f>IF('INPUT KUALITAS'!BH9="",NA(),'INPUT KUALITAS'!BH9)</f>
        <v>#N/A</v>
      </c>
    </row>
    <row r="102" spans="1:23" ht="20" customHeight="1" x14ac:dyDescent="0.2">
      <c r="A102" s="125"/>
      <c r="B102" s="125"/>
      <c r="C102" s="125"/>
      <c r="D102" s="125"/>
      <c r="E102" s="125"/>
      <c r="F102" s="125"/>
      <c r="G102" s="125"/>
      <c r="I102" s="141" t="s">
        <v>55</v>
      </c>
      <c r="J102" s="144"/>
      <c r="K102" s="143">
        <v>9.6</v>
      </c>
      <c r="L102" s="144"/>
      <c r="M102" s="134">
        <f>IFERROR(LOOKUP(2,1/('INPUT KUALITAS'!BL6:BL35&lt;&gt;""),'INPUT KUALITAS'!BL6:BL35),"-")</f>
        <v>9.4</v>
      </c>
      <c r="N102" s="144"/>
      <c r="O102" s="132" t="str">
        <f>IFERROR(IF(M102="-","-",TEXT(ABS(M102-9.6),"0.00")&amp;" (NAIK)"),"-")</f>
        <v>000 (NAIK)</v>
      </c>
      <c r="P102" s="144"/>
      <c r="V102" t="s">
        <v>56</v>
      </c>
      <c r="W102">
        <f>IF('INPUT KUALITAS'!BH10="",NA(),'INPUT KUALITAS'!BH10)</f>
        <v>7.0999999999999994E-2</v>
      </c>
    </row>
    <row r="103" spans="1:23" ht="18" customHeight="1" x14ac:dyDescent="0.2">
      <c r="A103" s="153" t="s">
        <v>57</v>
      </c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V103" t="s">
        <v>58</v>
      </c>
      <c r="W103">
        <f>IF('INPUT KUALITAS'!BH11="",NA(),'INPUT KUALITAS'!BH11)</f>
        <v>7.0999999999999994E-2</v>
      </c>
    </row>
    <row r="104" spans="1:23" ht="18" customHeight="1" x14ac:dyDescent="0.2">
      <c r="A104" s="136" t="str">
        <f>IFERROR("✅  FFA NAIK "&amp;TEXT(ROUND((LOOKUP(2,1/('INPUT KUALITAS'!BH6:BH35&lt;&gt;""),'INPUT KUALITAS'!BH6:BH35)-LOOKUP(1,1/('INPUT KUALITAS'!BH6:BH35&lt;&gt;""),'INPUT KUALITAS'!BH6:BH35))/4,3),"0.000")&amp;" SETIAP MINGGU (rata-rata selama Maret 2026)","Data belum cukup untuk menghitung laju FFA")</f>
        <v>✅  FFA NAIK 0.000 SETIAP MINGGU (rata-rata selama Maret 2026)</v>
      </c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V104" t="s">
        <v>59</v>
      </c>
      <c r="W104">
        <f>IF('INPUT KUALITAS'!BH12="",NA(),'INPUT KUALITAS'!BH12)</f>
        <v>7.0999999999999994E-2</v>
      </c>
    </row>
    <row r="105" spans="1:23" ht="18" customHeight="1" x14ac:dyDescent="0.2">
      <c r="A105" s="156" t="s">
        <v>101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V105" t="s">
        <v>61</v>
      </c>
      <c r="W105" t="e">
        <f>IF('INPUT KUALITAS'!BH13="",NA(),'INPUT KUALITAS'!BH13)</f>
        <v>#N/A</v>
      </c>
    </row>
    <row r="106" spans="1:23" ht="18" customHeight="1" x14ac:dyDescent="0.2">
      <c r="A106" s="155" t="s">
        <v>102</v>
      </c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V106" t="s">
        <v>63</v>
      </c>
      <c r="W106" t="e">
        <f>IF('INPUT KUALITAS'!BH14="",NA(),'INPUT KUALITAS'!BH14)</f>
        <v>#N/A</v>
      </c>
    </row>
    <row r="107" spans="1:23" ht="16" customHeight="1" x14ac:dyDescent="0.2">
      <c r="A107" s="138" t="s">
        <v>64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V107" t="s">
        <v>65</v>
      </c>
      <c r="W107" t="e">
        <f>IF('INPUT KUALITAS'!BH15="",NA(),'INPUT KUALITAS'!BH15)</f>
        <v>#N/A</v>
      </c>
    </row>
    <row r="108" spans="1:23" x14ac:dyDescent="0.2">
      <c r="V108" t="s">
        <v>66</v>
      </c>
      <c r="W108" t="e">
        <f>IF('INPUT KUALITAS'!BH16="",NA(),'INPUT KUALITAS'!BH16)</f>
        <v>#N/A</v>
      </c>
    </row>
    <row r="109" spans="1:23" x14ac:dyDescent="0.2">
      <c r="V109" t="s">
        <v>67</v>
      </c>
      <c r="W109" t="e">
        <f>IF('INPUT KUALITAS'!BH17="",NA(),'INPUT KUALITAS'!BH17)</f>
        <v>#N/A</v>
      </c>
    </row>
    <row r="110" spans="1:23" x14ac:dyDescent="0.2">
      <c r="V110" t="s">
        <v>68</v>
      </c>
      <c r="W110" t="e">
        <f>IF('INPUT KUALITAS'!BH18="",NA(),'INPUT KUALITAS'!BH18)</f>
        <v>#N/A</v>
      </c>
    </row>
    <row r="111" spans="1:23" x14ac:dyDescent="0.2">
      <c r="V111" t="s">
        <v>69</v>
      </c>
      <c r="W111" t="e">
        <f>IF('INPUT KUALITAS'!BH19="",NA(),'INPUT KUALITAS'!BH19)</f>
        <v>#N/A</v>
      </c>
    </row>
    <row r="112" spans="1:23" x14ac:dyDescent="0.2">
      <c r="V112" t="s">
        <v>70</v>
      </c>
      <c r="W112" t="e">
        <f>IF('INPUT KUALITAS'!BH20="",NA(),'INPUT KUALITAS'!BH20)</f>
        <v>#N/A</v>
      </c>
    </row>
    <row r="113" spans="1:23" x14ac:dyDescent="0.2">
      <c r="V113" t="s">
        <v>71</v>
      </c>
      <c r="W113" t="e">
        <f>IF('INPUT KUALITAS'!BH21="",NA(),'INPUT KUALITAS'!BH21)</f>
        <v>#N/A</v>
      </c>
    </row>
    <row r="114" spans="1:23" x14ac:dyDescent="0.2">
      <c r="V114" t="s">
        <v>72</v>
      </c>
      <c r="W114" t="e">
        <f>IF('INPUT KUALITAS'!BH22="",NA(),'INPUT KUALITAS'!BH22)</f>
        <v>#N/A</v>
      </c>
    </row>
    <row r="115" spans="1:23" x14ac:dyDescent="0.2">
      <c r="V115" t="s">
        <v>73</v>
      </c>
      <c r="W115" t="e">
        <f>IF('INPUT KUALITAS'!BH23="",NA(),'INPUT KUALITAS'!BH23)</f>
        <v>#N/A</v>
      </c>
    </row>
    <row r="116" spans="1:23" x14ac:dyDescent="0.2">
      <c r="V116" t="s">
        <v>74</v>
      </c>
      <c r="W116" t="e">
        <f>IF('INPUT KUALITAS'!BH24="",NA(),'INPUT KUALITAS'!BH24)</f>
        <v>#N/A</v>
      </c>
    </row>
    <row r="117" spans="1:23" x14ac:dyDescent="0.2">
      <c r="V117" t="s">
        <v>75</v>
      </c>
      <c r="W117" t="e">
        <f>IF('INPUT KUALITAS'!BH25="",NA(),'INPUT KUALITAS'!BH25)</f>
        <v>#N/A</v>
      </c>
    </row>
    <row r="118" spans="1:23" x14ac:dyDescent="0.2">
      <c r="V118" t="s">
        <v>76</v>
      </c>
      <c r="W118" t="e">
        <f>IF('INPUT KUALITAS'!BH26="",NA(),'INPUT KUALITAS'!BH26)</f>
        <v>#N/A</v>
      </c>
    </row>
    <row r="119" spans="1:23" x14ac:dyDescent="0.2">
      <c r="V119" t="s">
        <v>77</v>
      </c>
      <c r="W119" t="e">
        <f>IF('INPUT KUALITAS'!BH27="",NA(),'INPUT KUALITAS'!BH27)</f>
        <v>#N/A</v>
      </c>
    </row>
    <row r="120" spans="1:23" x14ac:dyDescent="0.2">
      <c r="V120" t="s">
        <v>78</v>
      </c>
      <c r="W120" t="e">
        <f>IF('INPUT KUALITAS'!BH28="",NA(),'INPUT KUALITAS'!BH28)</f>
        <v>#N/A</v>
      </c>
    </row>
    <row r="121" spans="1:23" x14ac:dyDescent="0.2">
      <c r="V121" t="s">
        <v>79</v>
      </c>
      <c r="W121" t="e">
        <f>IF('INPUT KUALITAS'!BH29="",NA(),'INPUT KUALITAS'!BH29)</f>
        <v>#N/A</v>
      </c>
    </row>
    <row r="122" spans="1:23" x14ac:dyDescent="0.2">
      <c r="V122" t="s">
        <v>80</v>
      </c>
      <c r="W122" t="e">
        <f>IF('INPUT KUALITAS'!BH30="",NA(),'INPUT KUALITAS'!BH30)</f>
        <v>#N/A</v>
      </c>
    </row>
    <row r="123" spans="1:23" x14ac:dyDescent="0.2">
      <c r="V123" t="s">
        <v>81</v>
      </c>
      <c r="W123" t="e">
        <f>IF('INPUT KUALITAS'!BH31="",NA(),'INPUT KUALITAS'!BH31)</f>
        <v>#N/A</v>
      </c>
    </row>
    <row r="124" spans="1:23" x14ac:dyDescent="0.2">
      <c r="V124" t="s">
        <v>82</v>
      </c>
      <c r="W124" t="e">
        <f>IF('INPUT KUALITAS'!BH32="",NA(),'INPUT KUALITAS'!BH32)</f>
        <v>#N/A</v>
      </c>
    </row>
    <row r="125" spans="1:23" x14ac:dyDescent="0.2">
      <c r="V125" t="s">
        <v>83</v>
      </c>
      <c r="W125" t="e">
        <f>IF('INPUT KUALITAS'!BH33="",NA(),'INPUT KUALITAS'!BH33)</f>
        <v>#N/A</v>
      </c>
    </row>
    <row r="126" spans="1:23" ht="10" customHeight="1" x14ac:dyDescent="0.2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V126" t="s">
        <v>84</v>
      </c>
      <c r="W126" t="e">
        <f>IF('INPUT KUALITAS'!BH34="",NA(),'INPUT KUALITAS'!BH34)</f>
        <v>#N/A</v>
      </c>
    </row>
    <row r="127" spans="1:23" ht="22" customHeight="1" x14ac:dyDescent="0.2">
      <c r="A127" s="154" t="s">
        <v>103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V127" t="s">
        <v>86</v>
      </c>
      <c r="W127" t="e">
        <f>IF('INPUT KUALITAS'!BH35="",NA(),'INPUT KUALITAS'!BH35)</f>
        <v>#N/A</v>
      </c>
    </row>
    <row r="128" spans="1:23" ht="20" customHeight="1" x14ac:dyDescent="0.2">
      <c r="A128" s="147" t="s">
        <v>104</v>
      </c>
      <c r="B128" s="125"/>
      <c r="C128" s="125"/>
      <c r="D128" s="125"/>
      <c r="E128" s="125"/>
      <c r="F128" s="125"/>
      <c r="G128" s="125"/>
      <c r="I128" s="145" t="s">
        <v>41</v>
      </c>
      <c r="J128" s="140"/>
      <c r="K128" s="139" t="s">
        <v>98</v>
      </c>
      <c r="L128" s="140"/>
      <c r="M128" s="142" t="s">
        <v>43</v>
      </c>
      <c r="N128" s="140"/>
      <c r="O128" s="146" t="s">
        <v>44</v>
      </c>
      <c r="P128" s="140"/>
      <c r="V128" s="45" t="s">
        <v>99</v>
      </c>
      <c r="W128" s="45" t="s">
        <v>105</v>
      </c>
    </row>
    <row r="129" spans="1:23" ht="20" customHeight="1" x14ac:dyDescent="0.2">
      <c r="A129" s="125"/>
      <c r="B129" s="125"/>
      <c r="C129" s="125"/>
      <c r="D129" s="125"/>
      <c r="E129" s="125"/>
      <c r="F129" s="125"/>
      <c r="G129" s="125"/>
      <c r="I129" s="141" t="s">
        <v>47</v>
      </c>
      <c r="J129" s="135"/>
      <c r="K129" s="143">
        <v>5.5E-2</v>
      </c>
      <c r="L129" s="135"/>
      <c r="M129" s="134">
        <f>IFERROR(LOOKUP(2,1/('INPUT KUALITAS'!BN6:BN35&lt;&gt;""),'INPUT KUALITAS'!BN6:BN35),"-")</f>
        <v>0.08</v>
      </c>
      <c r="N129" s="135"/>
      <c r="O129" s="137" t="str">
        <f>IFERROR(IF(M129="-","-",TEXT(M129-0.055,"0.000")&amp;" ("&amp;IF(M129&gt;0.055,"NAIK","TURUN")&amp;")"),"-")</f>
        <v>0.000 (NAIK)</v>
      </c>
      <c r="P129" s="135"/>
      <c r="V129" t="s">
        <v>48</v>
      </c>
      <c r="W129">
        <f>IF('INPUT KUALITAS'!BN6="",NA(),'INPUT KUALITAS'!BN6)</f>
        <v>6.7000000000000004E-2</v>
      </c>
    </row>
    <row r="130" spans="1:23" ht="20" customHeight="1" x14ac:dyDescent="0.2">
      <c r="A130" s="125"/>
      <c r="B130" s="125"/>
      <c r="C130" s="125"/>
      <c r="D130" s="125"/>
      <c r="E130" s="125"/>
      <c r="F130" s="125"/>
      <c r="G130" s="125"/>
      <c r="I130" s="141" t="s">
        <v>49</v>
      </c>
      <c r="J130" s="135"/>
      <c r="K130" s="143">
        <v>0.04</v>
      </c>
      <c r="L130" s="135"/>
      <c r="M130" s="134">
        <f>IFERROR(LOOKUP(2,1/('INPUT KUALITAS'!BP6:BP35&lt;&gt;""),'INPUT KUALITAS'!BP6:BP35),"-")</f>
        <v>7.0000000000000007E-2</v>
      </c>
      <c r="N130" s="135"/>
      <c r="O130" s="132" t="str">
        <f>IFERROR(IF(M130="-","-",TEXT(ABS(M130-0.04),"0.00")&amp;" (NAIK)"),"-")</f>
        <v>000 (NAIK)</v>
      </c>
      <c r="P130" s="135"/>
      <c r="V130" t="s">
        <v>50</v>
      </c>
      <c r="W130">
        <f>IF('INPUT KUALITAS'!BN7="",NA(),'INPUT KUALITAS'!BN7)</f>
        <v>6.7000000000000004E-2</v>
      </c>
    </row>
    <row r="131" spans="1:23" ht="20" customHeight="1" x14ac:dyDescent="0.2">
      <c r="A131" s="125"/>
      <c r="B131" s="125"/>
      <c r="C131" s="125"/>
      <c r="D131" s="125"/>
      <c r="E131" s="125"/>
      <c r="F131" s="125"/>
      <c r="G131" s="125"/>
      <c r="I131" s="141" t="s">
        <v>51</v>
      </c>
      <c r="J131" s="135"/>
      <c r="K131" s="143">
        <v>2.2999999999999998</v>
      </c>
      <c r="L131" s="135"/>
      <c r="M131" s="134" t="str">
        <f>IFERROR(LOOKUP(2,1/('INPUT KUALITAS'!BO6:BO35&lt;&gt;""),'INPUT KUALITAS'!BO6:BO35),"-")</f>
        <v>2.4R/24Y</v>
      </c>
      <c r="N131" s="135"/>
      <c r="O131" s="132" t="str">
        <f>IFERROR(IF(M131="-","-",TEXT(ABS(M131-2.3),"0.00")&amp;" ()"),"-")</f>
        <v>-</v>
      </c>
      <c r="P131" s="135"/>
      <c r="V131" t="s">
        <v>52</v>
      </c>
      <c r="W131">
        <f>IF('INPUT KUALITAS'!BN8="",NA(),'INPUT KUALITAS'!BN8)</f>
        <v>6.7000000000000004E-2</v>
      </c>
    </row>
    <row r="132" spans="1:23" ht="20" customHeight="1" x14ac:dyDescent="0.2">
      <c r="A132" s="125"/>
      <c r="B132" s="125"/>
      <c r="C132" s="125"/>
      <c r="D132" s="125"/>
      <c r="E132" s="125"/>
      <c r="F132" s="125"/>
      <c r="G132" s="125"/>
      <c r="I132" s="141" t="s">
        <v>53</v>
      </c>
      <c r="J132" s="135"/>
      <c r="K132" s="143">
        <v>57.07</v>
      </c>
      <c r="L132" s="135"/>
      <c r="M132" s="134">
        <f>IFERROR(LOOKUP(2,1/('INPUT KUALITAS'!BQ6:BQ35&lt;&gt;""),'INPUT KUALITAS'!BQ6:BQ35),"-")</f>
        <v>57.5</v>
      </c>
      <c r="N132" s="135"/>
      <c r="O132" s="149" t="str">
        <f>IFERROR(IF(M132="-","-",TEXT(M132-57.07,"0.00")&amp;" ("&amp;IF(M132&lt;57.07,"TURUN","NAIK")&amp;")"),"-")</f>
        <v>000 (NAIK)</v>
      </c>
      <c r="P132" s="135"/>
      <c r="V132" t="s">
        <v>54</v>
      </c>
      <c r="W132" t="e">
        <f>IF('INPUT KUALITAS'!BN9="",NA(),'INPUT KUALITAS'!BN9)</f>
        <v>#N/A</v>
      </c>
    </row>
    <row r="133" spans="1:23" ht="20" customHeight="1" x14ac:dyDescent="0.2">
      <c r="A133" s="125"/>
      <c r="B133" s="125"/>
      <c r="C133" s="125"/>
      <c r="D133" s="125"/>
      <c r="E133" s="125"/>
      <c r="F133" s="125"/>
      <c r="G133" s="125"/>
      <c r="I133" s="141" t="s">
        <v>55</v>
      </c>
      <c r="J133" s="144"/>
      <c r="K133" s="143">
        <v>8.4</v>
      </c>
      <c r="L133" s="144"/>
      <c r="M133" s="134">
        <f>IFERROR(LOOKUP(2,1/('INPUT KUALITAS'!BR6:BR35&lt;&gt;""),'INPUT KUALITAS'!BR6:BR35),"-")</f>
        <v>8.1999999999999993</v>
      </c>
      <c r="N133" s="144"/>
      <c r="O133" s="132" t="str">
        <f>IFERROR(IF(M133="-","-",TEXT(ABS(M133-8.4),"0.00")&amp;" (NAIK)"),"-")</f>
        <v>000 (NAIK)</v>
      </c>
      <c r="P133" s="144"/>
      <c r="V133" t="s">
        <v>56</v>
      </c>
      <c r="W133">
        <f>IF('INPUT KUALITAS'!BN10="",NA(),'INPUT KUALITAS'!BN10)</f>
        <v>7.4999999999999997E-2</v>
      </c>
    </row>
    <row r="134" spans="1:23" ht="18" customHeight="1" x14ac:dyDescent="0.2">
      <c r="A134" s="153" t="s">
        <v>57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V134" t="s">
        <v>58</v>
      </c>
      <c r="W134">
        <f>IF('INPUT KUALITAS'!BN11="",NA(),'INPUT KUALITAS'!BN11)</f>
        <v>7.8E-2</v>
      </c>
    </row>
    <row r="135" spans="1:23" ht="18" customHeight="1" x14ac:dyDescent="0.2">
      <c r="A135" s="136" t="str">
        <f>IFERROR("✅  FFA NAIK "&amp;TEXT(ROUND((LOOKUP(2,1/('INPUT KUALITAS'!BN6:BN35&lt;&gt;""),'INPUT KUALITAS'!BN6:BN35)-LOOKUP(1,1/('INPUT KUALITAS'!BN6:BN35&lt;&gt;""),'INPUT KUALITAS'!BN6:BN35))/4,3),"0.000")&amp;" SETIAP MINGGU (rata-rata selama Maret 2026)","Data belum cukup untuk menghitung laju FFA")</f>
        <v>✅  FFA NAIK 0.000 SETIAP MINGGU (rata-rata selama Maret 2026)</v>
      </c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V135" t="s">
        <v>59</v>
      </c>
      <c r="W135">
        <f>IF('INPUT KUALITAS'!BN12="",NA(),'INPUT KUALITAS'!BN12)</f>
        <v>0.08</v>
      </c>
    </row>
    <row r="136" spans="1:23" ht="18" customHeight="1" x14ac:dyDescent="0.2">
      <c r="A136" s="156" t="s">
        <v>106</v>
      </c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V136" t="s">
        <v>61</v>
      </c>
      <c r="W136" t="e">
        <f>IF('INPUT KUALITAS'!BN13="",NA(),'INPUT KUALITAS'!BN13)</f>
        <v>#N/A</v>
      </c>
    </row>
    <row r="137" spans="1:23" ht="18" customHeight="1" x14ac:dyDescent="0.2">
      <c r="A137" s="155" t="s">
        <v>107</v>
      </c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V137" t="s">
        <v>63</v>
      </c>
      <c r="W137" t="e">
        <f>IF('INPUT KUALITAS'!BN14="",NA(),'INPUT KUALITAS'!BN14)</f>
        <v>#N/A</v>
      </c>
    </row>
    <row r="138" spans="1:23" ht="16" customHeight="1" x14ac:dyDescent="0.2">
      <c r="A138" s="138" t="s">
        <v>64</v>
      </c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V138" t="s">
        <v>65</v>
      </c>
      <c r="W138" t="e">
        <f>IF('INPUT KUALITAS'!BN15="",NA(),'INPUT KUALITAS'!BN15)</f>
        <v>#N/A</v>
      </c>
    </row>
    <row r="139" spans="1:23" x14ac:dyDescent="0.2">
      <c r="V139" t="s">
        <v>66</v>
      </c>
      <c r="W139" t="e">
        <f>IF('INPUT KUALITAS'!BN16="",NA(),'INPUT KUALITAS'!BN16)</f>
        <v>#N/A</v>
      </c>
    </row>
    <row r="140" spans="1:23" x14ac:dyDescent="0.2">
      <c r="V140" t="s">
        <v>67</v>
      </c>
      <c r="W140" t="e">
        <f>IF('INPUT KUALITAS'!BN17="",NA(),'INPUT KUALITAS'!BN17)</f>
        <v>#N/A</v>
      </c>
    </row>
    <row r="141" spans="1:23" x14ac:dyDescent="0.2">
      <c r="V141" t="s">
        <v>68</v>
      </c>
      <c r="W141" t="e">
        <f>IF('INPUT KUALITAS'!BN18="",NA(),'INPUT KUALITAS'!BN18)</f>
        <v>#N/A</v>
      </c>
    </row>
    <row r="142" spans="1:23" x14ac:dyDescent="0.2">
      <c r="V142" t="s">
        <v>69</v>
      </c>
      <c r="W142" t="e">
        <f>IF('INPUT KUALITAS'!BN19="",NA(),'INPUT KUALITAS'!BN19)</f>
        <v>#N/A</v>
      </c>
    </row>
    <row r="143" spans="1:23" x14ac:dyDescent="0.2">
      <c r="V143" t="s">
        <v>70</v>
      </c>
      <c r="W143" t="e">
        <f>IF('INPUT KUALITAS'!BN20="",NA(),'INPUT KUALITAS'!BN20)</f>
        <v>#N/A</v>
      </c>
    </row>
    <row r="144" spans="1:23" x14ac:dyDescent="0.2">
      <c r="V144" t="s">
        <v>71</v>
      </c>
      <c r="W144" t="e">
        <f>IF('INPUT KUALITAS'!BN21="",NA(),'INPUT KUALITAS'!BN21)</f>
        <v>#N/A</v>
      </c>
    </row>
    <row r="145" spans="1:23" x14ac:dyDescent="0.2">
      <c r="V145" t="s">
        <v>72</v>
      </c>
      <c r="W145" t="e">
        <f>IF('INPUT KUALITAS'!BN22="",NA(),'INPUT KUALITAS'!BN22)</f>
        <v>#N/A</v>
      </c>
    </row>
    <row r="146" spans="1:23" x14ac:dyDescent="0.2">
      <c r="V146" t="s">
        <v>73</v>
      </c>
      <c r="W146" t="e">
        <f>IF('INPUT KUALITAS'!BN23="",NA(),'INPUT KUALITAS'!BN23)</f>
        <v>#N/A</v>
      </c>
    </row>
    <row r="147" spans="1:23" x14ac:dyDescent="0.2">
      <c r="V147" t="s">
        <v>74</v>
      </c>
      <c r="W147" t="e">
        <f>IF('INPUT KUALITAS'!BN24="",NA(),'INPUT KUALITAS'!BN24)</f>
        <v>#N/A</v>
      </c>
    </row>
    <row r="148" spans="1:23" x14ac:dyDescent="0.2">
      <c r="V148" t="s">
        <v>75</v>
      </c>
      <c r="W148" t="e">
        <f>IF('INPUT KUALITAS'!BN25="",NA(),'INPUT KUALITAS'!BN25)</f>
        <v>#N/A</v>
      </c>
    </row>
    <row r="149" spans="1:23" x14ac:dyDescent="0.2">
      <c r="V149" t="s">
        <v>76</v>
      </c>
      <c r="W149" t="e">
        <f>IF('INPUT KUALITAS'!BN26="",NA(),'INPUT KUALITAS'!BN26)</f>
        <v>#N/A</v>
      </c>
    </row>
    <row r="150" spans="1:23" x14ac:dyDescent="0.2">
      <c r="V150" t="s">
        <v>77</v>
      </c>
      <c r="W150" t="e">
        <f>IF('INPUT KUALITAS'!BN27="",NA(),'INPUT KUALITAS'!BN27)</f>
        <v>#N/A</v>
      </c>
    </row>
    <row r="151" spans="1:23" x14ac:dyDescent="0.2">
      <c r="V151" t="s">
        <v>78</v>
      </c>
      <c r="W151" t="e">
        <f>IF('INPUT KUALITAS'!BN28="",NA(),'INPUT KUALITAS'!BN28)</f>
        <v>#N/A</v>
      </c>
    </row>
    <row r="152" spans="1:23" x14ac:dyDescent="0.2">
      <c r="V152" t="s">
        <v>79</v>
      </c>
      <c r="W152" t="e">
        <f>IF('INPUT KUALITAS'!BN29="",NA(),'INPUT KUALITAS'!BN29)</f>
        <v>#N/A</v>
      </c>
    </row>
    <row r="153" spans="1:23" x14ac:dyDescent="0.2">
      <c r="V153" t="s">
        <v>80</v>
      </c>
      <c r="W153" t="e">
        <f>IF('INPUT KUALITAS'!BN30="",NA(),'INPUT KUALITAS'!BN30)</f>
        <v>#N/A</v>
      </c>
    </row>
    <row r="154" spans="1:23" x14ac:dyDescent="0.2">
      <c r="V154" t="s">
        <v>81</v>
      </c>
      <c r="W154" t="e">
        <f>IF('INPUT KUALITAS'!BN31="",NA(),'INPUT KUALITAS'!BN31)</f>
        <v>#N/A</v>
      </c>
    </row>
    <row r="155" spans="1:23" x14ac:dyDescent="0.2">
      <c r="V155" t="s">
        <v>82</v>
      </c>
      <c r="W155" t="e">
        <f>IF('INPUT KUALITAS'!BN32="",NA(),'INPUT KUALITAS'!BN32)</f>
        <v>#N/A</v>
      </c>
    </row>
    <row r="156" spans="1:23" x14ac:dyDescent="0.2">
      <c r="V156" t="s">
        <v>83</v>
      </c>
      <c r="W156" t="e">
        <f>IF('INPUT KUALITAS'!BN33="",NA(),'INPUT KUALITAS'!BN33)</f>
        <v>#N/A</v>
      </c>
    </row>
    <row r="157" spans="1:23" ht="10" customHeight="1" x14ac:dyDescent="0.2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V157" t="s">
        <v>84</v>
      </c>
      <c r="W157" t="e">
        <f>IF('INPUT KUALITAS'!BN34="",NA(),'INPUT KUALITAS'!BN34)</f>
        <v>#N/A</v>
      </c>
    </row>
    <row r="158" spans="1:23" x14ac:dyDescent="0.2">
      <c r="V158" t="s">
        <v>86</v>
      </c>
      <c r="W158" t="e">
        <f>IF('INPUT KUALITAS'!BN35="",NA(),'INPUT KUALITAS'!BN35)</f>
        <v>#N/A</v>
      </c>
    </row>
  </sheetData>
  <mergeCells count="162">
    <mergeCell ref="A157:T157"/>
    <mergeCell ref="I36:J36"/>
    <mergeCell ref="K36:L36"/>
    <mergeCell ref="I101:J101"/>
    <mergeCell ref="A138:T138"/>
    <mergeCell ref="I100:J100"/>
    <mergeCell ref="K100:L100"/>
    <mergeCell ref="O69:P69"/>
    <mergeCell ref="I102:J102"/>
    <mergeCell ref="K102:L102"/>
    <mergeCell ref="A75:T75"/>
    <mergeCell ref="I130:J130"/>
    <mergeCell ref="I68:J68"/>
    <mergeCell ref="K130:L130"/>
    <mergeCell ref="M133:N133"/>
    <mergeCell ref="O133:P133"/>
    <mergeCell ref="I67:J67"/>
    <mergeCell ref="A95:T95"/>
    <mergeCell ref="I39:J39"/>
    <mergeCell ref="A104:T104"/>
    <mergeCell ref="I132:J132"/>
    <mergeCell ref="K39:L39"/>
    <mergeCell ref="K132:L132"/>
    <mergeCell ref="K70:L70"/>
    <mergeCell ref="A136:T136"/>
    <mergeCell ref="A105:T105"/>
    <mergeCell ref="K71:L71"/>
    <mergeCell ref="K97:L97"/>
    <mergeCell ref="A14:T14"/>
    <mergeCell ref="M97:N97"/>
    <mergeCell ref="O70:P70"/>
    <mergeCell ref="K7:L7"/>
    <mergeCell ref="O129:P129"/>
    <mergeCell ref="M38:N38"/>
    <mergeCell ref="O38:P38"/>
    <mergeCell ref="I128:J128"/>
    <mergeCell ref="A43:T43"/>
    <mergeCell ref="K128:L128"/>
    <mergeCell ref="M71:N71"/>
    <mergeCell ref="M131:N131"/>
    <mergeCell ref="O131:P131"/>
    <mergeCell ref="A97:G102"/>
    <mergeCell ref="I38:J38"/>
    <mergeCell ref="K38:L38"/>
    <mergeCell ref="O67:P67"/>
    <mergeCell ref="A106:T106"/>
    <mergeCell ref="A4:G9"/>
    <mergeCell ref="A134:T134"/>
    <mergeCell ref="A1:T1"/>
    <mergeCell ref="A45:T45"/>
    <mergeCell ref="A103:T103"/>
    <mergeCell ref="M69:N69"/>
    <mergeCell ref="O5:P5"/>
    <mergeCell ref="A65:T65"/>
    <mergeCell ref="I37:J37"/>
    <mergeCell ref="I97:J97"/>
    <mergeCell ref="O4:P4"/>
    <mergeCell ref="K40:L40"/>
    <mergeCell ref="M40:N40"/>
    <mergeCell ref="K8:L8"/>
    <mergeCell ref="A12:T12"/>
    <mergeCell ref="M37:N37"/>
    <mergeCell ref="M6:N6"/>
    <mergeCell ref="A3:T3"/>
    <mergeCell ref="I5:J5"/>
    <mergeCell ref="I4:J4"/>
    <mergeCell ref="A96:T96"/>
    <mergeCell ref="K4:L4"/>
    <mergeCell ref="I40:J40"/>
    <mergeCell ref="A13:T13"/>
    <mergeCell ref="A44:T44"/>
    <mergeCell ref="O7:P7"/>
    <mergeCell ref="A137:T137"/>
    <mergeCell ref="A41:T41"/>
    <mergeCell ref="M7:N7"/>
    <mergeCell ref="A74:T74"/>
    <mergeCell ref="I98:J98"/>
    <mergeCell ref="K98:L98"/>
    <mergeCell ref="I8:J8"/>
    <mergeCell ref="O37:P37"/>
    <mergeCell ref="O71:P71"/>
    <mergeCell ref="A76:T76"/>
    <mergeCell ref="M101:N101"/>
    <mergeCell ref="I35:J35"/>
    <mergeCell ref="A35:G40"/>
    <mergeCell ref="K66:L66"/>
    <mergeCell ref="M66:N66"/>
    <mergeCell ref="I99:J99"/>
    <mergeCell ref="A10:T10"/>
    <mergeCell ref="I9:J9"/>
    <mergeCell ref="K68:L68"/>
    <mergeCell ref="O101:P101"/>
    <mergeCell ref="M130:N130"/>
    <mergeCell ref="M68:N68"/>
    <mergeCell ref="O130:P130"/>
    <mergeCell ref="A34:T34"/>
    <mergeCell ref="A135:T135"/>
    <mergeCell ref="K101:L101"/>
    <mergeCell ref="K37:L37"/>
    <mergeCell ref="O66:P66"/>
    <mergeCell ref="A72:T72"/>
    <mergeCell ref="I69:J69"/>
    <mergeCell ref="M102:N102"/>
    <mergeCell ref="K69:L69"/>
    <mergeCell ref="O102:P102"/>
    <mergeCell ref="O68:P68"/>
    <mergeCell ref="A127:T127"/>
    <mergeCell ref="I133:J133"/>
    <mergeCell ref="K133:L133"/>
    <mergeCell ref="M129:N129"/>
    <mergeCell ref="I70:J70"/>
    <mergeCell ref="O97:P97"/>
    <mergeCell ref="A128:G133"/>
    <mergeCell ref="M128:N128"/>
    <mergeCell ref="O128:P128"/>
    <mergeCell ref="M67:N67"/>
    <mergeCell ref="M39:N39"/>
    <mergeCell ref="M132:N132"/>
    <mergeCell ref="O39:P39"/>
    <mergeCell ref="O132:P132"/>
    <mergeCell ref="I131:J131"/>
    <mergeCell ref="K131:L131"/>
    <mergeCell ref="A66:G71"/>
    <mergeCell ref="K67:L67"/>
    <mergeCell ref="O40:P40"/>
    <mergeCell ref="M36:N36"/>
    <mergeCell ref="A2:T2"/>
    <mergeCell ref="A33:T33"/>
    <mergeCell ref="A42:T42"/>
    <mergeCell ref="M8:N8"/>
    <mergeCell ref="O8:P8"/>
    <mergeCell ref="M100:N100"/>
    <mergeCell ref="A126:T126"/>
    <mergeCell ref="O100:P100"/>
    <mergeCell ref="I6:J6"/>
    <mergeCell ref="I7:J7"/>
    <mergeCell ref="M4:N4"/>
    <mergeCell ref="K6:L6"/>
    <mergeCell ref="K9:L9"/>
    <mergeCell ref="K5:L5"/>
    <mergeCell ref="M9:N9"/>
    <mergeCell ref="M5:N5"/>
    <mergeCell ref="O9:P9"/>
    <mergeCell ref="A11:T11"/>
    <mergeCell ref="O6:P6"/>
    <mergeCell ref="A64:T64"/>
    <mergeCell ref="M98:N98"/>
    <mergeCell ref="A73:T73"/>
    <mergeCell ref="O98:P98"/>
    <mergeCell ref="A107:T107"/>
    <mergeCell ref="M70:N70"/>
    <mergeCell ref="K35:L35"/>
    <mergeCell ref="I129:J129"/>
    <mergeCell ref="M35:N35"/>
    <mergeCell ref="K129:L129"/>
    <mergeCell ref="K99:L99"/>
    <mergeCell ref="I71:J71"/>
    <mergeCell ref="I66:J66"/>
    <mergeCell ref="M99:N99"/>
    <mergeCell ref="O35:P35"/>
    <mergeCell ref="O99:P99"/>
    <mergeCell ref="O36:P3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064"/>
  </sheetPr>
  <dimension ref="A1:DS34"/>
  <sheetViews>
    <sheetView showGridLines="0" zoomScaleNormal="125" workbookViewId="0">
      <pane xSplit="1" ySplit="4" topLeftCell="B5" activePane="bottomRight" state="frozen"/>
      <selection activeCell="D25" sqref="D25"/>
      <selection pane="topRight" activeCell="D25" sqref="D25"/>
      <selection pane="bottomLeft" activeCell="D25" sqref="D25"/>
      <selection pane="bottomRight" activeCell="D11" sqref="D11"/>
    </sheetView>
  </sheetViews>
  <sheetFormatPr baseColWidth="10" defaultColWidth="8.83203125" defaultRowHeight="15" x14ac:dyDescent="0.2"/>
  <cols>
    <col min="1" max="2" width="13" customWidth="1"/>
    <col min="3" max="3" width="11" customWidth="1"/>
    <col min="4" max="4" width="12" customWidth="1"/>
    <col min="5" max="5" width="11" customWidth="1"/>
    <col min="6" max="6" width="15" customWidth="1"/>
    <col min="7" max="10" width="16" customWidth="1"/>
    <col min="11" max="11" width="23.6640625" customWidth="1"/>
    <col min="12" max="12" width="13" customWidth="1"/>
    <col min="13" max="13" width="11" customWidth="1"/>
    <col min="14" max="14" width="12" customWidth="1"/>
    <col min="15" max="15" width="11" customWidth="1"/>
    <col min="16" max="16" width="12" customWidth="1"/>
    <col min="17" max="20" width="16" customWidth="1"/>
    <col min="21" max="22" width="13" customWidth="1"/>
    <col min="23" max="23" width="11" customWidth="1"/>
    <col min="24" max="24" width="12" customWidth="1"/>
    <col min="25" max="25" width="11" customWidth="1"/>
    <col min="26" max="26" width="12" customWidth="1"/>
    <col min="27" max="30" width="16" customWidth="1"/>
    <col min="31" max="32" width="13" customWidth="1"/>
    <col min="33" max="33" width="11" customWidth="1"/>
    <col min="34" max="34" width="12" customWidth="1"/>
    <col min="35" max="35" width="11" customWidth="1"/>
    <col min="36" max="36" width="12" customWidth="1"/>
    <col min="37" max="37" width="16" customWidth="1"/>
    <col min="38" max="39" width="13" customWidth="1"/>
    <col min="40" max="40" width="11" customWidth="1"/>
    <col min="41" max="41" width="12" customWidth="1"/>
    <col min="42" max="42" width="11" customWidth="1"/>
    <col min="43" max="43" width="12" customWidth="1"/>
    <col min="44" max="44" width="16" customWidth="1"/>
    <col min="45" max="46" width="13" customWidth="1"/>
    <col min="47" max="47" width="11" customWidth="1"/>
    <col min="48" max="48" width="12" customWidth="1"/>
    <col min="49" max="49" width="11" customWidth="1"/>
    <col min="50" max="50" width="12" customWidth="1"/>
    <col min="51" max="51" width="16" customWidth="1"/>
    <col min="52" max="53" width="13" customWidth="1"/>
    <col min="54" max="54" width="11" customWidth="1"/>
    <col min="55" max="55" width="12" customWidth="1"/>
    <col min="56" max="56" width="11" customWidth="1"/>
    <col min="57" max="57" width="12" customWidth="1"/>
    <col min="58" max="61" width="16" customWidth="1"/>
    <col min="62" max="63" width="13" customWidth="1"/>
    <col min="64" max="64" width="11" customWidth="1"/>
    <col min="65" max="65" width="12" customWidth="1"/>
    <col min="66" max="66" width="11" customWidth="1"/>
    <col min="67" max="67" width="12" customWidth="1"/>
    <col min="68" max="68" width="16" customWidth="1"/>
    <col min="69" max="69" width="16" style="57" customWidth="1"/>
    <col min="70" max="70" width="16.83203125" customWidth="1"/>
    <col min="71" max="71" width="16" customWidth="1"/>
    <col min="72" max="73" width="13" customWidth="1"/>
    <col min="74" max="74" width="11" customWidth="1"/>
    <col min="75" max="75" width="12" customWidth="1"/>
    <col min="76" max="76" width="11" customWidth="1"/>
    <col min="77" max="77" width="12" customWidth="1"/>
    <col min="78" max="81" width="16" customWidth="1"/>
    <col min="82" max="83" width="13" customWidth="1"/>
    <col min="84" max="84" width="11" customWidth="1"/>
    <col min="85" max="85" width="12" customWidth="1"/>
    <col min="86" max="86" width="11" customWidth="1"/>
    <col min="87" max="87" width="12" customWidth="1"/>
    <col min="88" max="91" width="16" customWidth="1"/>
    <col min="92" max="93" width="13" customWidth="1"/>
    <col min="94" max="94" width="11" customWidth="1"/>
    <col min="95" max="95" width="12" customWidth="1"/>
    <col min="96" max="96" width="11" customWidth="1"/>
    <col min="97" max="97" width="12" customWidth="1"/>
    <col min="98" max="101" width="16" customWidth="1"/>
    <col min="102" max="103" width="13" customWidth="1"/>
    <col min="104" max="104" width="11" customWidth="1"/>
    <col min="105" max="105" width="12" customWidth="1"/>
    <col min="106" max="106" width="11" customWidth="1"/>
    <col min="107" max="107" width="12" customWidth="1"/>
    <col min="108" max="108" width="16" customWidth="1"/>
    <col min="109" max="110" width="13" customWidth="1"/>
    <col min="111" max="111" width="11" customWidth="1"/>
    <col min="112" max="112" width="12" customWidth="1"/>
    <col min="113" max="113" width="11" customWidth="1"/>
    <col min="114" max="114" width="12" customWidth="1"/>
    <col min="115" max="115" width="16" customWidth="1"/>
    <col min="116" max="117" width="13" customWidth="1"/>
    <col min="118" max="118" width="11" customWidth="1"/>
    <col min="119" max="119" width="12" customWidth="1"/>
    <col min="120" max="120" width="11" customWidth="1"/>
    <col min="121" max="121" width="12" customWidth="1"/>
    <col min="122" max="122" width="16" customWidth="1"/>
    <col min="123" max="123" width="13" customWidth="1"/>
  </cols>
  <sheetData>
    <row r="1" spans="1:123" ht="26" customHeight="1" x14ac:dyDescent="0.2">
      <c r="A1" s="159" t="s">
        <v>166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  <c r="DS1" s="125"/>
    </row>
    <row r="2" spans="1:123" ht="14" customHeight="1" x14ac:dyDescent="0.2">
      <c r="A2" s="171" t="s">
        <v>167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</row>
    <row r="3" spans="1:123" ht="20" customHeight="1" x14ac:dyDescent="0.2">
      <c r="A3" s="4" t="s">
        <v>114</v>
      </c>
      <c r="B3" s="162" t="s">
        <v>11</v>
      </c>
      <c r="C3" s="163"/>
      <c r="D3" s="163"/>
      <c r="E3" s="163"/>
      <c r="F3" s="163"/>
      <c r="G3" s="163"/>
      <c r="H3" s="163"/>
      <c r="I3" s="163"/>
      <c r="J3" s="163"/>
      <c r="K3" s="164"/>
      <c r="L3" s="162" t="s">
        <v>13</v>
      </c>
      <c r="M3" s="163"/>
      <c r="N3" s="163"/>
      <c r="O3" s="163"/>
      <c r="P3" s="163"/>
      <c r="Q3" s="163"/>
      <c r="R3" s="163"/>
      <c r="S3" s="163"/>
      <c r="T3" s="163"/>
      <c r="U3" s="164"/>
      <c r="V3" s="162" t="s">
        <v>14</v>
      </c>
      <c r="W3" s="163"/>
      <c r="X3" s="163"/>
      <c r="Y3" s="163"/>
      <c r="Z3" s="163"/>
      <c r="AA3" s="163"/>
      <c r="AB3" s="163"/>
      <c r="AC3" s="163"/>
      <c r="AD3" s="163"/>
      <c r="AE3" s="164"/>
      <c r="AF3" s="170" t="s">
        <v>15</v>
      </c>
      <c r="AG3" s="135"/>
      <c r="AH3" s="135"/>
      <c r="AI3" s="135"/>
      <c r="AJ3" s="135"/>
      <c r="AK3" s="135"/>
      <c r="AL3" s="161"/>
      <c r="AM3" s="160" t="s">
        <v>17</v>
      </c>
      <c r="AN3" s="135"/>
      <c r="AO3" s="135"/>
      <c r="AP3" s="135"/>
      <c r="AQ3" s="135"/>
      <c r="AR3" s="135"/>
      <c r="AS3" s="161"/>
      <c r="AT3" s="160" t="s">
        <v>19</v>
      </c>
      <c r="AU3" s="135"/>
      <c r="AV3" s="135"/>
      <c r="AW3" s="135"/>
      <c r="AX3" s="135"/>
      <c r="AY3" s="135"/>
      <c r="AZ3" s="161"/>
      <c r="BA3" s="165" t="s">
        <v>20</v>
      </c>
      <c r="BB3" s="166"/>
      <c r="BC3" s="166"/>
      <c r="BD3" s="166"/>
      <c r="BE3" s="166"/>
      <c r="BF3" s="166"/>
      <c r="BG3" s="166"/>
      <c r="BH3" s="166"/>
      <c r="BI3" s="166"/>
      <c r="BJ3" s="167"/>
      <c r="BK3" s="165" t="s">
        <v>25</v>
      </c>
      <c r="BL3" s="166"/>
      <c r="BM3" s="166"/>
      <c r="BN3" s="166"/>
      <c r="BO3" s="166"/>
      <c r="BP3" s="166"/>
      <c r="BQ3" s="166"/>
      <c r="BR3" s="166"/>
      <c r="BS3" s="166"/>
      <c r="BT3" s="167"/>
      <c r="BU3" s="165" t="s">
        <v>27</v>
      </c>
      <c r="BV3" s="166"/>
      <c r="BW3" s="166"/>
      <c r="BX3" s="166"/>
      <c r="BY3" s="166"/>
      <c r="BZ3" s="166"/>
      <c r="CA3" s="166"/>
      <c r="CB3" s="166"/>
      <c r="CC3" s="166"/>
      <c r="CD3" s="167"/>
      <c r="CE3" s="165" t="s">
        <v>29</v>
      </c>
      <c r="CF3" s="166"/>
      <c r="CG3" s="166"/>
      <c r="CH3" s="166"/>
      <c r="CI3" s="166"/>
      <c r="CJ3" s="166"/>
      <c r="CK3" s="166"/>
      <c r="CL3" s="166"/>
      <c r="CM3" s="166"/>
      <c r="CN3" s="167"/>
      <c r="CO3" s="165" t="s">
        <v>32</v>
      </c>
      <c r="CP3" s="166"/>
      <c r="CQ3" s="166"/>
      <c r="CR3" s="166"/>
      <c r="CS3" s="166"/>
      <c r="CT3" s="166"/>
      <c r="CU3" s="166"/>
      <c r="CV3" s="166"/>
      <c r="CW3" s="166"/>
      <c r="CX3" s="167"/>
      <c r="CY3" s="168" t="s">
        <v>33</v>
      </c>
      <c r="CZ3" s="135"/>
      <c r="DA3" s="135"/>
      <c r="DB3" s="135"/>
      <c r="DC3" s="135"/>
      <c r="DD3" s="135"/>
      <c r="DE3" s="161"/>
      <c r="DF3" s="168" t="s">
        <v>35</v>
      </c>
      <c r="DG3" s="135"/>
      <c r="DH3" s="135"/>
      <c r="DI3" s="135"/>
      <c r="DJ3" s="135"/>
      <c r="DK3" s="135"/>
      <c r="DL3" s="161"/>
      <c r="DM3" s="169" t="s">
        <v>36</v>
      </c>
      <c r="DN3" s="135"/>
      <c r="DO3" s="135"/>
      <c r="DP3" s="135"/>
      <c r="DQ3" s="135"/>
      <c r="DR3" s="135"/>
      <c r="DS3" s="161"/>
    </row>
    <row r="4" spans="1:123" ht="30" customHeight="1" x14ac:dyDescent="0.2">
      <c r="A4" s="4"/>
      <c r="B4" s="63" t="s">
        <v>168</v>
      </c>
      <c r="C4" s="63" t="s">
        <v>169</v>
      </c>
      <c r="D4" s="63" t="s">
        <v>170</v>
      </c>
      <c r="E4" s="63" t="s">
        <v>171</v>
      </c>
      <c r="F4" s="63" t="s">
        <v>172</v>
      </c>
      <c r="G4" s="63" t="s">
        <v>173</v>
      </c>
      <c r="H4" s="82" t="s">
        <v>277</v>
      </c>
      <c r="I4" s="82" t="s">
        <v>278</v>
      </c>
      <c r="J4" s="82" t="s">
        <v>279</v>
      </c>
      <c r="K4" s="63" t="s">
        <v>174</v>
      </c>
      <c r="L4" s="63" t="s">
        <v>168</v>
      </c>
      <c r="M4" s="63" t="s">
        <v>169</v>
      </c>
      <c r="N4" s="63" t="s">
        <v>170</v>
      </c>
      <c r="O4" s="63" t="s">
        <v>171</v>
      </c>
      <c r="P4" s="63" t="s">
        <v>172</v>
      </c>
      <c r="Q4" s="63" t="s">
        <v>173</v>
      </c>
      <c r="R4" s="82" t="s">
        <v>277</v>
      </c>
      <c r="S4" s="82" t="s">
        <v>278</v>
      </c>
      <c r="T4" s="82" t="s">
        <v>279</v>
      </c>
      <c r="U4" s="63" t="s">
        <v>174</v>
      </c>
      <c r="V4" s="63" t="s">
        <v>168</v>
      </c>
      <c r="W4" s="63" t="s">
        <v>169</v>
      </c>
      <c r="X4" s="63" t="s">
        <v>170</v>
      </c>
      <c r="Y4" s="63" t="s">
        <v>171</v>
      </c>
      <c r="Z4" s="63" t="s">
        <v>172</v>
      </c>
      <c r="AA4" s="63" t="s">
        <v>173</v>
      </c>
      <c r="AB4" s="82" t="s">
        <v>277</v>
      </c>
      <c r="AC4" s="82" t="s">
        <v>278</v>
      </c>
      <c r="AD4" s="82" t="s">
        <v>279</v>
      </c>
      <c r="AE4" s="63" t="s">
        <v>174</v>
      </c>
      <c r="AF4" s="12" t="s">
        <v>168</v>
      </c>
      <c r="AG4" s="12" t="s">
        <v>169</v>
      </c>
      <c r="AH4" s="12" t="s">
        <v>170</v>
      </c>
      <c r="AI4" s="12" t="s">
        <v>171</v>
      </c>
      <c r="AJ4" s="12" t="s">
        <v>172</v>
      </c>
      <c r="AK4" s="12" t="s">
        <v>173</v>
      </c>
      <c r="AL4" s="12" t="s">
        <v>174</v>
      </c>
      <c r="AM4" s="13" t="s">
        <v>168</v>
      </c>
      <c r="AN4" s="13" t="s">
        <v>169</v>
      </c>
      <c r="AO4" s="13" t="s">
        <v>170</v>
      </c>
      <c r="AP4" s="13" t="s">
        <v>171</v>
      </c>
      <c r="AQ4" s="13" t="s">
        <v>172</v>
      </c>
      <c r="AR4" s="13" t="s">
        <v>173</v>
      </c>
      <c r="AS4" s="13" t="s">
        <v>174</v>
      </c>
      <c r="AT4" s="13" t="s">
        <v>168</v>
      </c>
      <c r="AU4" s="13" t="s">
        <v>169</v>
      </c>
      <c r="AV4" s="13" t="s">
        <v>170</v>
      </c>
      <c r="AW4" s="13" t="s">
        <v>171</v>
      </c>
      <c r="AX4" s="13" t="s">
        <v>172</v>
      </c>
      <c r="AY4" s="13" t="s">
        <v>173</v>
      </c>
      <c r="AZ4" s="13" t="s">
        <v>174</v>
      </c>
      <c r="BA4" s="67" t="s">
        <v>168</v>
      </c>
      <c r="BB4" s="67" t="s">
        <v>169</v>
      </c>
      <c r="BC4" s="67" t="s">
        <v>170</v>
      </c>
      <c r="BD4" s="67" t="s">
        <v>171</v>
      </c>
      <c r="BE4" s="67" t="s">
        <v>172</v>
      </c>
      <c r="BF4" s="67" t="s">
        <v>173</v>
      </c>
      <c r="BG4" s="83" t="s">
        <v>277</v>
      </c>
      <c r="BH4" s="83" t="s">
        <v>278</v>
      </c>
      <c r="BI4" s="83" t="s">
        <v>279</v>
      </c>
      <c r="BJ4" s="67" t="s">
        <v>174</v>
      </c>
      <c r="BK4" s="67" t="s">
        <v>168</v>
      </c>
      <c r="BL4" s="67" t="s">
        <v>169</v>
      </c>
      <c r="BM4" s="67" t="s">
        <v>170</v>
      </c>
      <c r="BN4" s="67" t="s">
        <v>171</v>
      </c>
      <c r="BO4" s="67" t="s">
        <v>172</v>
      </c>
      <c r="BP4" s="67" t="s">
        <v>173</v>
      </c>
      <c r="BQ4" s="85" t="s">
        <v>277</v>
      </c>
      <c r="BR4" s="83" t="s">
        <v>278</v>
      </c>
      <c r="BS4" s="83" t="s">
        <v>279</v>
      </c>
      <c r="BT4" s="67" t="s">
        <v>174</v>
      </c>
      <c r="BU4" s="67" t="s">
        <v>168</v>
      </c>
      <c r="BV4" s="67" t="s">
        <v>169</v>
      </c>
      <c r="BW4" s="67" t="s">
        <v>170</v>
      </c>
      <c r="BX4" s="67" t="s">
        <v>171</v>
      </c>
      <c r="BY4" s="67" t="s">
        <v>172</v>
      </c>
      <c r="BZ4" s="67" t="s">
        <v>173</v>
      </c>
      <c r="CA4" s="83" t="s">
        <v>277</v>
      </c>
      <c r="CB4" s="83" t="s">
        <v>278</v>
      </c>
      <c r="CC4" s="83" t="s">
        <v>279</v>
      </c>
      <c r="CD4" s="67" t="s">
        <v>174</v>
      </c>
      <c r="CE4" s="67" t="s">
        <v>168</v>
      </c>
      <c r="CF4" s="67" t="s">
        <v>169</v>
      </c>
      <c r="CG4" s="67" t="s">
        <v>170</v>
      </c>
      <c r="CH4" s="67" t="s">
        <v>171</v>
      </c>
      <c r="CI4" s="67" t="s">
        <v>172</v>
      </c>
      <c r="CJ4" s="67" t="s">
        <v>173</v>
      </c>
      <c r="CK4" s="83" t="s">
        <v>277</v>
      </c>
      <c r="CL4" s="83" t="s">
        <v>278</v>
      </c>
      <c r="CM4" s="83" t="s">
        <v>279</v>
      </c>
      <c r="CN4" s="67" t="s">
        <v>174</v>
      </c>
      <c r="CO4" s="67" t="s">
        <v>168</v>
      </c>
      <c r="CP4" s="67" t="s">
        <v>169</v>
      </c>
      <c r="CQ4" s="67" t="s">
        <v>170</v>
      </c>
      <c r="CR4" s="67" t="s">
        <v>171</v>
      </c>
      <c r="CS4" s="67" t="s">
        <v>172</v>
      </c>
      <c r="CT4" s="67" t="s">
        <v>173</v>
      </c>
      <c r="CU4" s="83" t="s">
        <v>277</v>
      </c>
      <c r="CV4" s="83" t="s">
        <v>278</v>
      </c>
      <c r="CW4" s="83" t="s">
        <v>279</v>
      </c>
      <c r="CX4" s="67" t="s">
        <v>174</v>
      </c>
      <c r="CY4" s="15" t="s">
        <v>168</v>
      </c>
      <c r="CZ4" s="15" t="s">
        <v>169</v>
      </c>
      <c r="DA4" s="15" t="s">
        <v>170</v>
      </c>
      <c r="DB4" s="15" t="s">
        <v>171</v>
      </c>
      <c r="DC4" s="15" t="s">
        <v>172</v>
      </c>
      <c r="DD4" s="15" t="s">
        <v>173</v>
      </c>
      <c r="DE4" s="15" t="s">
        <v>174</v>
      </c>
      <c r="DF4" s="15" t="s">
        <v>168</v>
      </c>
      <c r="DG4" s="15" t="s">
        <v>169</v>
      </c>
      <c r="DH4" s="15" t="s">
        <v>170</v>
      </c>
      <c r="DI4" s="15" t="s">
        <v>171</v>
      </c>
      <c r="DJ4" s="15" t="s">
        <v>172</v>
      </c>
      <c r="DK4" s="15" t="s">
        <v>173</v>
      </c>
      <c r="DL4" s="15" t="s">
        <v>174</v>
      </c>
      <c r="DM4" s="16" t="s">
        <v>168</v>
      </c>
      <c r="DN4" s="16" t="s">
        <v>169</v>
      </c>
      <c r="DO4" s="16" t="s">
        <v>170</v>
      </c>
      <c r="DP4" s="16" t="s">
        <v>171</v>
      </c>
      <c r="DQ4" s="16" t="s">
        <v>172</v>
      </c>
      <c r="DR4" s="16" t="s">
        <v>173</v>
      </c>
      <c r="DS4" s="16" t="s">
        <v>174</v>
      </c>
    </row>
    <row r="5" spans="1:123" ht="20" customHeight="1" x14ac:dyDescent="0.2">
      <c r="A5" s="18" t="s">
        <v>132</v>
      </c>
      <c r="B5" s="21">
        <v>2506149</v>
      </c>
      <c r="C5" s="21"/>
      <c r="D5" s="22"/>
      <c r="E5" s="21"/>
      <c r="F5" s="22"/>
      <c r="G5" s="23"/>
      <c r="H5" s="23"/>
      <c r="I5" s="23"/>
      <c r="J5" s="23"/>
      <c r="K5" s="81">
        <f>IF(B5="","",IF(AND(C5="",E5="",H5=""),B5,B5+IF(C5="",0,C5)-IF(E5="",0,E5)-IF(H5="",0,H5)))</f>
        <v>2506149</v>
      </c>
      <c r="L5" s="21">
        <v>2577692</v>
      </c>
      <c r="M5" s="21"/>
      <c r="N5" s="22"/>
      <c r="O5" s="21"/>
      <c r="P5" s="22"/>
      <c r="Q5" s="23"/>
      <c r="R5" s="23"/>
      <c r="S5" s="23"/>
      <c r="T5" s="23"/>
      <c r="U5" s="81">
        <f>IF(L5="","",IF(AND(M5="",O5="",R5=""),L5,L5+IF(M5="",0,M5)-IF(O5="",0,O5)-IF(R5="",0,R5)))</f>
        <v>2577692</v>
      </c>
      <c r="V5" s="21">
        <v>2443036</v>
      </c>
      <c r="W5" s="21"/>
      <c r="X5" s="22"/>
      <c r="Y5" s="21"/>
      <c r="Z5" s="22"/>
      <c r="AA5" s="23"/>
      <c r="AB5" s="23"/>
      <c r="AC5" s="23"/>
      <c r="AD5" s="23"/>
      <c r="AE5" s="81">
        <f>IF(V5="","",IF(AND(W5="",Y5="",AB5=""),V5,V5+IF(W5="",0,W5)-IF(Y5="",0,Y5)-IF(AB5="",0,AB5)))</f>
        <v>2443036</v>
      </c>
      <c r="AF5" s="21">
        <v>328064</v>
      </c>
      <c r="AG5" s="21"/>
      <c r="AH5" s="22"/>
      <c r="AI5" s="21"/>
      <c r="AJ5" s="22"/>
      <c r="AK5" s="23"/>
      <c r="AL5" s="24">
        <f t="shared" ref="AL5:AL34" si="0">IF(AF5="","",IF(AND(AG5="",AI5=""),AF5,AF5+IF(AG5="",0,AG5)-IF(AI5="",0,AI5)))</f>
        <v>328064</v>
      </c>
      <c r="AM5" s="21">
        <v>529521</v>
      </c>
      <c r="AN5" s="21"/>
      <c r="AO5" s="22"/>
      <c r="AP5" s="21"/>
      <c r="AQ5" s="22"/>
      <c r="AR5" s="23"/>
      <c r="AS5" s="24">
        <f t="shared" ref="AS5:AS34" si="1">IF(AM5="","",IF(AND(AN5="",AP5=""),AM5,AM5+IF(AN5="",0,AN5)-IF(AP5="",0,AP5)))</f>
        <v>529521</v>
      </c>
      <c r="AT5" s="21">
        <v>44014</v>
      </c>
      <c r="AU5" s="21"/>
      <c r="AV5" s="22"/>
      <c r="AW5" s="21"/>
      <c r="AX5" s="22"/>
      <c r="AY5" s="23"/>
      <c r="AZ5" s="24">
        <f t="shared" ref="AZ5:AZ34" si="2">IF(AT5="","",IF(AND(AU5="",AW5=""),AT5,AT5+IF(AU5="",0,AU5)-IF(AW5="",0,AW5)))</f>
        <v>44014</v>
      </c>
      <c r="BA5" s="21">
        <v>536860</v>
      </c>
      <c r="BB5" s="21"/>
      <c r="BC5" s="22"/>
      <c r="BD5" s="21"/>
      <c r="BE5" s="22"/>
      <c r="BF5" s="23"/>
      <c r="BG5" s="23"/>
      <c r="BH5" s="23"/>
      <c r="BI5" s="23"/>
      <c r="BJ5" s="81">
        <f>IF(BA5="","",IF(AND(BB5="",BD5="",BG5=""),BA5,BA5+IF(BB5="",0,BB5)-IF(BD5="",0,BD5)-IF(BG5="",0,BG5)))</f>
        <v>536860</v>
      </c>
      <c r="BK5" s="21">
        <v>390600</v>
      </c>
      <c r="BL5" s="21"/>
      <c r="BM5" s="22"/>
      <c r="BN5" s="21">
        <v>36750</v>
      </c>
      <c r="BO5" s="22"/>
      <c r="BP5" s="84" t="s">
        <v>280</v>
      </c>
      <c r="BQ5" s="86"/>
      <c r="BR5" s="23"/>
      <c r="BS5" s="23"/>
      <c r="BT5" s="81">
        <f>IF(BK5="","",IF(AND(BL5="",BN5="",BQ5=""),BK5,BK5+IF(BL5="",0,BL5)-IF(BN5="",0,BN5)-IF(BQ5="",0,BQ5)))</f>
        <v>353850</v>
      </c>
      <c r="BU5" s="21">
        <v>508583</v>
      </c>
      <c r="BV5" s="21"/>
      <c r="BW5" s="22"/>
      <c r="BX5" s="21"/>
      <c r="BY5" s="22"/>
      <c r="BZ5" s="23"/>
      <c r="CA5" s="23"/>
      <c r="CB5" s="23"/>
      <c r="CC5" s="23"/>
      <c r="CD5" s="81">
        <f>IF(BU5="","",IF(AND(BV5="",BX5="",CA5=""),BU5,BU5+IF(BV5="",0,BV5)-IF(BX5="",0,BX5)-IF(CA5="",0,CA5)))</f>
        <v>508583</v>
      </c>
      <c r="CE5" s="21">
        <v>510730</v>
      </c>
      <c r="CF5" s="21"/>
      <c r="CG5" s="22"/>
      <c r="CH5" s="21"/>
      <c r="CI5" s="22"/>
      <c r="CJ5" s="23"/>
      <c r="CK5" s="23"/>
      <c r="CL5" s="23"/>
      <c r="CM5" s="23"/>
      <c r="CN5" s="81">
        <f>IF(CE5="","",IF(AND(CF5="",CH5="",CK5=""),CE5,CE5+IF(CF5="",0,CF5)-IF(CH5="",0,CH5)-IF(CK5="",0,CK5)))</f>
        <v>510730</v>
      </c>
      <c r="CO5" s="21">
        <v>26023</v>
      </c>
      <c r="CP5" s="21"/>
      <c r="CQ5" s="22"/>
      <c r="CR5" s="21"/>
      <c r="CS5" s="22"/>
      <c r="CT5" s="23"/>
      <c r="CU5" s="23"/>
      <c r="CV5" s="23"/>
      <c r="CW5" s="23"/>
      <c r="CX5" s="81">
        <f>IF(CO5="","",IF(AND(CP5="",CR5="",CU5=""),CO5,CO5+IF(CP5="",0,CP5)-IF(CR5="",0,CR5)-IF(CU5="",0,CU5)))</f>
        <v>26023</v>
      </c>
      <c r="CY5" s="21">
        <v>1164563</v>
      </c>
      <c r="CZ5" s="21"/>
      <c r="DA5" s="22"/>
      <c r="DB5" s="21"/>
      <c r="DC5" s="22"/>
      <c r="DD5" s="23"/>
      <c r="DE5" s="24">
        <f t="shared" ref="DE5:DE34" si="3">IF(CY5="","",IF(AND(CZ5="",DB5=""),CY5,CY5+IF(CZ5="",0,CZ5)-IF(DB5="",0,DB5)))</f>
        <v>1164563</v>
      </c>
      <c r="DF5" s="21">
        <v>961820</v>
      </c>
      <c r="DG5" s="21"/>
      <c r="DH5" s="22"/>
      <c r="DI5" s="21"/>
      <c r="DJ5" s="22"/>
      <c r="DK5" s="23"/>
      <c r="DL5" s="24">
        <f t="shared" ref="DL5:DL34" si="4">IF(DF5="","",IF(AND(DG5="",DI5=""),DF5,DF5+IF(DG5="",0,DG5)-IF(DI5="",0,DI5)))</f>
        <v>961820</v>
      </c>
      <c r="DM5" s="21">
        <v>32951</v>
      </c>
      <c r="DN5" s="21"/>
      <c r="DO5" s="22"/>
      <c r="DP5" s="21"/>
      <c r="DQ5" s="22"/>
      <c r="DR5" s="23"/>
      <c r="DS5" s="24">
        <f t="shared" ref="DS5:DS34" si="5">IF(DM5="","",IF(AND(DN5="",DP5=""),DM5,DM5+IF(DN5="",0,DN5)-IF(DP5="",0,DP5)))</f>
        <v>32951</v>
      </c>
    </row>
    <row r="6" spans="1:123" ht="20" customHeight="1" x14ac:dyDescent="0.2">
      <c r="A6" s="19" t="s">
        <v>133</v>
      </c>
      <c r="B6" s="25">
        <f t="shared" ref="B6:B34" si="6">K5</f>
        <v>2506149</v>
      </c>
      <c r="C6" s="21"/>
      <c r="D6" s="22"/>
      <c r="E6" s="21"/>
      <c r="F6" s="22"/>
      <c r="G6" s="23"/>
      <c r="H6" s="23"/>
      <c r="I6" s="23"/>
      <c r="J6" s="23"/>
      <c r="K6" s="81">
        <f t="shared" ref="K6:K34" si="7">IF(B6="","",IF(AND(C6="",E6="",H6=""),B6,B6+IF(C6="",0,C6)-IF(E6="",0,E6)-IF(H6="",0,H6)))</f>
        <v>2506149</v>
      </c>
      <c r="L6" s="25">
        <f t="shared" ref="L6:L34" si="8">U5</f>
        <v>2577692</v>
      </c>
      <c r="M6" s="21"/>
      <c r="N6" s="22"/>
      <c r="O6" s="21"/>
      <c r="P6" s="22"/>
      <c r="Q6" s="23"/>
      <c r="R6" s="23"/>
      <c r="S6" s="23"/>
      <c r="T6" s="23"/>
      <c r="U6" s="81">
        <f t="shared" ref="U6:U34" si="9">IF(L6="","",IF(AND(M6="",O6="",R6=""),L6,L6+IF(M6="",0,M6)-IF(O6="",0,O6)-IF(R6="",0,R6)))</f>
        <v>2577692</v>
      </c>
      <c r="V6" s="25">
        <f t="shared" ref="V6:V34" si="10">AE5</f>
        <v>2443036</v>
      </c>
      <c r="W6" s="21"/>
      <c r="X6" s="22"/>
      <c r="Y6" s="21"/>
      <c r="Z6" s="22"/>
      <c r="AA6" s="23"/>
      <c r="AB6" s="23"/>
      <c r="AC6" s="23"/>
      <c r="AD6" s="23"/>
      <c r="AE6" s="81">
        <f t="shared" ref="AE6:AE34" si="11">IF(V6="","",IF(AND(W6="",Y6="",AB6=""),V6,V6+IF(W6="",0,W6)-IF(Y6="",0,Y6)-IF(AB6="",0,AB6)))</f>
        <v>2443036</v>
      </c>
      <c r="AF6" s="25">
        <f t="shared" ref="AF6:AF34" si="12">AL5</f>
        <v>328064</v>
      </c>
      <c r="AG6" s="21"/>
      <c r="AH6" s="22"/>
      <c r="AI6" s="21"/>
      <c r="AJ6" s="22"/>
      <c r="AK6" s="23"/>
      <c r="AL6" s="24">
        <f t="shared" si="0"/>
        <v>328064</v>
      </c>
      <c r="AM6" s="25">
        <f t="shared" ref="AM6:AM34" si="13">AS5</f>
        <v>529521</v>
      </c>
      <c r="AN6" s="21"/>
      <c r="AO6" s="22"/>
      <c r="AP6" s="21"/>
      <c r="AQ6" s="22"/>
      <c r="AR6" s="23"/>
      <c r="AS6" s="24">
        <f t="shared" si="1"/>
        <v>529521</v>
      </c>
      <c r="AT6" s="25">
        <f t="shared" ref="AT6:AT34" si="14">AZ5</f>
        <v>44014</v>
      </c>
      <c r="AU6" s="21"/>
      <c r="AV6" s="22"/>
      <c r="AW6" s="21"/>
      <c r="AX6" s="22"/>
      <c r="AY6" s="23"/>
      <c r="AZ6" s="24">
        <f t="shared" si="2"/>
        <v>44014</v>
      </c>
      <c r="BA6" s="25">
        <f t="shared" ref="BA6:BA34" si="15">BJ5</f>
        <v>536860</v>
      </c>
      <c r="BB6" s="21"/>
      <c r="BC6" s="22"/>
      <c r="BD6" s="21"/>
      <c r="BE6" s="22"/>
      <c r="BF6" s="23"/>
      <c r="BG6" s="23"/>
      <c r="BH6" s="23"/>
      <c r="BI6" s="23"/>
      <c r="BJ6" s="81">
        <f t="shared" ref="BJ6:BJ34" si="16">IF(BA6="","",IF(AND(BB6="",BD6="",BG6=""),BA6,BA6+IF(BB6="",0,BB6)-IF(BD6="",0,BD6)-IF(BG6="",0,BG6)))</f>
        <v>536860</v>
      </c>
      <c r="BK6" s="25">
        <f t="shared" ref="BK6:BK34" si="17">BT5</f>
        <v>353850</v>
      </c>
      <c r="BL6" s="21"/>
      <c r="BM6" s="22"/>
      <c r="BN6" s="21"/>
      <c r="BO6" s="22"/>
      <c r="BP6" s="23"/>
      <c r="BQ6" s="86"/>
      <c r="BR6" s="23"/>
      <c r="BS6" s="23"/>
      <c r="BT6" s="81">
        <f>IF(BK6="","",IF(AND(BL6="",BN6="",BQ6=""),BK6,BK6+IF(BL6="",0,BL6)-IF(BN6="",0,BN6)-IF(BQ6="",0,BQ6)))</f>
        <v>353850</v>
      </c>
      <c r="BU6" s="25">
        <f t="shared" ref="BU6:BU34" si="18">CD5</f>
        <v>508583</v>
      </c>
      <c r="BV6" s="21"/>
      <c r="BW6" s="22"/>
      <c r="BX6" s="21"/>
      <c r="BY6" s="22"/>
      <c r="BZ6" s="23"/>
      <c r="CA6" s="23"/>
      <c r="CB6" s="23"/>
      <c r="CC6" s="23"/>
      <c r="CD6" s="81">
        <f t="shared" ref="CD6:CD34" si="19">IF(BU6="","",IF(AND(BV6="",BX6="",CA6=""),BU6,BU6+IF(BV6="",0,BV6)-IF(BX6="",0,BX6)-IF(CA6="",0,CA6)))</f>
        <v>508583</v>
      </c>
      <c r="CE6" s="25">
        <f t="shared" ref="CE6:CE34" si="20">CN5</f>
        <v>510730</v>
      </c>
      <c r="CF6" s="21"/>
      <c r="CG6" s="22"/>
      <c r="CH6" s="21"/>
      <c r="CI6" s="22"/>
      <c r="CJ6" s="23"/>
      <c r="CK6" s="23"/>
      <c r="CL6" s="23"/>
      <c r="CM6" s="23"/>
      <c r="CN6" s="81">
        <f t="shared" ref="CN6:CN34" si="21">IF(CE6="","",IF(AND(CF6="",CH6="",CK6=""),CE6,CE6+IF(CF6="",0,CF6)-IF(CH6="",0,CH6)-IF(CK6="",0,CK6)))</f>
        <v>510730</v>
      </c>
      <c r="CO6" s="25">
        <f t="shared" ref="CO6:CO34" si="22">CX5</f>
        <v>26023</v>
      </c>
      <c r="CP6" s="21"/>
      <c r="CQ6" s="22"/>
      <c r="CR6" s="21"/>
      <c r="CS6" s="22"/>
      <c r="CT6" s="23"/>
      <c r="CU6" s="23"/>
      <c r="CV6" s="23"/>
      <c r="CW6" s="23"/>
      <c r="CX6" s="81">
        <f t="shared" ref="CX6:CX34" si="23">IF(CO6="","",IF(AND(CP6="",CR6="",CU6=""),CO6,CO6+IF(CP6="",0,CP6)-IF(CR6="",0,CR6)-IF(CU6="",0,CU6)))</f>
        <v>26023</v>
      </c>
      <c r="CY6" s="25">
        <f t="shared" ref="CY6:CY34" si="24">DE5</f>
        <v>1164563</v>
      </c>
      <c r="CZ6" s="21"/>
      <c r="DA6" s="22"/>
      <c r="DB6" s="21"/>
      <c r="DC6" s="22"/>
      <c r="DD6" s="23"/>
      <c r="DE6" s="24">
        <f t="shared" si="3"/>
        <v>1164563</v>
      </c>
      <c r="DF6" s="25">
        <f t="shared" ref="DF6:DF34" si="25">DL5</f>
        <v>961820</v>
      </c>
      <c r="DG6" s="21"/>
      <c r="DH6" s="22"/>
      <c r="DI6" s="21"/>
      <c r="DJ6" s="22"/>
      <c r="DK6" s="23"/>
      <c r="DL6" s="24">
        <f t="shared" si="4"/>
        <v>961820</v>
      </c>
      <c r="DM6" s="25">
        <f t="shared" ref="DM6:DM34" si="26">DS5</f>
        <v>32951</v>
      </c>
      <c r="DN6" s="21"/>
      <c r="DO6" s="22"/>
      <c r="DP6" s="21"/>
      <c r="DQ6" s="22"/>
      <c r="DR6" s="23"/>
      <c r="DS6" s="24">
        <f t="shared" si="5"/>
        <v>32951</v>
      </c>
    </row>
    <row r="7" spans="1:123" ht="20" customHeight="1" x14ac:dyDescent="0.2">
      <c r="A7" s="20" t="s">
        <v>134</v>
      </c>
      <c r="B7" s="25">
        <f t="shared" si="6"/>
        <v>2506149</v>
      </c>
      <c r="C7" s="21"/>
      <c r="D7" s="22"/>
      <c r="E7" s="21"/>
      <c r="F7" s="22"/>
      <c r="G7" s="23"/>
      <c r="H7" s="23"/>
      <c r="I7" s="23"/>
      <c r="J7" s="23"/>
      <c r="K7" s="81">
        <f t="shared" si="7"/>
        <v>2506149</v>
      </c>
      <c r="L7" s="25">
        <f t="shared" si="8"/>
        <v>2577692</v>
      </c>
      <c r="M7" s="21"/>
      <c r="N7" s="22"/>
      <c r="O7" s="21"/>
      <c r="P7" s="22"/>
      <c r="Q7" s="23"/>
      <c r="R7" s="23"/>
      <c r="S7" s="23"/>
      <c r="T7" s="23"/>
      <c r="U7" s="81">
        <f t="shared" si="9"/>
        <v>2577692</v>
      </c>
      <c r="V7" s="25">
        <f t="shared" si="10"/>
        <v>2443036</v>
      </c>
      <c r="W7" s="21"/>
      <c r="X7" s="22"/>
      <c r="Y7" s="21"/>
      <c r="Z7" s="22"/>
      <c r="AA7" s="23"/>
      <c r="AB7" s="23"/>
      <c r="AC7" s="23"/>
      <c r="AD7" s="23"/>
      <c r="AE7" s="81">
        <f t="shared" si="11"/>
        <v>2443036</v>
      </c>
      <c r="AF7" s="25">
        <f t="shared" si="12"/>
        <v>328064</v>
      </c>
      <c r="AG7" s="21"/>
      <c r="AH7" s="22"/>
      <c r="AI7" s="21"/>
      <c r="AJ7" s="22"/>
      <c r="AK7" s="23"/>
      <c r="AL7" s="24">
        <f t="shared" si="0"/>
        <v>328064</v>
      </c>
      <c r="AM7" s="25">
        <f t="shared" si="13"/>
        <v>529521</v>
      </c>
      <c r="AN7" s="21"/>
      <c r="AO7" s="22"/>
      <c r="AP7" s="21"/>
      <c r="AQ7" s="22"/>
      <c r="AR7" s="23"/>
      <c r="AS7" s="24">
        <f t="shared" si="1"/>
        <v>529521</v>
      </c>
      <c r="AT7" s="25">
        <f t="shared" si="14"/>
        <v>44014</v>
      </c>
      <c r="AU7" s="21"/>
      <c r="AV7" s="22"/>
      <c r="AW7" s="21"/>
      <c r="AX7" s="22"/>
      <c r="AY7" s="23"/>
      <c r="AZ7" s="24">
        <f t="shared" si="2"/>
        <v>44014</v>
      </c>
      <c r="BA7" s="25">
        <f t="shared" si="15"/>
        <v>536860</v>
      </c>
      <c r="BB7" s="21"/>
      <c r="BC7" s="22"/>
      <c r="BD7" s="21"/>
      <c r="BE7" s="22"/>
      <c r="BF7" s="23"/>
      <c r="BG7" s="23"/>
      <c r="BH7" s="23"/>
      <c r="BI7" s="23"/>
      <c r="BJ7" s="81">
        <f t="shared" si="16"/>
        <v>536860</v>
      </c>
      <c r="BK7" s="25">
        <f t="shared" si="17"/>
        <v>353850</v>
      </c>
      <c r="BL7" s="21"/>
      <c r="BM7" s="22"/>
      <c r="BN7" s="21"/>
      <c r="BO7" s="22"/>
      <c r="BP7" s="23"/>
      <c r="BQ7" s="86"/>
      <c r="BR7" s="23"/>
      <c r="BS7" s="23"/>
      <c r="BT7" s="81">
        <f t="shared" ref="BT7:BT34" si="27">IF(BK7="","",IF(AND(BL7="",BN7="",BQ7=""),BK7,BK7+IF(BL7="",0,BL7)-IF(BN7="",0,BN7)-IF(BQ7="",0,BQ7)))</f>
        <v>353850</v>
      </c>
      <c r="BU7" s="25">
        <f t="shared" si="18"/>
        <v>508583</v>
      </c>
      <c r="BV7" s="21"/>
      <c r="BW7" s="22"/>
      <c r="BX7" s="21"/>
      <c r="BY7" s="22"/>
      <c r="BZ7" s="23"/>
      <c r="CA7" s="23"/>
      <c r="CB7" s="23"/>
      <c r="CC7" s="23"/>
      <c r="CD7" s="81">
        <f t="shared" si="19"/>
        <v>508583</v>
      </c>
      <c r="CE7" s="25">
        <f t="shared" si="20"/>
        <v>510730</v>
      </c>
      <c r="CF7" s="21"/>
      <c r="CG7" s="22"/>
      <c r="CH7" s="21"/>
      <c r="CI7" s="22"/>
      <c r="CJ7" s="23"/>
      <c r="CK7" s="23"/>
      <c r="CL7" s="23"/>
      <c r="CM7" s="23"/>
      <c r="CN7" s="81">
        <f t="shared" si="21"/>
        <v>510730</v>
      </c>
      <c r="CO7" s="25">
        <f t="shared" si="22"/>
        <v>26023</v>
      </c>
      <c r="CP7" s="21"/>
      <c r="CQ7" s="22"/>
      <c r="CR7" s="21"/>
      <c r="CS7" s="22"/>
      <c r="CT7" s="23"/>
      <c r="CU7" s="23"/>
      <c r="CV7" s="23"/>
      <c r="CW7" s="23"/>
      <c r="CX7" s="81">
        <f t="shared" si="23"/>
        <v>26023</v>
      </c>
      <c r="CY7" s="25">
        <f t="shared" si="24"/>
        <v>1164563</v>
      </c>
      <c r="CZ7" s="21"/>
      <c r="DA7" s="22"/>
      <c r="DB7" s="21"/>
      <c r="DC7" s="22"/>
      <c r="DD7" s="23"/>
      <c r="DE7" s="24">
        <f t="shared" si="3"/>
        <v>1164563</v>
      </c>
      <c r="DF7" s="25">
        <f t="shared" si="25"/>
        <v>961820</v>
      </c>
      <c r="DG7" s="21"/>
      <c r="DH7" s="22"/>
      <c r="DI7" s="21"/>
      <c r="DJ7" s="22"/>
      <c r="DK7" s="23"/>
      <c r="DL7" s="24">
        <f t="shared" si="4"/>
        <v>961820</v>
      </c>
      <c r="DM7" s="25">
        <f t="shared" si="26"/>
        <v>32951</v>
      </c>
      <c r="DN7" s="21"/>
      <c r="DO7" s="22"/>
      <c r="DP7" s="21"/>
      <c r="DQ7" s="22"/>
      <c r="DR7" s="23"/>
      <c r="DS7" s="24">
        <f t="shared" si="5"/>
        <v>32951</v>
      </c>
    </row>
    <row r="8" spans="1:123" ht="20" customHeight="1" x14ac:dyDescent="0.2">
      <c r="A8" s="19" t="s">
        <v>135</v>
      </c>
      <c r="B8" s="25">
        <f t="shared" si="6"/>
        <v>2506149</v>
      </c>
      <c r="C8" s="21"/>
      <c r="D8" s="22"/>
      <c r="E8" s="21"/>
      <c r="F8" s="22"/>
      <c r="G8" s="23"/>
      <c r="H8" s="23"/>
      <c r="I8" s="23"/>
      <c r="J8" s="23"/>
      <c r="K8" s="81">
        <f t="shared" si="7"/>
        <v>2506149</v>
      </c>
      <c r="L8" s="25">
        <f t="shared" si="8"/>
        <v>2577692</v>
      </c>
      <c r="M8" s="21"/>
      <c r="N8" s="22"/>
      <c r="O8" s="21"/>
      <c r="P8" s="22"/>
      <c r="Q8" s="23"/>
      <c r="R8" s="23"/>
      <c r="S8" s="23"/>
      <c r="T8" s="23"/>
      <c r="U8" s="81">
        <f t="shared" si="9"/>
        <v>2577692</v>
      </c>
      <c r="V8" s="25">
        <f t="shared" si="10"/>
        <v>2443036</v>
      </c>
      <c r="W8" s="21"/>
      <c r="X8" s="22"/>
      <c r="Y8" s="21"/>
      <c r="Z8" s="22"/>
      <c r="AA8" s="23"/>
      <c r="AB8" s="23"/>
      <c r="AC8" s="23"/>
      <c r="AD8" s="23"/>
      <c r="AE8" s="81">
        <f t="shared" si="11"/>
        <v>2443036</v>
      </c>
      <c r="AF8" s="25">
        <f t="shared" si="12"/>
        <v>328064</v>
      </c>
      <c r="AG8" s="21"/>
      <c r="AH8" s="22"/>
      <c r="AI8" s="21"/>
      <c r="AJ8" s="22"/>
      <c r="AK8" s="23"/>
      <c r="AL8" s="24">
        <f t="shared" si="0"/>
        <v>328064</v>
      </c>
      <c r="AM8" s="25">
        <f t="shared" si="13"/>
        <v>529521</v>
      </c>
      <c r="AN8" s="21"/>
      <c r="AO8" s="22"/>
      <c r="AP8" s="21"/>
      <c r="AQ8" s="22"/>
      <c r="AR8" s="23"/>
      <c r="AS8" s="24">
        <f t="shared" si="1"/>
        <v>529521</v>
      </c>
      <c r="AT8" s="25">
        <f t="shared" si="14"/>
        <v>44014</v>
      </c>
      <c r="AU8" s="21"/>
      <c r="AV8" s="22"/>
      <c r="AW8" s="21"/>
      <c r="AX8" s="22"/>
      <c r="AY8" s="23"/>
      <c r="AZ8" s="24">
        <f t="shared" si="2"/>
        <v>44014</v>
      </c>
      <c r="BA8" s="25">
        <f t="shared" si="15"/>
        <v>536860</v>
      </c>
      <c r="BB8" s="21"/>
      <c r="BC8" s="22"/>
      <c r="BD8" s="21"/>
      <c r="BE8" s="22"/>
      <c r="BF8" s="23"/>
      <c r="BG8" s="23"/>
      <c r="BH8" s="23"/>
      <c r="BI8" s="23"/>
      <c r="BJ8" s="81">
        <f t="shared" si="16"/>
        <v>536860</v>
      </c>
      <c r="BK8" s="25">
        <f t="shared" si="17"/>
        <v>353850</v>
      </c>
      <c r="BL8" s="21"/>
      <c r="BM8" s="22"/>
      <c r="BN8" s="21"/>
      <c r="BO8" s="22"/>
      <c r="BP8" s="23"/>
      <c r="BQ8" s="86"/>
      <c r="BR8" s="23"/>
      <c r="BS8" s="23"/>
      <c r="BT8" s="81">
        <f>IF(BK8="","",IF(AND(BL8="",BN8="",BQ8=""),BK8,BK8+IF(BL8="",0,BL8)-IF(BN8="",0,BN8)-IF(BQ8="",0,BQ8)))</f>
        <v>353850</v>
      </c>
      <c r="BU8" s="25">
        <f t="shared" si="18"/>
        <v>508583</v>
      </c>
      <c r="BV8" s="21"/>
      <c r="BW8" s="22"/>
      <c r="BX8" s="21"/>
      <c r="BY8" s="22"/>
      <c r="BZ8" s="23"/>
      <c r="CA8" s="23"/>
      <c r="CB8" s="23"/>
      <c r="CC8" s="23"/>
      <c r="CD8" s="81">
        <f t="shared" si="19"/>
        <v>508583</v>
      </c>
      <c r="CE8" s="25">
        <f t="shared" si="20"/>
        <v>510730</v>
      </c>
      <c r="CF8" s="21"/>
      <c r="CG8" s="22"/>
      <c r="CH8" s="21"/>
      <c r="CI8" s="22"/>
      <c r="CJ8" s="23"/>
      <c r="CK8" s="23"/>
      <c r="CL8" s="23"/>
      <c r="CM8" s="23"/>
      <c r="CN8" s="81">
        <f t="shared" si="21"/>
        <v>510730</v>
      </c>
      <c r="CO8" s="25">
        <f t="shared" si="22"/>
        <v>26023</v>
      </c>
      <c r="CP8" s="21"/>
      <c r="CQ8" s="22"/>
      <c r="CR8" s="21"/>
      <c r="CS8" s="22"/>
      <c r="CT8" s="23"/>
      <c r="CU8" s="23"/>
      <c r="CV8" s="23"/>
      <c r="CW8" s="23"/>
      <c r="CX8" s="81">
        <f t="shared" si="23"/>
        <v>26023</v>
      </c>
      <c r="CY8" s="25">
        <f t="shared" si="24"/>
        <v>1164563</v>
      </c>
      <c r="CZ8" s="21"/>
      <c r="DA8" s="22"/>
      <c r="DB8" s="21"/>
      <c r="DC8" s="22"/>
      <c r="DD8" s="23"/>
      <c r="DE8" s="24">
        <f t="shared" si="3"/>
        <v>1164563</v>
      </c>
      <c r="DF8" s="25">
        <f t="shared" si="25"/>
        <v>961820</v>
      </c>
      <c r="DG8" s="21"/>
      <c r="DH8" s="22"/>
      <c r="DI8" s="21"/>
      <c r="DJ8" s="22"/>
      <c r="DK8" s="23"/>
      <c r="DL8" s="24">
        <f t="shared" si="4"/>
        <v>961820</v>
      </c>
      <c r="DM8" s="25">
        <f t="shared" si="26"/>
        <v>32951</v>
      </c>
      <c r="DN8" s="21"/>
      <c r="DO8" s="22"/>
      <c r="DP8" s="21"/>
      <c r="DQ8" s="22"/>
      <c r="DR8" s="23"/>
      <c r="DS8" s="24">
        <f t="shared" si="5"/>
        <v>32951</v>
      </c>
    </row>
    <row r="9" spans="1:123" ht="20" customHeight="1" x14ac:dyDescent="0.2">
      <c r="A9" s="20" t="s">
        <v>136</v>
      </c>
      <c r="B9" s="25">
        <f t="shared" si="6"/>
        <v>2506149</v>
      </c>
      <c r="C9" s="21"/>
      <c r="D9" s="22"/>
      <c r="E9" s="21"/>
      <c r="F9" s="22"/>
      <c r="G9" s="23"/>
      <c r="H9" s="23"/>
      <c r="I9" s="23"/>
      <c r="J9" s="23"/>
      <c r="K9" s="81">
        <f t="shared" si="7"/>
        <v>2506149</v>
      </c>
      <c r="L9" s="25">
        <f t="shared" si="8"/>
        <v>2577692</v>
      </c>
      <c r="M9" s="21"/>
      <c r="N9" s="22"/>
      <c r="O9" s="21"/>
      <c r="P9" s="22"/>
      <c r="Q9" s="23"/>
      <c r="R9" s="23"/>
      <c r="S9" s="23"/>
      <c r="T9" s="23"/>
      <c r="U9" s="81">
        <f t="shared" si="9"/>
        <v>2577692</v>
      </c>
      <c r="V9" s="25">
        <f t="shared" si="10"/>
        <v>2443036</v>
      </c>
      <c r="W9" s="21"/>
      <c r="X9" s="22"/>
      <c r="Y9" s="21"/>
      <c r="Z9" s="22"/>
      <c r="AA9" s="23"/>
      <c r="AB9" s="23"/>
      <c r="AC9" s="23"/>
      <c r="AD9" s="23"/>
      <c r="AE9" s="81">
        <f t="shared" si="11"/>
        <v>2443036</v>
      </c>
      <c r="AF9" s="25">
        <f t="shared" si="12"/>
        <v>328064</v>
      </c>
      <c r="AG9" s="21"/>
      <c r="AH9" s="22"/>
      <c r="AI9" s="21"/>
      <c r="AJ9" s="22"/>
      <c r="AK9" s="23"/>
      <c r="AL9" s="24">
        <f t="shared" si="0"/>
        <v>328064</v>
      </c>
      <c r="AM9" s="25">
        <f t="shared" si="13"/>
        <v>529521</v>
      </c>
      <c r="AN9" s="21"/>
      <c r="AO9" s="22"/>
      <c r="AP9" s="21"/>
      <c r="AQ9" s="22"/>
      <c r="AR9" s="23"/>
      <c r="AS9" s="24">
        <f t="shared" si="1"/>
        <v>529521</v>
      </c>
      <c r="AT9" s="25">
        <f t="shared" si="14"/>
        <v>44014</v>
      </c>
      <c r="AU9" s="21"/>
      <c r="AV9" s="22"/>
      <c r="AW9" s="21"/>
      <c r="AX9" s="22"/>
      <c r="AY9" s="23"/>
      <c r="AZ9" s="24">
        <f t="shared" si="2"/>
        <v>44014</v>
      </c>
      <c r="BA9" s="25">
        <f t="shared" si="15"/>
        <v>536860</v>
      </c>
      <c r="BB9" s="21"/>
      <c r="BC9" s="22"/>
      <c r="BD9" s="21"/>
      <c r="BE9" s="22"/>
      <c r="BF9" s="23"/>
      <c r="BG9" s="23"/>
      <c r="BH9" s="23"/>
      <c r="BI9" s="23"/>
      <c r="BJ9" s="81">
        <f t="shared" si="16"/>
        <v>536860</v>
      </c>
      <c r="BK9" s="25">
        <f t="shared" si="17"/>
        <v>353850</v>
      </c>
      <c r="BL9" s="21"/>
      <c r="BM9" s="22"/>
      <c r="BN9" s="21">
        <v>9060</v>
      </c>
      <c r="BO9" s="22"/>
      <c r="BP9" s="23" t="s">
        <v>280</v>
      </c>
      <c r="BQ9" s="86"/>
      <c r="BR9" s="23"/>
      <c r="BS9" s="23"/>
      <c r="BT9" s="81">
        <f t="shared" si="27"/>
        <v>344790</v>
      </c>
      <c r="BU9" s="25">
        <f t="shared" si="18"/>
        <v>508583</v>
      </c>
      <c r="BV9" s="21"/>
      <c r="BW9" s="22"/>
      <c r="BX9" s="21"/>
      <c r="BY9" s="22"/>
      <c r="BZ9" s="23"/>
      <c r="CA9" s="23"/>
      <c r="CB9" s="23"/>
      <c r="CC9" s="23"/>
      <c r="CD9" s="81">
        <f t="shared" si="19"/>
        <v>508583</v>
      </c>
      <c r="CE9" s="25">
        <f t="shared" si="20"/>
        <v>510730</v>
      </c>
      <c r="CF9" s="21"/>
      <c r="CG9" s="22"/>
      <c r="CH9" s="21"/>
      <c r="CI9" s="22"/>
      <c r="CJ9" s="23"/>
      <c r="CK9" s="23"/>
      <c r="CL9" s="23"/>
      <c r="CM9" s="23"/>
      <c r="CN9" s="81">
        <f t="shared" si="21"/>
        <v>510730</v>
      </c>
      <c r="CO9" s="25">
        <f t="shared" si="22"/>
        <v>26023</v>
      </c>
      <c r="CP9" s="21"/>
      <c r="CQ9" s="22"/>
      <c r="CR9" s="21"/>
      <c r="CS9" s="22"/>
      <c r="CT9" s="23"/>
      <c r="CU9" s="23"/>
      <c r="CV9" s="23"/>
      <c r="CW9" s="23"/>
      <c r="CX9" s="81">
        <f t="shared" si="23"/>
        <v>26023</v>
      </c>
      <c r="CY9" s="25">
        <f t="shared" si="24"/>
        <v>1164563</v>
      </c>
      <c r="CZ9" s="21"/>
      <c r="DA9" s="22"/>
      <c r="DB9" s="21"/>
      <c r="DC9" s="22"/>
      <c r="DD9" s="23"/>
      <c r="DE9" s="24">
        <f t="shared" si="3"/>
        <v>1164563</v>
      </c>
      <c r="DF9" s="25">
        <f t="shared" si="25"/>
        <v>961820</v>
      </c>
      <c r="DG9" s="21"/>
      <c r="DH9" s="22"/>
      <c r="DI9" s="21"/>
      <c r="DJ9" s="22"/>
      <c r="DK9" s="23"/>
      <c r="DL9" s="24">
        <f t="shared" si="4"/>
        <v>961820</v>
      </c>
      <c r="DM9" s="25">
        <f t="shared" si="26"/>
        <v>32951</v>
      </c>
      <c r="DN9" s="21"/>
      <c r="DO9" s="22"/>
      <c r="DP9" s="21"/>
      <c r="DQ9" s="22"/>
      <c r="DR9" s="23"/>
      <c r="DS9" s="24">
        <f t="shared" si="5"/>
        <v>32951</v>
      </c>
    </row>
    <row r="10" spans="1:123" ht="20" customHeight="1" x14ac:dyDescent="0.2">
      <c r="A10" s="19" t="s">
        <v>137</v>
      </c>
      <c r="B10" s="25">
        <f t="shared" si="6"/>
        <v>2506149</v>
      </c>
      <c r="C10" s="21"/>
      <c r="D10" s="22"/>
      <c r="E10" s="21"/>
      <c r="F10" s="22"/>
      <c r="G10" s="23"/>
      <c r="H10" s="23"/>
      <c r="I10" s="23"/>
      <c r="J10" s="23"/>
      <c r="K10" s="81">
        <f t="shared" si="7"/>
        <v>2506149</v>
      </c>
      <c r="L10" s="25">
        <f t="shared" si="8"/>
        <v>2577692</v>
      </c>
      <c r="M10" s="21"/>
      <c r="N10" s="22"/>
      <c r="O10" s="21"/>
      <c r="P10" s="22"/>
      <c r="Q10" s="23"/>
      <c r="R10" s="23"/>
      <c r="S10" s="23"/>
      <c r="T10" s="23"/>
      <c r="U10" s="81">
        <f t="shared" si="9"/>
        <v>2577692</v>
      </c>
      <c r="V10" s="25">
        <f t="shared" si="10"/>
        <v>2443036</v>
      </c>
      <c r="W10" s="21"/>
      <c r="X10" s="22"/>
      <c r="Y10" s="21"/>
      <c r="Z10" s="22"/>
      <c r="AA10" s="23"/>
      <c r="AB10" s="23"/>
      <c r="AC10" s="23"/>
      <c r="AD10" s="23"/>
      <c r="AE10" s="81">
        <f t="shared" si="11"/>
        <v>2443036</v>
      </c>
      <c r="AF10" s="25">
        <f t="shared" si="12"/>
        <v>328064</v>
      </c>
      <c r="AG10" s="21"/>
      <c r="AH10" s="22"/>
      <c r="AI10" s="21"/>
      <c r="AJ10" s="22"/>
      <c r="AK10" s="23"/>
      <c r="AL10" s="24">
        <f t="shared" si="0"/>
        <v>328064</v>
      </c>
      <c r="AM10" s="25">
        <f t="shared" si="13"/>
        <v>529521</v>
      </c>
      <c r="AN10" s="21"/>
      <c r="AO10" s="22"/>
      <c r="AP10" s="21"/>
      <c r="AQ10" s="22"/>
      <c r="AR10" s="23"/>
      <c r="AS10" s="24">
        <f t="shared" si="1"/>
        <v>529521</v>
      </c>
      <c r="AT10" s="25">
        <f t="shared" si="14"/>
        <v>44014</v>
      </c>
      <c r="AU10" s="21"/>
      <c r="AV10" s="22"/>
      <c r="AW10" s="21"/>
      <c r="AX10" s="22"/>
      <c r="AY10" s="23"/>
      <c r="AZ10" s="24">
        <f t="shared" si="2"/>
        <v>44014</v>
      </c>
      <c r="BA10" s="25">
        <f t="shared" si="15"/>
        <v>536860</v>
      </c>
      <c r="BB10" s="21"/>
      <c r="BC10" s="22"/>
      <c r="BD10" s="21"/>
      <c r="BE10" s="22"/>
      <c r="BF10" s="23"/>
      <c r="BG10" s="23"/>
      <c r="BH10" s="23"/>
      <c r="BI10" s="23"/>
      <c r="BJ10" s="81">
        <f t="shared" si="16"/>
        <v>536860</v>
      </c>
      <c r="BK10" s="25">
        <f t="shared" si="17"/>
        <v>344790</v>
      </c>
      <c r="BL10" s="21"/>
      <c r="BM10" s="22"/>
      <c r="BN10" s="21">
        <v>18240</v>
      </c>
      <c r="BO10" s="22"/>
      <c r="BP10" s="23" t="s">
        <v>280</v>
      </c>
      <c r="BQ10" s="86">
        <v>48150</v>
      </c>
      <c r="BR10" s="84"/>
      <c r="BS10" s="84" t="s">
        <v>281</v>
      </c>
      <c r="BT10" s="81">
        <f>IF(BK10="","",IF(AND(BL10="",BN10="",BQ10=""),BK10,BK10+IF(BL10="",0,BL10)-IF(BN10="",0,BN10)-IF(BQ10="",0,BQ10)))</f>
        <v>278400</v>
      </c>
      <c r="BU10" s="25">
        <f t="shared" si="18"/>
        <v>508583</v>
      </c>
      <c r="BV10" s="21"/>
      <c r="BW10" s="22"/>
      <c r="BX10" s="21"/>
      <c r="BY10" s="22"/>
      <c r="BZ10" s="23"/>
      <c r="CA10" s="23"/>
      <c r="CB10" s="23"/>
      <c r="CC10" s="23"/>
      <c r="CD10" s="81">
        <f t="shared" si="19"/>
        <v>508583</v>
      </c>
      <c r="CE10" s="25">
        <f t="shared" si="20"/>
        <v>510730</v>
      </c>
      <c r="CF10" s="21"/>
      <c r="CG10" s="22"/>
      <c r="CH10" s="21"/>
      <c r="CI10" s="22"/>
      <c r="CJ10" s="23"/>
      <c r="CK10" s="23"/>
      <c r="CL10" s="23"/>
      <c r="CM10" s="23"/>
      <c r="CN10" s="81">
        <f t="shared" si="21"/>
        <v>510730</v>
      </c>
      <c r="CO10" s="25">
        <f t="shared" si="22"/>
        <v>26023</v>
      </c>
      <c r="CP10" s="21"/>
      <c r="CQ10" s="22"/>
      <c r="CR10" s="21"/>
      <c r="CS10" s="22"/>
      <c r="CT10" s="23"/>
      <c r="CU10" s="23"/>
      <c r="CV10" s="23"/>
      <c r="CW10" s="23"/>
      <c r="CX10" s="81">
        <f t="shared" si="23"/>
        <v>26023</v>
      </c>
      <c r="CY10" s="25">
        <f t="shared" si="24"/>
        <v>1164563</v>
      </c>
      <c r="CZ10" s="21"/>
      <c r="DA10" s="22"/>
      <c r="DB10" s="21"/>
      <c r="DC10" s="22"/>
      <c r="DD10" s="23"/>
      <c r="DE10" s="24">
        <f t="shared" si="3"/>
        <v>1164563</v>
      </c>
      <c r="DF10" s="25">
        <f t="shared" si="25"/>
        <v>961820</v>
      </c>
      <c r="DG10" s="21"/>
      <c r="DH10" s="22"/>
      <c r="DI10" s="21"/>
      <c r="DJ10" s="22"/>
      <c r="DK10" s="23"/>
      <c r="DL10" s="24">
        <f t="shared" si="4"/>
        <v>961820</v>
      </c>
      <c r="DM10" s="25">
        <f t="shared" si="26"/>
        <v>32951</v>
      </c>
      <c r="DN10" s="21"/>
      <c r="DO10" s="22"/>
      <c r="DP10" s="21"/>
      <c r="DQ10" s="22"/>
      <c r="DR10" s="23"/>
      <c r="DS10" s="24">
        <f t="shared" si="5"/>
        <v>32951</v>
      </c>
    </row>
    <row r="11" spans="1:123" ht="20" customHeight="1" x14ac:dyDescent="0.2">
      <c r="A11" s="18" t="s">
        <v>142</v>
      </c>
      <c r="B11" s="25">
        <f t="shared" si="6"/>
        <v>2506149</v>
      </c>
      <c r="C11" s="21"/>
      <c r="D11" s="22"/>
      <c r="E11" s="21"/>
      <c r="F11" s="22"/>
      <c r="G11" s="23"/>
      <c r="H11" s="23"/>
      <c r="I11" s="23"/>
      <c r="J11" s="23"/>
      <c r="K11" s="81">
        <f t="shared" si="7"/>
        <v>2506149</v>
      </c>
      <c r="L11" s="25">
        <f t="shared" si="8"/>
        <v>2577692</v>
      </c>
      <c r="M11" s="21"/>
      <c r="N11" s="22"/>
      <c r="O11" s="21"/>
      <c r="P11" s="22"/>
      <c r="Q11" s="23"/>
      <c r="R11" s="23"/>
      <c r="S11" s="23"/>
      <c r="T11" s="23"/>
      <c r="U11" s="81">
        <f t="shared" si="9"/>
        <v>2577692</v>
      </c>
      <c r="V11" s="25">
        <f t="shared" si="10"/>
        <v>2443036</v>
      </c>
      <c r="W11" s="21"/>
      <c r="X11" s="22"/>
      <c r="Y11" s="21"/>
      <c r="Z11" s="22"/>
      <c r="AA11" s="23"/>
      <c r="AB11" s="23"/>
      <c r="AC11" s="23"/>
      <c r="AD11" s="23"/>
      <c r="AE11" s="81">
        <f t="shared" si="11"/>
        <v>2443036</v>
      </c>
      <c r="AF11" s="25">
        <f t="shared" si="12"/>
        <v>328064</v>
      </c>
      <c r="AG11" s="21"/>
      <c r="AH11" s="22"/>
      <c r="AI11" s="21"/>
      <c r="AJ11" s="22"/>
      <c r="AK11" s="23"/>
      <c r="AL11" s="24">
        <f t="shared" si="0"/>
        <v>328064</v>
      </c>
      <c r="AM11" s="25">
        <f t="shared" si="13"/>
        <v>529521</v>
      </c>
      <c r="AN11" s="21"/>
      <c r="AO11" s="22"/>
      <c r="AP11" s="21"/>
      <c r="AQ11" s="22"/>
      <c r="AR11" s="23"/>
      <c r="AS11" s="24">
        <f t="shared" si="1"/>
        <v>529521</v>
      </c>
      <c r="AT11" s="25">
        <f t="shared" si="14"/>
        <v>44014</v>
      </c>
      <c r="AU11" s="21"/>
      <c r="AV11" s="22"/>
      <c r="AW11" s="21"/>
      <c r="AX11" s="22"/>
      <c r="AY11" s="23"/>
      <c r="AZ11" s="24">
        <f t="shared" si="2"/>
        <v>44014</v>
      </c>
      <c r="BA11" s="25">
        <f t="shared" si="15"/>
        <v>536860</v>
      </c>
      <c r="BB11" s="21"/>
      <c r="BC11" s="22"/>
      <c r="BD11" s="21"/>
      <c r="BE11" s="22"/>
      <c r="BF11" s="23"/>
      <c r="BG11" s="23"/>
      <c r="BH11" s="23"/>
      <c r="BI11" s="23"/>
      <c r="BJ11" s="81">
        <f t="shared" si="16"/>
        <v>536860</v>
      </c>
      <c r="BK11" s="25">
        <f t="shared" si="17"/>
        <v>278400</v>
      </c>
      <c r="BL11" s="21"/>
      <c r="BM11" s="22"/>
      <c r="BN11" s="21"/>
      <c r="BO11" s="22"/>
      <c r="BP11" s="23"/>
      <c r="BQ11" s="86"/>
      <c r="BR11" s="23"/>
      <c r="BS11" s="23"/>
      <c r="BT11" s="81">
        <f t="shared" si="27"/>
        <v>278400</v>
      </c>
      <c r="BU11" s="25">
        <f t="shared" si="18"/>
        <v>508583</v>
      </c>
      <c r="BV11" s="21"/>
      <c r="BW11" s="22"/>
      <c r="BX11" s="21"/>
      <c r="BY11" s="22"/>
      <c r="BZ11" s="23"/>
      <c r="CA11" s="23"/>
      <c r="CB11" s="23"/>
      <c r="CC11" s="23"/>
      <c r="CD11" s="81">
        <f t="shared" si="19"/>
        <v>508583</v>
      </c>
      <c r="CE11" s="25">
        <f t="shared" si="20"/>
        <v>510730</v>
      </c>
      <c r="CF11" s="21"/>
      <c r="CG11" s="22"/>
      <c r="CH11" s="21"/>
      <c r="CI11" s="22"/>
      <c r="CJ11" s="23"/>
      <c r="CK11" s="23"/>
      <c r="CL11" s="23"/>
      <c r="CM11" s="23"/>
      <c r="CN11" s="81">
        <f t="shared" si="21"/>
        <v>510730</v>
      </c>
      <c r="CO11" s="25">
        <f t="shared" si="22"/>
        <v>26023</v>
      </c>
      <c r="CP11" s="21"/>
      <c r="CQ11" s="22"/>
      <c r="CR11" s="21"/>
      <c r="CS11" s="22"/>
      <c r="CT11" s="23"/>
      <c r="CU11" s="23"/>
      <c r="CV11" s="23"/>
      <c r="CW11" s="23"/>
      <c r="CX11" s="81">
        <f t="shared" si="23"/>
        <v>26023</v>
      </c>
      <c r="CY11" s="25">
        <f t="shared" si="24"/>
        <v>1164563</v>
      </c>
      <c r="CZ11" s="21"/>
      <c r="DA11" s="22"/>
      <c r="DB11" s="21"/>
      <c r="DC11" s="22"/>
      <c r="DD11" s="23"/>
      <c r="DE11" s="24">
        <f t="shared" si="3"/>
        <v>1164563</v>
      </c>
      <c r="DF11" s="25">
        <f t="shared" si="25"/>
        <v>961820</v>
      </c>
      <c r="DG11" s="21"/>
      <c r="DH11" s="22"/>
      <c r="DI11" s="21"/>
      <c r="DJ11" s="22"/>
      <c r="DK11" s="23"/>
      <c r="DL11" s="24">
        <f t="shared" si="4"/>
        <v>961820</v>
      </c>
      <c r="DM11" s="25">
        <f t="shared" si="26"/>
        <v>32951</v>
      </c>
      <c r="DN11" s="21"/>
      <c r="DO11" s="22"/>
      <c r="DP11" s="21"/>
      <c r="DQ11" s="22"/>
      <c r="DR11" s="23"/>
      <c r="DS11" s="24">
        <f t="shared" si="5"/>
        <v>32951</v>
      </c>
    </row>
    <row r="12" spans="1:123" ht="20" customHeight="1" x14ac:dyDescent="0.2">
      <c r="A12" s="18" t="s">
        <v>143</v>
      </c>
      <c r="B12" s="25">
        <f t="shared" si="6"/>
        <v>2506149</v>
      </c>
      <c r="C12" s="21"/>
      <c r="D12" s="22"/>
      <c r="E12" s="21"/>
      <c r="F12" s="22"/>
      <c r="G12" s="23"/>
      <c r="H12" s="23"/>
      <c r="I12" s="23"/>
      <c r="J12" s="23"/>
      <c r="K12" s="81">
        <f t="shared" si="7"/>
        <v>2506149</v>
      </c>
      <c r="L12" s="25">
        <f t="shared" si="8"/>
        <v>2577692</v>
      </c>
      <c r="M12" s="21"/>
      <c r="N12" s="22"/>
      <c r="O12" s="21"/>
      <c r="P12" s="22"/>
      <c r="Q12" s="23"/>
      <c r="R12" s="23"/>
      <c r="S12" s="23"/>
      <c r="T12" s="23"/>
      <c r="U12" s="81">
        <f t="shared" si="9"/>
        <v>2577692</v>
      </c>
      <c r="V12" s="25">
        <f t="shared" si="10"/>
        <v>2443036</v>
      </c>
      <c r="W12" s="21"/>
      <c r="X12" s="22"/>
      <c r="Y12" s="21"/>
      <c r="Z12" s="22"/>
      <c r="AA12" s="23"/>
      <c r="AB12" s="23"/>
      <c r="AC12" s="23"/>
      <c r="AD12" s="23"/>
      <c r="AE12" s="81">
        <f t="shared" si="11"/>
        <v>2443036</v>
      </c>
      <c r="AF12" s="25">
        <f t="shared" si="12"/>
        <v>328064</v>
      </c>
      <c r="AG12" s="21"/>
      <c r="AH12" s="22"/>
      <c r="AI12" s="21"/>
      <c r="AJ12" s="22"/>
      <c r="AK12" s="23"/>
      <c r="AL12" s="24">
        <f t="shared" si="0"/>
        <v>328064</v>
      </c>
      <c r="AM12" s="25">
        <f t="shared" si="13"/>
        <v>529521</v>
      </c>
      <c r="AN12" s="21"/>
      <c r="AO12" s="22"/>
      <c r="AP12" s="21"/>
      <c r="AQ12" s="22"/>
      <c r="AR12" s="23"/>
      <c r="AS12" s="24">
        <f t="shared" si="1"/>
        <v>529521</v>
      </c>
      <c r="AT12" s="25">
        <f t="shared" si="14"/>
        <v>44014</v>
      </c>
      <c r="AU12" s="21"/>
      <c r="AV12" s="22"/>
      <c r="AW12" s="21"/>
      <c r="AX12" s="22"/>
      <c r="AY12" s="23"/>
      <c r="AZ12" s="24">
        <f t="shared" si="2"/>
        <v>44014</v>
      </c>
      <c r="BA12" s="25">
        <f t="shared" si="15"/>
        <v>536860</v>
      </c>
      <c r="BB12" s="21"/>
      <c r="BC12" s="22"/>
      <c r="BD12" s="21"/>
      <c r="BE12" s="22"/>
      <c r="BF12" s="23"/>
      <c r="BG12" s="23"/>
      <c r="BH12" s="23"/>
      <c r="BI12" s="23"/>
      <c r="BJ12" s="81">
        <f t="shared" si="16"/>
        <v>536860</v>
      </c>
      <c r="BK12" s="25">
        <f t="shared" si="17"/>
        <v>278400</v>
      </c>
      <c r="BL12" s="21"/>
      <c r="BM12" s="22"/>
      <c r="BN12" s="21"/>
      <c r="BO12" s="22"/>
      <c r="BP12" s="23"/>
      <c r="BQ12" s="86"/>
      <c r="BR12" s="23"/>
      <c r="BS12" s="23"/>
      <c r="BT12" s="81">
        <f t="shared" si="27"/>
        <v>278400</v>
      </c>
      <c r="BU12" s="25">
        <f t="shared" si="18"/>
        <v>508583</v>
      </c>
      <c r="BV12" s="21"/>
      <c r="BW12" s="22"/>
      <c r="BX12" s="21"/>
      <c r="BY12" s="22"/>
      <c r="BZ12" s="23"/>
      <c r="CA12" s="23"/>
      <c r="CB12" s="23"/>
      <c r="CC12" s="23"/>
      <c r="CD12" s="81">
        <f t="shared" si="19"/>
        <v>508583</v>
      </c>
      <c r="CE12" s="25">
        <f t="shared" si="20"/>
        <v>510730</v>
      </c>
      <c r="CF12" s="21"/>
      <c r="CG12" s="22"/>
      <c r="CH12" s="21"/>
      <c r="CI12" s="22"/>
      <c r="CJ12" s="23"/>
      <c r="CK12" s="23"/>
      <c r="CL12" s="23"/>
      <c r="CM12" s="23"/>
      <c r="CN12" s="81">
        <f t="shared" si="21"/>
        <v>510730</v>
      </c>
      <c r="CO12" s="25">
        <f t="shared" si="22"/>
        <v>26023</v>
      </c>
      <c r="CP12" s="21"/>
      <c r="CQ12" s="22"/>
      <c r="CR12" s="21"/>
      <c r="CS12" s="22"/>
      <c r="CT12" s="23"/>
      <c r="CU12" s="23"/>
      <c r="CV12" s="23"/>
      <c r="CW12" s="23"/>
      <c r="CX12" s="81">
        <f t="shared" si="23"/>
        <v>26023</v>
      </c>
      <c r="CY12" s="25">
        <f t="shared" si="24"/>
        <v>1164563</v>
      </c>
      <c r="CZ12" s="21"/>
      <c r="DA12" s="22"/>
      <c r="DB12" s="21"/>
      <c r="DC12" s="22"/>
      <c r="DD12" s="23"/>
      <c r="DE12" s="24">
        <f t="shared" si="3"/>
        <v>1164563</v>
      </c>
      <c r="DF12" s="25">
        <f t="shared" si="25"/>
        <v>961820</v>
      </c>
      <c r="DG12" s="21"/>
      <c r="DH12" s="22"/>
      <c r="DI12" s="21"/>
      <c r="DJ12" s="22"/>
      <c r="DK12" s="23"/>
      <c r="DL12" s="24">
        <f t="shared" si="4"/>
        <v>961820</v>
      </c>
      <c r="DM12" s="25">
        <f t="shared" si="26"/>
        <v>32951</v>
      </c>
      <c r="DN12" s="21"/>
      <c r="DO12" s="22"/>
      <c r="DP12" s="21"/>
      <c r="DQ12" s="22"/>
      <c r="DR12" s="23"/>
      <c r="DS12" s="24">
        <f t="shared" si="5"/>
        <v>32951</v>
      </c>
    </row>
    <row r="13" spans="1:123" ht="20" customHeight="1" x14ac:dyDescent="0.2">
      <c r="A13" s="20" t="s">
        <v>144</v>
      </c>
      <c r="B13" s="25">
        <f t="shared" si="6"/>
        <v>2506149</v>
      </c>
      <c r="C13" s="21"/>
      <c r="D13" s="22"/>
      <c r="E13" s="21"/>
      <c r="F13" s="22"/>
      <c r="G13" s="23"/>
      <c r="H13" s="23"/>
      <c r="I13" s="23"/>
      <c r="J13" s="23"/>
      <c r="K13" s="81">
        <f t="shared" si="7"/>
        <v>2506149</v>
      </c>
      <c r="L13" s="25">
        <f t="shared" si="8"/>
        <v>2577692</v>
      </c>
      <c r="M13" s="21"/>
      <c r="N13" s="22"/>
      <c r="O13" s="21"/>
      <c r="P13" s="22"/>
      <c r="Q13" s="23"/>
      <c r="R13" s="23"/>
      <c r="S13" s="23"/>
      <c r="T13" s="23"/>
      <c r="U13" s="81">
        <f t="shared" si="9"/>
        <v>2577692</v>
      </c>
      <c r="V13" s="25">
        <f t="shared" si="10"/>
        <v>2443036</v>
      </c>
      <c r="W13" s="21"/>
      <c r="X13" s="22"/>
      <c r="Y13" s="21"/>
      <c r="Z13" s="22"/>
      <c r="AA13" s="23"/>
      <c r="AB13" s="23"/>
      <c r="AC13" s="23"/>
      <c r="AD13" s="23"/>
      <c r="AE13" s="81">
        <f t="shared" si="11"/>
        <v>2443036</v>
      </c>
      <c r="AF13" s="25">
        <f t="shared" si="12"/>
        <v>328064</v>
      </c>
      <c r="AG13" s="21"/>
      <c r="AH13" s="22"/>
      <c r="AI13" s="21"/>
      <c r="AJ13" s="22"/>
      <c r="AK13" s="23"/>
      <c r="AL13" s="24">
        <f t="shared" si="0"/>
        <v>328064</v>
      </c>
      <c r="AM13" s="25">
        <f t="shared" si="13"/>
        <v>529521</v>
      </c>
      <c r="AN13" s="21"/>
      <c r="AO13" s="22"/>
      <c r="AP13" s="21"/>
      <c r="AQ13" s="22"/>
      <c r="AR13" s="23"/>
      <c r="AS13" s="24">
        <f t="shared" si="1"/>
        <v>529521</v>
      </c>
      <c r="AT13" s="25">
        <f t="shared" si="14"/>
        <v>44014</v>
      </c>
      <c r="AU13" s="21"/>
      <c r="AV13" s="22"/>
      <c r="AW13" s="21"/>
      <c r="AX13" s="22"/>
      <c r="AY13" s="23"/>
      <c r="AZ13" s="24">
        <f t="shared" si="2"/>
        <v>44014</v>
      </c>
      <c r="BA13" s="25">
        <f t="shared" si="15"/>
        <v>536860</v>
      </c>
      <c r="BB13" s="21"/>
      <c r="BC13" s="22"/>
      <c r="BD13" s="21"/>
      <c r="BE13" s="22"/>
      <c r="BF13" s="23"/>
      <c r="BG13" s="23"/>
      <c r="BH13" s="23"/>
      <c r="BI13" s="23"/>
      <c r="BJ13" s="81">
        <f t="shared" si="16"/>
        <v>536860</v>
      </c>
      <c r="BK13" s="25">
        <f t="shared" si="17"/>
        <v>278400</v>
      </c>
      <c r="BL13" s="21"/>
      <c r="BM13" s="22"/>
      <c r="BN13" s="21"/>
      <c r="BO13" s="22"/>
      <c r="BP13" s="23"/>
      <c r="BQ13" s="86"/>
      <c r="BR13" s="23"/>
      <c r="BS13" s="23"/>
      <c r="BT13" s="81">
        <f t="shared" si="27"/>
        <v>278400</v>
      </c>
      <c r="BU13" s="25">
        <f t="shared" si="18"/>
        <v>508583</v>
      </c>
      <c r="BV13" s="21"/>
      <c r="BW13" s="22"/>
      <c r="BX13" s="21"/>
      <c r="BY13" s="22"/>
      <c r="BZ13" s="23"/>
      <c r="CA13" s="23"/>
      <c r="CB13" s="23"/>
      <c r="CC13" s="23"/>
      <c r="CD13" s="81">
        <f t="shared" si="19"/>
        <v>508583</v>
      </c>
      <c r="CE13" s="25">
        <f t="shared" si="20"/>
        <v>510730</v>
      </c>
      <c r="CF13" s="21"/>
      <c r="CG13" s="22"/>
      <c r="CH13" s="21"/>
      <c r="CI13" s="22"/>
      <c r="CJ13" s="23"/>
      <c r="CK13" s="23"/>
      <c r="CL13" s="23"/>
      <c r="CM13" s="23"/>
      <c r="CN13" s="81">
        <f t="shared" si="21"/>
        <v>510730</v>
      </c>
      <c r="CO13" s="25">
        <f t="shared" si="22"/>
        <v>26023</v>
      </c>
      <c r="CP13" s="21"/>
      <c r="CQ13" s="22"/>
      <c r="CR13" s="21"/>
      <c r="CS13" s="22"/>
      <c r="CT13" s="23"/>
      <c r="CU13" s="23"/>
      <c r="CV13" s="23"/>
      <c r="CW13" s="23"/>
      <c r="CX13" s="81">
        <f t="shared" si="23"/>
        <v>26023</v>
      </c>
      <c r="CY13" s="25">
        <f t="shared" si="24"/>
        <v>1164563</v>
      </c>
      <c r="CZ13" s="21"/>
      <c r="DA13" s="22"/>
      <c r="DB13" s="21"/>
      <c r="DC13" s="22"/>
      <c r="DD13" s="23"/>
      <c r="DE13" s="24">
        <f t="shared" si="3"/>
        <v>1164563</v>
      </c>
      <c r="DF13" s="25">
        <f t="shared" si="25"/>
        <v>961820</v>
      </c>
      <c r="DG13" s="21"/>
      <c r="DH13" s="22"/>
      <c r="DI13" s="21"/>
      <c r="DJ13" s="22"/>
      <c r="DK13" s="23"/>
      <c r="DL13" s="24">
        <f t="shared" si="4"/>
        <v>961820</v>
      </c>
      <c r="DM13" s="25">
        <f t="shared" si="26"/>
        <v>32951</v>
      </c>
      <c r="DN13" s="21"/>
      <c r="DO13" s="22"/>
      <c r="DP13" s="21"/>
      <c r="DQ13" s="22"/>
      <c r="DR13" s="23"/>
      <c r="DS13" s="24">
        <f t="shared" si="5"/>
        <v>32951</v>
      </c>
    </row>
    <row r="14" spans="1:123" ht="20" customHeight="1" x14ac:dyDescent="0.2">
      <c r="A14" s="19" t="s">
        <v>145</v>
      </c>
      <c r="B14" s="25">
        <f t="shared" si="6"/>
        <v>2506149</v>
      </c>
      <c r="C14" s="21"/>
      <c r="D14" s="22"/>
      <c r="E14" s="21"/>
      <c r="F14" s="22"/>
      <c r="G14" s="23"/>
      <c r="H14" s="23"/>
      <c r="I14" s="23"/>
      <c r="J14" s="23"/>
      <c r="K14" s="81">
        <f t="shared" si="7"/>
        <v>2506149</v>
      </c>
      <c r="L14" s="25">
        <f t="shared" si="8"/>
        <v>2577692</v>
      </c>
      <c r="M14" s="21"/>
      <c r="N14" s="22"/>
      <c r="O14" s="21"/>
      <c r="P14" s="22"/>
      <c r="Q14" s="23"/>
      <c r="R14" s="23"/>
      <c r="S14" s="23"/>
      <c r="T14" s="23"/>
      <c r="U14" s="81">
        <f t="shared" si="9"/>
        <v>2577692</v>
      </c>
      <c r="V14" s="25">
        <f t="shared" si="10"/>
        <v>2443036</v>
      </c>
      <c r="W14" s="21"/>
      <c r="X14" s="22"/>
      <c r="Y14" s="21"/>
      <c r="Z14" s="22"/>
      <c r="AA14" s="23"/>
      <c r="AB14" s="23"/>
      <c r="AC14" s="23"/>
      <c r="AD14" s="23"/>
      <c r="AE14" s="81">
        <f t="shared" si="11"/>
        <v>2443036</v>
      </c>
      <c r="AF14" s="25">
        <f t="shared" si="12"/>
        <v>328064</v>
      </c>
      <c r="AG14" s="21"/>
      <c r="AH14" s="22"/>
      <c r="AI14" s="21"/>
      <c r="AJ14" s="22"/>
      <c r="AK14" s="23"/>
      <c r="AL14" s="24">
        <f t="shared" si="0"/>
        <v>328064</v>
      </c>
      <c r="AM14" s="25">
        <f t="shared" si="13"/>
        <v>529521</v>
      </c>
      <c r="AN14" s="21"/>
      <c r="AO14" s="22"/>
      <c r="AP14" s="21"/>
      <c r="AQ14" s="22"/>
      <c r="AR14" s="23"/>
      <c r="AS14" s="24">
        <f t="shared" si="1"/>
        <v>529521</v>
      </c>
      <c r="AT14" s="25">
        <f t="shared" si="14"/>
        <v>44014</v>
      </c>
      <c r="AU14" s="21"/>
      <c r="AV14" s="22"/>
      <c r="AW14" s="21"/>
      <c r="AX14" s="22"/>
      <c r="AY14" s="23"/>
      <c r="AZ14" s="24">
        <f t="shared" si="2"/>
        <v>44014</v>
      </c>
      <c r="BA14" s="25">
        <f t="shared" si="15"/>
        <v>536860</v>
      </c>
      <c r="BB14" s="21"/>
      <c r="BC14" s="22"/>
      <c r="BD14" s="21"/>
      <c r="BE14" s="22"/>
      <c r="BF14" s="23"/>
      <c r="BG14" s="23"/>
      <c r="BH14" s="23"/>
      <c r="BI14" s="23"/>
      <c r="BJ14" s="81">
        <f t="shared" si="16"/>
        <v>536860</v>
      </c>
      <c r="BK14" s="25">
        <f t="shared" si="17"/>
        <v>278400</v>
      </c>
      <c r="BL14" s="21"/>
      <c r="BM14" s="22"/>
      <c r="BN14" s="21"/>
      <c r="BO14" s="22"/>
      <c r="BP14" s="23"/>
      <c r="BQ14" s="86"/>
      <c r="BR14" s="23"/>
      <c r="BS14" s="23"/>
      <c r="BT14" s="81">
        <f t="shared" si="27"/>
        <v>278400</v>
      </c>
      <c r="BU14" s="25">
        <f t="shared" si="18"/>
        <v>508583</v>
      </c>
      <c r="BV14" s="21"/>
      <c r="BW14" s="22"/>
      <c r="BX14" s="21"/>
      <c r="BY14" s="22"/>
      <c r="BZ14" s="23"/>
      <c r="CA14" s="23"/>
      <c r="CB14" s="23"/>
      <c r="CC14" s="23"/>
      <c r="CD14" s="81">
        <f t="shared" si="19"/>
        <v>508583</v>
      </c>
      <c r="CE14" s="25">
        <f t="shared" si="20"/>
        <v>510730</v>
      </c>
      <c r="CF14" s="21"/>
      <c r="CG14" s="22"/>
      <c r="CH14" s="21"/>
      <c r="CI14" s="22"/>
      <c r="CJ14" s="23"/>
      <c r="CK14" s="23"/>
      <c r="CL14" s="23"/>
      <c r="CM14" s="23"/>
      <c r="CN14" s="81">
        <f t="shared" si="21"/>
        <v>510730</v>
      </c>
      <c r="CO14" s="25">
        <f t="shared" si="22"/>
        <v>26023</v>
      </c>
      <c r="CP14" s="21"/>
      <c r="CQ14" s="22"/>
      <c r="CR14" s="21"/>
      <c r="CS14" s="22"/>
      <c r="CT14" s="23"/>
      <c r="CU14" s="23"/>
      <c r="CV14" s="23"/>
      <c r="CW14" s="23"/>
      <c r="CX14" s="81">
        <f t="shared" si="23"/>
        <v>26023</v>
      </c>
      <c r="CY14" s="25">
        <f t="shared" si="24"/>
        <v>1164563</v>
      </c>
      <c r="CZ14" s="21"/>
      <c r="DA14" s="22"/>
      <c r="DB14" s="21"/>
      <c r="DC14" s="22"/>
      <c r="DD14" s="23"/>
      <c r="DE14" s="24">
        <f t="shared" si="3"/>
        <v>1164563</v>
      </c>
      <c r="DF14" s="25">
        <f t="shared" si="25"/>
        <v>961820</v>
      </c>
      <c r="DG14" s="21"/>
      <c r="DH14" s="22"/>
      <c r="DI14" s="21"/>
      <c r="DJ14" s="22"/>
      <c r="DK14" s="23"/>
      <c r="DL14" s="24">
        <f t="shared" si="4"/>
        <v>961820</v>
      </c>
      <c r="DM14" s="25">
        <f t="shared" si="26"/>
        <v>32951</v>
      </c>
      <c r="DN14" s="21"/>
      <c r="DO14" s="22"/>
      <c r="DP14" s="21"/>
      <c r="DQ14" s="22"/>
      <c r="DR14" s="23"/>
      <c r="DS14" s="24">
        <f t="shared" si="5"/>
        <v>32951</v>
      </c>
    </row>
    <row r="15" spans="1:123" ht="20" customHeight="1" x14ac:dyDescent="0.2">
      <c r="A15" s="20" t="s">
        <v>146</v>
      </c>
      <c r="B15" s="25">
        <f t="shared" si="6"/>
        <v>2506149</v>
      </c>
      <c r="C15" s="21"/>
      <c r="D15" s="22"/>
      <c r="E15" s="21"/>
      <c r="F15" s="22"/>
      <c r="G15" s="23"/>
      <c r="H15" s="23"/>
      <c r="I15" s="23"/>
      <c r="J15" s="23"/>
      <c r="K15" s="81">
        <f t="shared" si="7"/>
        <v>2506149</v>
      </c>
      <c r="L15" s="25">
        <f t="shared" si="8"/>
        <v>2577692</v>
      </c>
      <c r="M15" s="21"/>
      <c r="N15" s="22"/>
      <c r="O15" s="21"/>
      <c r="P15" s="22"/>
      <c r="Q15" s="23"/>
      <c r="R15" s="23"/>
      <c r="S15" s="23"/>
      <c r="T15" s="23"/>
      <c r="U15" s="81">
        <f t="shared" si="9"/>
        <v>2577692</v>
      </c>
      <c r="V15" s="25">
        <f t="shared" si="10"/>
        <v>2443036</v>
      </c>
      <c r="W15" s="21"/>
      <c r="X15" s="22"/>
      <c r="Y15" s="21"/>
      <c r="Z15" s="22"/>
      <c r="AA15" s="23"/>
      <c r="AB15" s="23"/>
      <c r="AC15" s="23"/>
      <c r="AD15" s="23"/>
      <c r="AE15" s="81">
        <f t="shared" si="11"/>
        <v>2443036</v>
      </c>
      <c r="AF15" s="25">
        <f t="shared" si="12"/>
        <v>328064</v>
      </c>
      <c r="AG15" s="21"/>
      <c r="AH15" s="22"/>
      <c r="AI15" s="21"/>
      <c r="AJ15" s="22"/>
      <c r="AK15" s="23"/>
      <c r="AL15" s="24">
        <f t="shared" si="0"/>
        <v>328064</v>
      </c>
      <c r="AM15" s="25">
        <f t="shared" si="13"/>
        <v>529521</v>
      </c>
      <c r="AN15" s="21"/>
      <c r="AO15" s="22"/>
      <c r="AP15" s="21"/>
      <c r="AQ15" s="22"/>
      <c r="AR15" s="23"/>
      <c r="AS15" s="24">
        <f t="shared" si="1"/>
        <v>529521</v>
      </c>
      <c r="AT15" s="25">
        <f t="shared" si="14"/>
        <v>44014</v>
      </c>
      <c r="AU15" s="21"/>
      <c r="AV15" s="22"/>
      <c r="AW15" s="21"/>
      <c r="AX15" s="22"/>
      <c r="AY15" s="23"/>
      <c r="AZ15" s="24">
        <f t="shared" si="2"/>
        <v>44014</v>
      </c>
      <c r="BA15" s="25">
        <f t="shared" si="15"/>
        <v>536860</v>
      </c>
      <c r="BB15" s="21"/>
      <c r="BC15" s="22"/>
      <c r="BD15" s="21"/>
      <c r="BE15" s="22"/>
      <c r="BF15" s="23"/>
      <c r="BG15" s="23"/>
      <c r="BH15" s="23"/>
      <c r="BI15" s="23"/>
      <c r="BJ15" s="81">
        <f t="shared" si="16"/>
        <v>536860</v>
      </c>
      <c r="BK15" s="25">
        <f t="shared" si="17"/>
        <v>278400</v>
      </c>
      <c r="BL15" s="21"/>
      <c r="BM15" s="22"/>
      <c r="BN15" s="21"/>
      <c r="BO15" s="22"/>
      <c r="BP15" s="23"/>
      <c r="BQ15" s="86"/>
      <c r="BR15" s="23"/>
      <c r="BS15" s="23"/>
      <c r="BT15" s="81">
        <f t="shared" si="27"/>
        <v>278400</v>
      </c>
      <c r="BU15" s="25">
        <f t="shared" si="18"/>
        <v>508583</v>
      </c>
      <c r="BV15" s="21"/>
      <c r="BW15" s="22"/>
      <c r="BX15" s="21"/>
      <c r="BY15" s="22"/>
      <c r="BZ15" s="23"/>
      <c r="CA15" s="23"/>
      <c r="CB15" s="23"/>
      <c r="CC15" s="23"/>
      <c r="CD15" s="81">
        <f t="shared" si="19"/>
        <v>508583</v>
      </c>
      <c r="CE15" s="25">
        <f t="shared" si="20"/>
        <v>510730</v>
      </c>
      <c r="CF15" s="21"/>
      <c r="CG15" s="22"/>
      <c r="CH15" s="21"/>
      <c r="CI15" s="22"/>
      <c r="CJ15" s="23"/>
      <c r="CK15" s="23"/>
      <c r="CL15" s="23"/>
      <c r="CM15" s="23"/>
      <c r="CN15" s="81">
        <f t="shared" si="21"/>
        <v>510730</v>
      </c>
      <c r="CO15" s="25">
        <f t="shared" si="22"/>
        <v>26023</v>
      </c>
      <c r="CP15" s="21"/>
      <c r="CQ15" s="22"/>
      <c r="CR15" s="21"/>
      <c r="CS15" s="22"/>
      <c r="CT15" s="23"/>
      <c r="CU15" s="23"/>
      <c r="CV15" s="23"/>
      <c r="CW15" s="23"/>
      <c r="CX15" s="81">
        <f t="shared" si="23"/>
        <v>26023</v>
      </c>
      <c r="CY15" s="25">
        <f t="shared" si="24"/>
        <v>1164563</v>
      </c>
      <c r="CZ15" s="21"/>
      <c r="DA15" s="22"/>
      <c r="DB15" s="21"/>
      <c r="DC15" s="22"/>
      <c r="DD15" s="23"/>
      <c r="DE15" s="24">
        <f t="shared" si="3"/>
        <v>1164563</v>
      </c>
      <c r="DF15" s="25">
        <f t="shared" si="25"/>
        <v>961820</v>
      </c>
      <c r="DG15" s="21"/>
      <c r="DH15" s="22"/>
      <c r="DI15" s="21"/>
      <c r="DJ15" s="22"/>
      <c r="DK15" s="23"/>
      <c r="DL15" s="24">
        <f t="shared" si="4"/>
        <v>961820</v>
      </c>
      <c r="DM15" s="25">
        <f t="shared" si="26"/>
        <v>32951</v>
      </c>
      <c r="DN15" s="21"/>
      <c r="DO15" s="22"/>
      <c r="DP15" s="21"/>
      <c r="DQ15" s="22"/>
      <c r="DR15" s="23"/>
      <c r="DS15" s="24">
        <f t="shared" si="5"/>
        <v>32951</v>
      </c>
    </row>
    <row r="16" spans="1:123" ht="20" customHeight="1" x14ac:dyDescent="0.2">
      <c r="A16" s="19" t="s">
        <v>147</v>
      </c>
      <c r="B16" s="25">
        <f t="shared" si="6"/>
        <v>2506149</v>
      </c>
      <c r="C16" s="21"/>
      <c r="D16" s="22"/>
      <c r="E16" s="21"/>
      <c r="F16" s="22"/>
      <c r="G16" s="23"/>
      <c r="H16" s="23"/>
      <c r="I16" s="23"/>
      <c r="J16" s="23"/>
      <c r="K16" s="81">
        <f t="shared" si="7"/>
        <v>2506149</v>
      </c>
      <c r="L16" s="25">
        <f t="shared" si="8"/>
        <v>2577692</v>
      </c>
      <c r="M16" s="21"/>
      <c r="N16" s="22"/>
      <c r="O16" s="21"/>
      <c r="P16" s="22"/>
      <c r="Q16" s="23"/>
      <c r="R16" s="23"/>
      <c r="S16" s="23"/>
      <c r="T16" s="23"/>
      <c r="U16" s="81">
        <f t="shared" si="9"/>
        <v>2577692</v>
      </c>
      <c r="V16" s="25">
        <f t="shared" si="10"/>
        <v>2443036</v>
      </c>
      <c r="W16" s="21"/>
      <c r="X16" s="22"/>
      <c r="Y16" s="21"/>
      <c r="Z16" s="22"/>
      <c r="AA16" s="23"/>
      <c r="AB16" s="23"/>
      <c r="AC16" s="23"/>
      <c r="AD16" s="23"/>
      <c r="AE16" s="81">
        <f t="shared" si="11"/>
        <v>2443036</v>
      </c>
      <c r="AF16" s="25">
        <f t="shared" si="12"/>
        <v>328064</v>
      </c>
      <c r="AG16" s="21"/>
      <c r="AH16" s="22"/>
      <c r="AI16" s="21"/>
      <c r="AJ16" s="22"/>
      <c r="AK16" s="23"/>
      <c r="AL16" s="24">
        <f t="shared" si="0"/>
        <v>328064</v>
      </c>
      <c r="AM16" s="25">
        <f t="shared" si="13"/>
        <v>529521</v>
      </c>
      <c r="AN16" s="21"/>
      <c r="AO16" s="22"/>
      <c r="AP16" s="21"/>
      <c r="AQ16" s="22"/>
      <c r="AR16" s="23"/>
      <c r="AS16" s="24">
        <f t="shared" si="1"/>
        <v>529521</v>
      </c>
      <c r="AT16" s="25">
        <f t="shared" si="14"/>
        <v>44014</v>
      </c>
      <c r="AU16" s="21"/>
      <c r="AV16" s="22"/>
      <c r="AW16" s="21"/>
      <c r="AX16" s="22"/>
      <c r="AY16" s="23"/>
      <c r="AZ16" s="24">
        <f t="shared" si="2"/>
        <v>44014</v>
      </c>
      <c r="BA16" s="25">
        <f t="shared" si="15"/>
        <v>536860</v>
      </c>
      <c r="BB16" s="21"/>
      <c r="BC16" s="22"/>
      <c r="BD16" s="21"/>
      <c r="BE16" s="22"/>
      <c r="BF16" s="23"/>
      <c r="BG16" s="23"/>
      <c r="BH16" s="23"/>
      <c r="BI16" s="23"/>
      <c r="BJ16" s="81">
        <f t="shared" si="16"/>
        <v>536860</v>
      </c>
      <c r="BK16" s="25">
        <f t="shared" si="17"/>
        <v>278400</v>
      </c>
      <c r="BL16" s="21"/>
      <c r="BM16" s="22"/>
      <c r="BN16" s="21"/>
      <c r="BO16" s="22"/>
      <c r="BP16" s="23"/>
      <c r="BQ16" s="86"/>
      <c r="BR16" s="23"/>
      <c r="BS16" s="23"/>
      <c r="BT16" s="81">
        <f t="shared" si="27"/>
        <v>278400</v>
      </c>
      <c r="BU16" s="25">
        <f t="shared" si="18"/>
        <v>508583</v>
      </c>
      <c r="BV16" s="21"/>
      <c r="BW16" s="22"/>
      <c r="BX16" s="21"/>
      <c r="BY16" s="22"/>
      <c r="BZ16" s="23"/>
      <c r="CA16" s="23"/>
      <c r="CB16" s="23"/>
      <c r="CC16" s="23"/>
      <c r="CD16" s="81">
        <f t="shared" si="19"/>
        <v>508583</v>
      </c>
      <c r="CE16" s="25">
        <f t="shared" si="20"/>
        <v>510730</v>
      </c>
      <c r="CF16" s="21"/>
      <c r="CG16" s="22"/>
      <c r="CH16" s="21"/>
      <c r="CI16" s="22"/>
      <c r="CJ16" s="23"/>
      <c r="CK16" s="23"/>
      <c r="CL16" s="23"/>
      <c r="CM16" s="23"/>
      <c r="CN16" s="81">
        <f t="shared" si="21"/>
        <v>510730</v>
      </c>
      <c r="CO16" s="25">
        <f t="shared" si="22"/>
        <v>26023</v>
      </c>
      <c r="CP16" s="21"/>
      <c r="CQ16" s="22"/>
      <c r="CR16" s="21"/>
      <c r="CS16" s="22"/>
      <c r="CT16" s="23"/>
      <c r="CU16" s="23"/>
      <c r="CV16" s="23"/>
      <c r="CW16" s="23"/>
      <c r="CX16" s="81">
        <f t="shared" si="23"/>
        <v>26023</v>
      </c>
      <c r="CY16" s="25">
        <f t="shared" si="24"/>
        <v>1164563</v>
      </c>
      <c r="CZ16" s="21"/>
      <c r="DA16" s="22"/>
      <c r="DB16" s="21"/>
      <c r="DC16" s="22"/>
      <c r="DD16" s="23"/>
      <c r="DE16" s="24">
        <f t="shared" si="3"/>
        <v>1164563</v>
      </c>
      <c r="DF16" s="25">
        <f t="shared" si="25"/>
        <v>961820</v>
      </c>
      <c r="DG16" s="21"/>
      <c r="DH16" s="22"/>
      <c r="DI16" s="21"/>
      <c r="DJ16" s="22"/>
      <c r="DK16" s="23"/>
      <c r="DL16" s="24">
        <f t="shared" si="4"/>
        <v>961820</v>
      </c>
      <c r="DM16" s="25">
        <f t="shared" si="26"/>
        <v>32951</v>
      </c>
      <c r="DN16" s="21"/>
      <c r="DO16" s="22"/>
      <c r="DP16" s="21"/>
      <c r="DQ16" s="22"/>
      <c r="DR16" s="23"/>
      <c r="DS16" s="24">
        <f t="shared" si="5"/>
        <v>32951</v>
      </c>
    </row>
    <row r="17" spans="1:123" ht="20" customHeight="1" x14ac:dyDescent="0.2">
      <c r="A17" s="20" t="s">
        <v>148</v>
      </c>
      <c r="B17" s="25">
        <f t="shared" si="6"/>
        <v>2506149</v>
      </c>
      <c r="C17" s="21"/>
      <c r="D17" s="22"/>
      <c r="E17" s="21"/>
      <c r="F17" s="22"/>
      <c r="G17" s="23"/>
      <c r="H17" s="23"/>
      <c r="I17" s="23"/>
      <c r="J17" s="23"/>
      <c r="K17" s="81">
        <f t="shared" si="7"/>
        <v>2506149</v>
      </c>
      <c r="L17" s="25">
        <f t="shared" si="8"/>
        <v>2577692</v>
      </c>
      <c r="M17" s="21"/>
      <c r="N17" s="22"/>
      <c r="O17" s="21"/>
      <c r="P17" s="22"/>
      <c r="Q17" s="23"/>
      <c r="R17" s="23"/>
      <c r="S17" s="23"/>
      <c r="T17" s="23"/>
      <c r="U17" s="81">
        <f t="shared" si="9"/>
        <v>2577692</v>
      </c>
      <c r="V17" s="25">
        <f t="shared" si="10"/>
        <v>2443036</v>
      </c>
      <c r="W17" s="21"/>
      <c r="X17" s="22"/>
      <c r="Y17" s="21"/>
      <c r="Z17" s="22"/>
      <c r="AA17" s="23"/>
      <c r="AB17" s="23"/>
      <c r="AC17" s="23"/>
      <c r="AD17" s="23"/>
      <c r="AE17" s="81">
        <f t="shared" si="11"/>
        <v>2443036</v>
      </c>
      <c r="AF17" s="25">
        <f t="shared" si="12"/>
        <v>328064</v>
      </c>
      <c r="AG17" s="21"/>
      <c r="AH17" s="22"/>
      <c r="AI17" s="21"/>
      <c r="AJ17" s="22"/>
      <c r="AK17" s="23"/>
      <c r="AL17" s="24">
        <f t="shared" si="0"/>
        <v>328064</v>
      </c>
      <c r="AM17" s="25">
        <f t="shared" si="13"/>
        <v>529521</v>
      </c>
      <c r="AN17" s="21"/>
      <c r="AO17" s="22"/>
      <c r="AP17" s="21"/>
      <c r="AQ17" s="22"/>
      <c r="AR17" s="23"/>
      <c r="AS17" s="24">
        <f t="shared" si="1"/>
        <v>529521</v>
      </c>
      <c r="AT17" s="25">
        <f t="shared" si="14"/>
        <v>44014</v>
      </c>
      <c r="AU17" s="21"/>
      <c r="AV17" s="22"/>
      <c r="AW17" s="21"/>
      <c r="AX17" s="22"/>
      <c r="AY17" s="23"/>
      <c r="AZ17" s="24">
        <f t="shared" si="2"/>
        <v>44014</v>
      </c>
      <c r="BA17" s="25">
        <f t="shared" si="15"/>
        <v>536860</v>
      </c>
      <c r="BB17" s="21"/>
      <c r="BC17" s="22"/>
      <c r="BD17" s="21"/>
      <c r="BE17" s="22"/>
      <c r="BF17" s="23"/>
      <c r="BG17" s="23"/>
      <c r="BH17" s="23"/>
      <c r="BI17" s="23"/>
      <c r="BJ17" s="81">
        <f t="shared" si="16"/>
        <v>536860</v>
      </c>
      <c r="BK17" s="25">
        <f t="shared" si="17"/>
        <v>278400</v>
      </c>
      <c r="BL17" s="21"/>
      <c r="BM17" s="22"/>
      <c r="BN17" s="21"/>
      <c r="BO17" s="22"/>
      <c r="BP17" s="23"/>
      <c r="BQ17" s="86"/>
      <c r="BR17" s="23"/>
      <c r="BS17" s="23"/>
      <c r="BT17" s="81">
        <f t="shared" si="27"/>
        <v>278400</v>
      </c>
      <c r="BU17" s="25">
        <f t="shared" si="18"/>
        <v>508583</v>
      </c>
      <c r="BV17" s="21"/>
      <c r="BW17" s="22"/>
      <c r="BX17" s="21"/>
      <c r="BY17" s="22"/>
      <c r="BZ17" s="23"/>
      <c r="CA17" s="23"/>
      <c r="CB17" s="23"/>
      <c r="CC17" s="23"/>
      <c r="CD17" s="81">
        <f t="shared" si="19"/>
        <v>508583</v>
      </c>
      <c r="CE17" s="25">
        <f t="shared" si="20"/>
        <v>510730</v>
      </c>
      <c r="CF17" s="21"/>
      <c r="CG17" s="22"/>
      <c r="CH17" s="21"/>
      <c r="CI17" s="22"/>
      <c r="CJ17" s="23"/>
      <c r="CK17" s="23"/>
      <c r="CL17" s="23"/>
      <c r="CM17" s="23"/>
      <c r="CN17" s="81">
        <f t="shared" si="21"/>
        <v>510730</v>
      </c>
      <c r="CO17" s="25">
        <f t="shared" si="22"/>
        <v>26023</v>
      </c>
      <c r="CP17" s="21"/>
      <c r="CQ17" s="22"/>
      <c r="CR17" s="21"/>
      <c r="CS17" s="22"/>
      <c r="CT17" s="23"/>
      <c r="CU17" s="23"/>
      <c r="CV17" s="23"/>
      <c r="CW17" s="23"/>
      <c r="CX17" s="81">
        <f t="shared" si="23"/>
        <v>26023</v>
      </c>
      <c r="CY17" s="25">
        <f t="shared" si="24"/>
        <v>1164563</v>
      </c>
      <c r="CZ17" s="21"/>
      <c r="DA17" s="22"/>
      <c r="DB17" s="21"/>
      <c r="DC17" s="22"/>
      <c r="DD17" s="23"/>
      <c r="DE17" s="24">
        <f t="shared" si="3"/>
        <v>1164563</v>
      </c>
      <c r="DF17" s="25">
        <f t="shared" si="25"/>
        <v>961820</v>
      </c>
      <c r="DG17" s="21"/>
      <c r="DH17" s="22"/>
      <c r="DI17" s="21"/>
      <c r="DJ17" s="22"/>
      <c r="DK17" s="23"/>
      <c r="DL17" s="24">
        <f t="shared" si="4"/>
        <v>961820</v>
      </c>
      <c r="DM17" s="25">
        <f t="shared" si="26"/>
        <v>32951</v>
      </c>
      <c r="DN17" s="21"/>
      <c r="DO17" s="22"/>
      <c r="DP17" s="21"/>
      <c r="DQ17" s="22"/>
      <c r="DR17" s="23"/>
      <c r="DS17" s="24">
        <f t="shared" si="5"/>
        <v>32951</v>
      </c>
    </row>
    <row r="18" spans="1:123" ht="20" customHeight="1" x14ac:dyDescent="0.2">
      <c r="A18" s="18" t="s">
        <v>149</v>
      </c>
      <c r="B18" s="25">
        <f t="shared" si="6"/>
        <v>2506149</v>
      </c>
      <c r="C18" s="21"/>
      <c r="D18" s="22"/>
      <c r="E18" s="21"/>
      <c r="F18" s="22"/>
      <c r="G18" s="23"/>
      <c r="H18" s="23"/>
      <c r="I18" s="23"/>
      <c r="J18" s="23"/>
      <c r="K18" s="81">
        <f t="shared" si="7"/>
        <v>2506149</v>
      </c>
      <c r="L18" s="25">
        <f t="shared" si="8"/>
        <v>2577692</v>
      </c>
      <c r="M18" s="21"/>
      <c r="N18" s="22"/>
      <c r="O18" s="21"/>
      <c r="P18" s="22"/>
      <c r="Q18" s="23"/>
      <c r="R18" s="23"/>
      <c r="S18" s="23"/>
      <c r="T18" s="23"/>
      <c r="U18" s="81">
        <f t="shared" si="9"/>
        <v>2577692</v>
      </c>
      <c r="V18" s="25">
        <f t="shared" si="10"/>
        <v>2443036</v>
      </c>
      <c r="W18" s="21"/>
      <c r="X18" s="22"/>
      <c r="Y18" s="21"/>
      <c r="Z18" s="22"/>
      <c r="AA18" s="23"/>
      <c r="AB18" s="23"/>
      <c r="AC18" s="23"/>
      <c r="AD18" s="23"/>
      <c r="AE18" s="81">
        <f t="shared" si="11"/>
        <v>2443036</v>
      </c>
      <c r="AF18" s="25">
        <f t="shared" si="12"/>
        <v>328064</v>
      </c>
      <c r="AG18" s="21"/>
      <c r="AH18" s="22"/>
      <c r="AI18" s="21"/>
      <c r="AJ18" s="22"/>
      <c r="AK18" s="23"/>
      <c r="AL18" s="24">
        <f t="shared" si="0"/>
        <v>328064</v>
      </c>
      <c r="AM18" s="25">
        <f t="shared" si="13"/>
        <v>529521</v>
      </c>
      <c r="AN18" s="21"/>
      <c r="AO18" s="22"/>
      <c r="AP18" s="21"/>
      <c r="AQ18" s="22"/>
      <c r="AR18" s="23"/>
      <c r="AS18" s="24">
        <f t="shared" si="1"/>
        <v>529521</v>
      </c>
      <c r="AT18" s="25">
        <f t="shared" si="14"/>
        <v>44014</v>
      </c>
      <c r="AU18" s="21"/>
      <c r="AV18" s="22"/>
      <c r="AW18" s="21"/>
      <c r="AX18" s="22"/>
      <c r="AY18" s="23"/>
      <c r="AZ18" s="24">
        <f t="shared" si="2"/>
        <v>44014</v>
      </c>
      <c r="BA18" s="25">
        <f t="shared" si="15"/>
        <v>536860</v>
      </c>
      <c r="BB18" s="21"/>
      <c r="BC18" s="22"/>
      <c r="BD18" s="21"/>
      <c r="BE18" s="22"/>
      <c r="BF18" s="23"/>
      <c r="BG18" s="23"/>
      <c r="BH18" s="23"/>
      <c r="BI18" s="23"/>
      <c r="BJ18" s="81">
        <f t="shared" si="16"/>
        <v>536860</v>
      </c>
      <c r="BK18" s="25">
        <f t="shared" si="17"/>
        <v>278400</v>
      </c>
      <c r="BL18" s="21"/>
      <c r="BM18" s="22"/>
      <c r="BN18" s="21"/>
      <c r="BO18" s="22"/>
      <c r="BP18" s="23"/>
      <c r="BQ18" s="86"/>
      <c r="BR18" s="23"/>
      <c r="BS18" s="23"/>
      <c r="BT18" s="81">
        <f t="shared" si="27"/>
        <v>278400</v>
      </c>
      <c r="BU18" s="25">
        <f t="shared" si="18"/>
        <v>508583</v>
      </c>
      <c r="BV18" s="21"/>
      <c r="BW18" s="22"/>
      <c r="BX18" s="21"/>
      <c r="BY18" s="22"/>
      <c r="BZ18" s="23"/>
      <c r="CA18" s="23"/>
      <c r="CB18" s="23"/>
      <c r="CC18" s="23"/>
      <c r="CD18" s="81">
        <f t="shared" si="19"/>
        <v>508583</v>
      </c>
      <c r="CE18" s="25">
        <f t="shared" si="20"/>
        <v>510730</v>
      </c>
      <c r="CF18" s="21"/>
      <c r="CG18" s="22"/>
      <c r="CH18" s="21"/>
      <c r="CI18" s="22"/>
      <c r="CJ18" s="23"/>
      <c r="CK18" s="23"/>
      <c r="CL18" s="23"/>
      <c r="CM18" s="23"/>
      <c r="CN18" s="81">
        <f t="shared" si="21"/>
        <v>510730</v>
      </c>
      <c r="CO18" s="25">
        <f t="shared" si="22"/>
        <v>26023</v>
      </c>
      <c r="CP18" s="21"/>
      <c r="CQ18" s="22"/>
      <c r="CR18" s="21"/>
      <c r="CS18" s="22"/>
      <c r="CT18" s="23"/>
      <c r="CU18" s="23"/>
      <c r="CV18" s="23"/>
      <c r="CW18" s="23"/>
      <c r="CX18" s="81">
        <f t="shared" si="23"/>
        <v>26023</v>
      </c>
      <c r="CY18" s="25">
        <f t="shared" si="24"/>
        <v>1164563</v>
      </c>
      <c r="CZ18" s="21"/>
      <c r="DA18" s="22"/>
      <c r="DB18" s="21"/>
      <c r="DC18" s="22"/>
      <c r="DD18" s="23"/>
      <c r="DE18" s="24">
        <f t="shared" si="3"/>
        <v>1164563</v>
      </c>
      <c r="DF18" s="25">
        <f t="shared" si="25"/>
        <v>961820</v>
      </c>
      <c r="DG18" s="21"/>
      <c r="DH18" s="22"/>
      <c r="DI18" s="21"/>
      <c r="DJ18" s="22"/>
      <c r="DK18" s="23"/>
      <c r="DL18" s="24">
        <f t="shared" si="4"/>
        <v>961820</v>
      </c>
      <c r="DM18" s="25">
        <f t="shared" si="26"/>
        <v>32951</v>
      </c>
      <c r="DN18" s="21"/>
      <c r="DO18" s="22"/>
      <c r="DP18" s="21"/>
      <c r="DQ18" s="22"/>
      <c r="DR18" s="23"/>
      <c r="DS18" s="24">
        <f t="shared" si="5"/>
        <v>32951</v>
      </c>
    </row>
    <row r="19" spans="1:123" ht="20" customHeight="1" x14ac:dyDescent="0.2">
      <c r="A19" s="18" t="s">
        <v>150</v>
      </c>
      <c r="B19" s="25">
        <f t="shared" si="6"/>
        <v>2506149</v>
      </c>
      <c r="C19" s="21"/>
      <c r="D19" s="22"/>
      <c r="E19" s="21"/>
      <c r="F19" s="22"/>
      <c r="G19" s="23"/>
      <c r="H19" s="23"/>
      <c r="I19" s="23"/>
      <c r="J19" s="23"/>
      <c r="K19" s="81">
        <f t="shared" si="7"/>
        <v>2506149</v>
      </c>
      <c r="L19" s="25">
        <f t="shared" si="8"/>
        <v>2577692</v>
      </c>
      <c r="M19" s="21"/>
      <c r="N19" s="22"/>
      <c r="O19" s="21"/>
      <c r="P19" s="22"/>
      <c r="Q19" s="23"/>
      <c r="R19" s="23"/>
      <c r="S19" s="23"/>
      <c r="T19" s="23"/>
      <c r="U19" s="81">
        <f t="shared" si="9"/>
        <v>2577692</v>
      </c>
      <c r="V19" s="25">
        <f t="shared" si="10"/>
        <v>2443036</v>
      </c>
      <c r="W19" s="21"/>
      <c r="X19" s="22"/>
      <c r="Y19" s="21"/>
      <c r="Z19" s="22"/>
      <c r="AA19" s="23"/>
      <c r="AB19" s="23"/>
      <c r="AC19" s="23"/>
      <c r="AD19" s="23"/>
      <c r="AE19" s="81">
        <f t="shared" si="11"/>
        <v>2443036</v>
      </c>
      <c r="AF19" s="25">
        <f t="shared" si="12"/>
        <v>328064</v>
      </c>
      <c r="AG19" s="21"/>
      <c r="AH19" s="22"/>
      <c r="AI19" s="21"/>
      <c r="AJ19" s="22"/>
      <c r="AK19" s="23"/>
      <c r="AL19" s="24">
        <f t="shared" si="0"/>
        <v>328064</v>
      </c>
      <c r="AM19" s="25">
        <f t="shared" si="13"/>
        <v>529521</v>
      </c>
      <c r="AN19" s="21"/>
      <c r="AO19" s="22"/>
      <c r="AP19" s="21"/>
      <c r="AQ19" s="22"/>
      <c r="AR19" s="23"/>
      <c r="AS19" s="24">
        <f t="shared" si="1"/>
        <v>529521</v>
      </c>
      <c r="AT19" s="25">
        <f t="shared" si="14"/>
        <v>44014</v>
      </c>
      <c r="AU19" s="21"/>
      <c r="AV19" s="22"/>
      <c r="AW19" s="21"/>
      <c r="AX19" s="22"/>
      <c r="AY19" s="23"/>
      <c r="AZ19" s="24">
        <f t="shared" si="2"/>
        <v>44014</v>
      </c>
      <c r="BA19" s="25">
        <f t="shared" si="15"/>
        <v>536860</v>
      </c>
      <c r="BB19" s="21"/>
      <c r="BC19" s="22"/>
      <c r="BD19" s="21"/>
      <c r="BE19" s="22"/>
      <c r="BF19" s="23"/>
      <c r="BG19" s="23"/>
      <c r="BH19" s="23"/>
      <c r="BI19" s="23"/>
      <c r="BJ19" s="81">
        <f t="shared" si="16"/>
        <v>536860</v>
      </c>
      <c r="BK19" s="25">
        <f t="shared" si="17"/>
        <v>278400</v>
      </c>
      <c r="BL19" s="21"/>
      <c r="BM19" s="22"/>
      <c r="BN19" s="21"/>
      <c r="BO19" s="22"/>
      <c r="BP19" s="23"/>
      <c r="BQ19" s="86"/>
      <c r="BR19" s="23"/>
      <c r="BS19" s="23"/>
      <c r="BT19" s="81">
        <f t="shared" si="27"/>
        <v>278400</v>
      </c>
      <c r="BU19" s="25">
        <f t="shared" si="18"/>
        <v>508583</v>
      </c>
      <c r="BV19" s="21"/>
      <c r="BW19" s="22"/>
      <c r="BX19" s="21"/>
      <c r="BY19" s="22"/>
      <c r="BZ19" s="23"/>
      <c r="CA19" s="23"/>
      <c r="CB19" s="23"/>
      <c r="CC19" s="23"/>
      <c r="CD19" s="81">
        <f t="shared" si="19"/>
        <v>508583</v>
      </c>
      <c r="CE19" s="25">
        <f t="shared" si="20"/>
        <v>510730</v>
      </c>
      <c r="CF19" s="21"/>
      <c r="CG19" s="22"/>
      <c r="CH19" s="21"/>
      <c r="CI19" s="22"/>
      <c r="CJ19" s="23"/>
      <c r="CK19" s="23"/>
      <c r="CL19" s="23"/>
      <c r="CM19" s="23"/>
      <c r="CN19" s="81">
        <f t="shared" si="21"/>
        <v>510730</v>
      </c>
      <c r="CO19" s="25">
        <f t="shared" si="22"/>
        <v>26023</v>
      </c>
      <c r="CP19" s="21"/>
      <c r="CQ19" s="22"/>
      <c r="CR19" s="21"/>
      <c r="CS19" s="22"/>
      <c r="CT19" s="23"/>
      <c r="CU19" s="23"/>
      <c r="CV19" s="23"/>
      <c r="CW19" s="23"/>
      <c r="CX19" s="81">
        <f t="shared" si="23"/>
        <v>26023</v>
      </c>
      <c r="CY19" s="25">
        <f t="shared" si="24"/>
        <v>1164563</v>
      </c>
      <c r="CZ19" s="21"/>
      <c r="DA19" s="22"/>
      <c r="DB19" s="21"/>
      <c r="DC19" s="22"/>
      <c r="DD19" s="23"/>
      <c r="DE19" s="24">
        <f t="shared" si="3"/>
        <v>1164563</v>
      </c>
      <c r="DF19" s="25">
        <f t="shared" si="25"/>
        <v>961820</v>
      </c>
      <c r="DG19" s="21"/>
      <c r="DH19" s="22"/>
      <c r="DI19" s="21"/>
      <c r="DJ19" s="22"/>
      <c r="DK19" s="23"/>
      <c r="DL19" s="24">
        <f t="shared" si="4"/>
        <v>961820</v>
      </c>
      <c r="DM19" s="25">
        <f t="shared" si="26"/>
        <v>32951</v>
      </c>
      <c r="DN19" s="21"/>
      <c r="DO19" s="22"/>
      <c r="DP19" s="21"/>
      <c r="DQ19" s="22"/>
      <c r="DR19" s="23"/>
      <c r="DS19" s="24">
        <f t="shared" si="5"/>
        <v>32951</v>
      </c>
    </row>
    <row r="20" spans="1:123" ht="20" customHeight="1" x14ac:dyDescent="0.2">
      <c r="A20" s="19" t="s">
        <v>151</v>
      </c>
      <c r="B20" s="25">
        <f t="shared" si="6"/>
        <v>2506149</v>
      </c>
      <c r="C20" s="21"/>
      <c r="D20" s="22"/>
      <c r="E20" s="21"/>
      <c r="F20" s="22"/>
      <c r="G20" s="23"/>
      <c r="H20" s="23"/>
      <c r="I20" s="23"/>
      <c r="J20" s="23"/>
      <c r="K20" s="81">
        <f t="shared" si="7"/>
        <v>2506149</v>
      </c>
      <c r="L20" s="25">
        <f t="shared" si="8"/>
        <v>2577692</v>
      </c>
      <c r="M20" s="21"/>
      <c r="N20" s="22"/>
      <c r="O20" s="21"/>
      <c r="P20" s="22"/>
      <c r="Q20" s="23"/>
      <c r="R20" s="23"/>
      <c r="S20" s="23"/>
      <c r="T20" s="23"/>
      <c r="U20" s="81">
        <f t="shared" si="9"/>
        <v>2577692</v>
      </c>
      <c r="V20" s="25">
        <f t="shared" si="10"/>
        <v>2443036</v>
      </c>
      <c r="W20" s="21"/>
      <c r="X20" s="22"/>
      <c r="Y20" s="21"/>
      <c r="Z20" s="22"/>
      <c r="AA20" s="23"/>
      <c r="AB20" s="23"/>
      <c r="AC20" s="23"/>
      <c r="AD20" s="23"/>
      <c r="AE20" s="81">
        <f t="shared" si="11"/>
        <v>2443036</v>
      </c>
      <c r="AF20" s="25">
        <f t="shared" si="12"/>
        <v>328064</v>
      </c>
      <c r="AG20" s="21"/>
      <c r="AH20" s="22"/>
      <c r="AI20" s="21"/>
      <c r="AJ20" s="22"/>
      <c r="AK20" s="23"/>
      <c r="AL20" s="24">
        <f t="shared" si="0"/>
        <v>328064</v>
      </c>
      <c r="AM20" s="25">
        <f t="shared" si="13"/>
        <v>529521</v>
      </c>
      <c r="AN20" s="21"/>
      <c r="AO20" s="22"/>
      <c r="AP20" s="21"/>
      <c r="AQ20" s="22"/>
      <c r="AR20" s="23"/>
      <c r="AS20" s="24">
        <f t="shared" si="1"/>
        <v>529521</v>
      </c>
      <c r="AT20" s="25">
        <f t="shared" si="14"/>
        <v>44014</v>
      </c>
      <c r="AU20" s="21"/>
      <c r="AV20" s="22"/>
      <c r="AW20" s="21"/>
      <c r="AX20" s="22"/>
      <c r="AY20" s="23"/>
      <c r="AZ20" s="24">
        <f t="shared" si="2"/>
        <v>44014</v>
      </c>
      <c r="BA20" s="25">
        <f t="shared" si="15"/>
        <v>536860</v>
      </c>
      <c r="BB20" s="21"/>
      <c r="BC20" s="22"/>
      <c r="BD20" s="21"/>
      <c r="BE20" s="22"/>
      <c r="BF20" s="23"/>
      <c r="BG20" s="23"/>
      <c r="BH20" s="23"/>
      <c r="BI20" s="23"/>
      <c r="BJ20" s="81">
        <f t="shared" si="16"/>
        <v>536860</v>
      </c>
      <c r="BK20" s="25">
        <f t="shared" si="17"/>
        <v>278400</v>
      </c>
      <c r="BL20" s="21"/>
      <c r="BM20" s="22"/>
      <c r="BN20" s="21"/>
      <c r="BO20" s="22"/>
      <c r="BP20" s="23"/>
      <c r="BQ20" s="86"/>
      <c r="BR20" s="23"/>
      <c r="BS20" s="23"/>
      <c r="BT20" s="81">
        <f t="shared" si="27"/>
        <v>278400</v>
      </c>
      <c r="BU20" s="25">
        <f t="shared" si="18"/>
        <v>508583</v>
      </c>
      <c r="BV20" s="21"/>
      <c r="BW20" s="22"/>
      <c r="BX20" s="21"/>
      <c r="BY20" s="22"/>
      <c r="BZ20" s="23"/>
      <c r="CA20" s="23"/>
      <c r="CB20" s="23"/>
      <c r="CC20" s="23"/>
      <c r="CD20" s="81">
        <f t="shared" si="19"/>
        <v>508583</v>
      </c>
      <c r="CE20" s="25">
        <f t="shared" si="20"/>
        <v>510730</v>
      </c>
      <c r="CF20" s="21"/>
      <c r="CG20" s="22"/>
      <c r="CH20" s="21"/>
      <c r="CI20" s="22"/>
      <c r="CJ20" s="23"/>
      <c r="CK20" s="23"/>
      <c r="CL20" s="23"/>
      <c r="CM20" s="23"/>
      <c r="CN20" s="81">
        <f t="shared" si="21"/>
        <v>510730</v>
      </c>
      <c r="CO20" s="25">
        <f t="shared" si="22"/>
        <v>26023</v>
      </c>
      <c r="CP20" s="21"/>
      <c r="CQ20" s="22"/>
      <c r="CR20" s="21"/>
      <c r="CS20" s="22"/>
      <c r="CT20" s="23"/>
      <c r="CU20" s="23"/>
      <c r="CV20" s="23"/>
      <c r="CW20" s="23"/>
      <c r="CX20" s="81">
        <f t="shared" si="23"/>
        <v>26023</v>
      </c>
      <c r="CY20" s="25">
        <f t="shared" si="24"/>
        <v>1164563</v>
      </c>
      <c r="CZ20" s="21"/>
      <c r="DA20" s="22"/>
      <c r="DB20" s="21"/>
      <c r="DC20" s="22"/>
      <c r="DD20" s="23"/>
      <c r="DE20" s="24">
        <f t="shared" si="3"/>
        <v>1164563</v>
      </c>
      <c r="DF20" s="25">
        <f t="shared" si="25"/>
        <v>961820</v>
      </c>
      <c r="DG20" s="21"/>
      <c r="DH20" s="22"/>
      <c r="DI20" s="21"/>
      <c r="DJ20" s="22"/>
      <c r="DK20" s="23"/>
      <c r="DL20" s="24">
        <f t="shared" si="4"/>
        <v>961820</v>
      </c>
      <c r="DM20" s="25">
        <f t="shared" si="26"/>
        <v>32951</v>
      </c>
      <c r="DN20" s="21"/>
      <c r="DO20" s="22"/>
      <c r="DP20" s="21"/>
      <c r="DQ20" s="22"/>
      <c r="DR20" s="23"/>
      <c r="DS20" s="24">
        <f t="shared" si="5"/>
        <v>32951</v>
      </c>
    </row>
    <row r="21" spans="1:123" ht="20" customHeight="1" x14ac:dyDescent="0.2">
      <c r="A21" s="20" t="s">
        <v>152</v>
      </c>
      <c r="B21" s="25">
        <f t="shared" si="6"/>
        <v>2506149</v>
      </c>
      <c r="C21" s="21"/>
      <c r="D21" s="22"/>
      <c r="E21" s="21"/>
      <c r="F21" s="22"/>
      <c r="G21" s="23"/>
      <c r="H21" s="23"/>
      <c r="I21" s="23"/>
      <c r="J21" s="23"/>
      <c r="K21" s="81">
        <f t="shared" si="7"/>
        <v>2506149</v>
      </c>
      <c r="L21" s="25">
        <f t="shared" si="8"/>
        <v>2577692</v>
      </c>
      <c r="M21" s="21"/>
      <c r="N21" s="22"/>
      <c r="O21" s="21"/>
      <c r="P21" s="22"/>
      <c r="Q21" s="23"/>
      <c r="R21" s="23"/>
      <c r="S21" s="23"/>
      <c r="T21" s="23"/>
      <c r="U21" s="81">
        <f t="shared" si="9"/>
        <v>2577692</v>
      </c>
      <c r="V21" s="25">
        <f t="shared" si="10"/>
        <v>2443036</v>
      </c>
      <c r="W21" s="21"/>
      <c r="X21" s="22"/>
      <c r="Y21" s="21"/>
      <c r="Z21" s="22"/>
      <c r="AA21" s="23"/>
      <c r="AB21" s="23"/>
      <c r="AC21" s="23"/>
      <c r="AD21" s="23"/>
      <c r="AE21" s="81">
        <f t="shared" si="11"/>
        <v>2443036</v>
      </c>
      <c r="AF21" s="25">
        <f t="shared" si="12"/>
        <v>328064</v>
      </c>
      <c r="AG21" s="21"/>
      <c r="AH21" s="22"/>
      <c r="AI21" s="21"/>
      <c r="AJ21" s="22"/>
      <c r="AK21" s="23"/>
      <c r="AL21" s="24">
        <f t="shared" si="0"/>
        <v>328064</v>
      </c>
      <c r="AM21" s="25">
        <f t="shared" si="13"/>
        <v>529521</v>
      </c>
      <c r="AN21" s="21"/>
      <c r="AO21" s="22"/>
      <c r="AP21" s="21"/>
      <c r="AQ21" s="22"/>
      <c r="AR21" s="23"/>
      <c r="AS21" s="24">
        <f t="shared" si="1"/>
        <v>529521</v>
      </c>
      <c r="AT21" s="25">
        <f t="shared" si="14"/>
        <v>44014</v>
      </c>
      <c r="AU21" s="21"/>
      <c r="AV21" s="22"/>
      <c r="AW21" s="21"/>
      <c r="AX21" s="22"/>
      <c r="AY21" s="23"/>
      <c r="AZ21" s="24">
        <f t="shared" si="2"/>
        <v>44014</v>
      </c>
      <c r="BA21" s="25">
        <f t="shared" si="15"/>
        <v>536860</v>
      </c>
      <c r="BB21" s="21"/>
      <c r="BC21" s="22"/>
      <c r="BD21" s="21"/>
      <c r="BE21" s="22"/>
      <c r="BF21" s="23"/>
      <c r="BG21" s="23"/>
      <c r="BH21" s="23"/>
      <c r="BI21" s="23"/>
      <c r="BJ21" s="81">
        <f t="shared" si="16"/>
        <v>536860</v>
      </c>
      <c r="BK21" s="25">
        <f t="shared" si="17"/>
        <v>278400</v>
      </c>
      <c r="BL21" s="21"/>
      <c r="BM21" s="22"/>
      <c r="BN21" s="21"/>
      <c r="BO21" s="22"/>
      <c r="BP21" s="23"/>
      <c r="BQ21" s="86"/>
      <c r="BR21" s="23"/>
      <c r="BS21" s="23"/>
      <c r="BT21" s="81">
        <f t="shared" si="27"/>
        <v>278400</v>
      </c>
      <c r="BU21" s="25">
        <f t="shared" si="18"/>
        <v>508583</v>
      </c>
      <c r="BV21" s="21"/>
      <c r="BW21" s="22"/>
      <c r="BX21" s="21"/>
      <c r="BY21" s="22"/>
      <c r="BZ21" s="23"/>
      <c r="CA21" s="23"/>
      <c r="CB21" s="23"/>
      <c r="CC21" s="23"/>
      <c r="CD21" s="81">
        <f t="shared" si="19"/>
        <v>508583</v>
      </c>
      <c r="CE21" s="25">
        <f t="shared" si="20"/>
        <v>510730</v>
      </c>
      <c r="CF21" s="21"/>
      <c r="CG21" s="22"/>
      <c r="CH21" s="21"/>
      <c r="CI21" s="22"/>
      <c r="CJ21" s="23"/>
      <c r="CK21" s="23"/>
      <c r="CL21" s="23"/>
      <c r="CM21" s="23"/>
      <c r="CN21" s="81">
        <f t="shared" si="21"/>
        <v>510730</v>
      </c>
      <c r="CO21" s="25">
        <f t="shared" si="22"/>
        <v>26023</v>
      </c>
      <c r="CP21" s="21"/>
      <c r="CQ21" s="22"/>
      <c r="CR21" s="21"/>
      <c r="CS21" s="22"/>
      <c r="CT21" s="23"/>
      <c r="CU21" s="23"/>
      <c r="CV21" s="23"/>
      <c r="CW21" s="23"/>
      <c r="CX21" s="81">
        <f t="shared" si="23"/>
        <v>26023</v>
      </c>
      <c r="CY21" s="25">
        <f t="shared" si="24"/>
        <v>1164563</v>
      </c>
      <c r="CZ21" s="21"/>
      <c r="DA21" s="22"/>
      <c r="DB21" s="21"/>
      <c r="DC21" s="22"/>
      <c r="DD21" s="23"/>
      <c r="DE21" s="24">
        <f t="shared" si="3"/>
        <v>1164563</v>
      </c>
      <c r="DF21" s="25">
        <f t="shared" si="25"/>
        <v>961820</v>
      </c>
      <c r="DG21" s="21"/>
      <c r="DH21" s="22"/>
      <c r="DI21" s="21"/>
      <c r="DJ21" s="22"/>
      <c r="DK21" s="23"/>
      <c r="DL21" s="24">
        <f t="shared" si="4"/>
        <v>961820</v>
      </c>
      <c r="DM21" s="25">
        <f t="shared" si="26"/>
        <v>32951</v>
      </c>
      <c r="DN21" s="21"/>
      <c r="DO21" s="22"/>
      <c r="DP21" s="21"/>
      <c r="DQ21" s="22"/>
      <c r="DR21" s="23"/>
      <c r="DS21" s="24">
        <f t="shared" si="5"/>
        <v>32951</v>
      </c>
    </row>
    <row r="22" spans="1:123" ht="20" customHeight="1" x14ac:dyDescent="0.2">
      <c r="A22" s="19" t="s">
        <v>153</v>
      </c>
      <c r="B22" s="25">
        <f t="shared" si="6"/>
        <v>2506149</v>
      </c>
      <c r="C22" s="21"/>
      <c r="D22" s="22"/>
      <c r="E22" s="21"/>
      <c r="F22" s="22"/>
      <c r="G22" s="23"/>
      <c r="H22" s="23"/>
      <c r="I22" s="23"/>
      <c r="J22" s="23"/>
      <c r="K22" s="81">
        <f t="shared" si="7"/>
        <v>2506149</v>
      </c>
      <c r="L22" s="25">
        <f t="shared" si="8"/>
        <v>2577692</v>
      </c>
      <c r="M22" s="21"/>
      <c r="N22" s="22"/>
      <c r="O22" s="21"/>
      <c r="P22" s="22"/>
      <c r="Q22" s="23"/>
      <c r="R22" s="23"/>
      <c r="S22" s="23"/>
      <c r="T22" s="23"/>
      <c r="U22" s="81">
        <f t="shared" si="9"/>
        <v>2577692</v>
      </c>
      <c r="V22" s="25">
        <f t="shared" si="10"/>
        <v>2443036</v>
      </c>
      <c r="W22" s="21"/>
      <c r="X22" s="22"/>
      <c r="Y22" s="21"/>
      <c r="Z22" s="22"/>
      <c r="AA22" s="23"/>
      <c r="AB22" s="23"/>
      <c r="AC22" s="23"/>
      <c r="AD22" s="23"/>
      <c r="AE22" s="81">
        <f t="shared" si="11"/>
        <v>2443036</v>
      </c>
      <c r="AF22" s="25">
        <f t="shared" si="12"/>
        <v>328064</v>
      </c>
      <c r="AG22" s="21"/>
      <c r="AH22" s="22"/>
      <c r="AI22" s="21"/>
      <c r="AJ22" s="22"/>
      <c r="AK22" s="23"/>
      <c r="AL22" s="24">
        <f t="shared" si="0"/>
        <v>328064</v>
      </c>
      <c r="AM22" s="25">
        <f t="shared" si="13"/>
        <v>529521</v>
      </c>
      <c r="AN22" s="21"/>
      <c r="AO22" s="22"/>
      <c r="AP22" s="21"/>
      <c r="AQ22" s="22"/>
      <c r="AR22" s="23"/>
      <c r="AS22" s="24">
        <f t="shared" si="1"/>
        <v>529521</v>
      </c>
      <c r="AT22" s="25">
        <f t="shared" si="14"/>
        <v>44014</v>
      </c>
      <c r="AU22" s="21"/>
      <c r="AV22" s="22"/>
      <c r="AW22" s="21"/>
      <c r="AX22" s="22"/>
      <c r="AY22" s="23"/>
      <c r="AZ22" s="24">
        <f t="shared" si="2"/>
        <v>44014</v>
      </c>
      <c r="BA22" s="25">
        <f t="shared" si="15"/>
        <v>536860</v>
      </c>
      <c r="BB22" s="21"/>
      <c r="BC22" s="22"/>
      <c r="BD22" s="21"/>
      <c r="BE22" s="22"/>
      <c r="BF22" s="23"/>
      <c r="BG22" s="23"/>
      <c r="BH22" s="23"/>
      <c r="BI22" s="23"/>
      <c r="BJ22" s="81">
        <f t="shared" si="16"/>
        <v>536860</v>
      </c>
      <c r="BK22" s="25">
        <f t="shared" si="17"/>
        <v>278400</v>
      </c>
      <c r="BL22" s="21"/>
      <c r="BM22" s="22"/>
      <c r="BN22" s="21"/>
      <c r="BO22" s="22"/>
      <c r="BP22" s="23"/>
      <c r="BQ22" s="86"/>
      <c r="BR22" s="23"/>
      <c r="BS22" s="23"/>
      <c r="BT22" s="81">
        <f t="shared" si="27"/>
        <v>278400</v>
      </c>
      <c r="BU22" s="25">
        <f t="shared" si="18"/>
        <v>508583</v>
      </c>
      <c r="BV22" s="21"/>
      <c r="BW22" s="22"/>
      <c r="BX22" s="21"/>
      <c r="BY22" s="22"/>
      <c r="BZ22" s="23"/>
      <c r="CA22" s="23"/>
      <c r="CB22" s="23"/>
      <c r="CC22" s="23"/>
      <c r="CD22" s="81">
        <f t="shared" si="19"/>
        <v>508583</v>
      </c>
      <c r="CE22" s="25">
        <f t="shared" si="20"/>
        <v>510730</v>
      </c>
      <c r="CF22" s="21"/>
      <c r="CG22" s="22"/>
      <c r="CH22" s="21"/>
      <c r="CI22" s="22"/>
      <c r="CJ22" s="23"/>
      <c r="CK22" s="23"/>
      <c r="CL22" s="23"/>
      <c r="CM22" s="23"/>
      <c r="CN22" s="81">
        <f t="shared" si="21"/>
        <v>510730</v>
      </c>
      <c r="CO22" s="25">
        <f t="shared" si="22"/>
        <v>26023</v>
      </c>
      <c r="CP22" s="21"/>
      <c r="CQ22" s="22"/>
      <c r="CR22" s="21"/>
      <c r="CS22" s="22"/>
      <c r="CT22" s="23"/>
      <c r="CU22" s="23"/>
      <c r="CV22" s="23"/>
      <c r="CW22" s="23"/>
      <c r="CX22" s="81">
        <f t="shared" si="23"/>
        <v>26023</v>
      </c>
      <c r="CY22" s="25">
        <f t="shared" si="24"/>
        <v>1164563</v>
      </c>
      <c r="CZ22" s="21"/>
      <c r="DA22" s="22"/>
      <c r="DB22" s="21"/>
      <c r="DC22" s="22"/>
      <c r="DD22" s="23"/>
      <c r="DE22" s="24">
        <f t="shared" si="3"/>
        <v>1164563</v>
      </c>
      <c r="DF22" s="25">
        <f t="shared" si="25"/>
        <v>961820</v>
      </c>
      <c r="DG22" s="21"/>
      <c r="DH22" s="22"/>
      <c r="DI22" s="21"/>
      <c r="DJ22" s="22"/>
      <c r="DK22" s="23"/>
      <c r="DL22" s="24">
        <f t="shared" si="4"/>
        <v>961820</v>
      </c>
      <c r="DM22" s="25">
        <f t="shared" si="26"/>
        <v>32951</v>
      </c>
      <c r="DN22" s="21"/>
      <c r="DO22" s="22"/>
      <c r="DP22" s="21"/>
      <c r="DQ22" s="22"/>
      <c r="DR22" s="23"/>
      <c r="DS22" s="24">
        <f t="shared" si="5"/>
        <v>32951</v>
      </c>
    </row>
    <row r="23" spans="1:123" ht="20" customHeight="1" x14ac:dyDescent="0.2">
      <c r="A23" s="20" t="s">
        <v>154</v>
      </c>
      <c r="B23" s="25">
        <f t="shared" si="6"/>
        <v>2506149</v>
      </c>
      <c r="C23" s="21"/>
      <c r="D23" s="22"/>
      <c r="E23" s="21"/>
      <c r="F23" s="22"/>
      <c r="G23" s="23"/>
      <c r="H23" s="23"/>
      <c r="I23" s="23"/>
      <c r="J23" s="23"/>
      <c r="K23" s="81">
        <f t="shared" si="7"/>
        <v>2506149</v>
      </c>
      <c r="L23" s="25">
        <f t="shared" si="8"/>
        <v>2577692</v>
      </c>
      <c r="M23" s="21"/>
      <c r="N23" s="22"/>
      <c r="O23" s="21"/>
      <c r="P23" s="22"/>
      <c r="Q23" s="23"/>
      <c r="R23" s="23"/>
      <c r="S23" s="23"/>
      <c r="T23" s="23"/>
      <c r="U23" s="81">
        <f t="shared" si="9"/>
        <v>2577692</v>
      </c>
      <c r="V23" s="25">
        <f t="shared" si="10"/>
        <v>2443036</v>
      </c>
      <c r="W23" s="21"/>
      <c r="X23" s="22"/>
      <c r="Y23" s="21"/>
      <c r="Z23" s="22"/>
      <c r="AA23" s="23"/>
      <c r="AB23" s="23"/>
      <c r="AC23" s="23"/>
      <c r="AD23" s="23"/>
      <c r="AE23" s="81">
        <f t="shared" si="11"/>
        <v>2443036</v>
      </c>
      <c r="AF23" s="25">
        <f t="shared" si="12"/>
        <v>328064</v>
      </c>
      <c r="AG23" s="21"/>
      <c r="AH23" s="22"/>
      <c r="AI23" s="21"/>
      <c r="AJ23" s="22"/>
      <c r="AK23" s="23"/>
      <c r="AL23" s="24">
        <f t="shared" si="0"/>
        <v>328064</v>
      </c>
      <c r="AM23" s="25">
        <f t="shared" si="13"/>
        <v>529521</v>
      </c>
      <c r="AN23" s="21"/>
      <c r="AO23" s="22"/>
      <c r="AP23" s="21"/>
      <c r="AQ23" s="22"/>
      <c r="AR23" s="23"/>
      <c r="AS23" s="24">
        <f t="shared" si="1"/>
        <v>529521</v>
      </c>
      <c r="AT23" s="25">
        <f t="shared" si="14"/>
        <v>44014</v>
      </c>
      <c r="AU23" s="21"/>
      <c r="AV23" s="22"/>
      <c r="AW23" s="21"/>
      <c r="AX23" s="22"/>
      <c r="AY23" s="23"/>
      <c r="AZ23" s="24">
        <f t="shared" si="2"/>
        <v>44014</v>
      </c>
      <c r="BA23" s="25">
        <f t="shared" si="15"/>
        <v>536860</v>
      </c>
      <c r="BB23" s="21"/>
      <c r="BC23" s="22"/>
      <c r="BD23" s="21"/>
      <c r="BE23" s="22"/>
      <c r="BF23" s="23"/>
      <c r="BG23" s="23"/>
      <c r="BH23" s="23"/>
      <c r="BI23" s="23"/>
      <c r="BJ23" s="81">
        <f t="shared" si="16"/>
        <v>536860</v>
      </c>
      <c r="BK23" s="25">
        <f t="shared" si="17"/>
        <v>278400</v>
      </c>
      <c r="BL23" s="21"/>
      <c r="BM23" s="22"/>
      <c r="BN23" s="21"/>
      <c r="BO23" s="22"/>
      <c r="BP23" s="23"/>
      <c r="BQ23" s="86"/>
      <c r="BR23" s="23"/>
      <c r="BS23" s="23"/>
      <c r="BT23" s="81">
        <f t="shared" si="27"/>
        <v>278400</v>
      </c>
      <c r="BU23" s="25">
        <f t="shared" si="18"/>
        <v>508583</v>
      </c>
      <c r="BV23" s="21"/>
      <c r="BW23" s="22"/>
      <c r="BX23" s="21"/>
      <c r="BY23" s="22"/>
      <c r="BZ23" s="23"/>
      <c r="CA23" s="23"/>
      <c r="CB23" s="23"/>
      <c r="CC23" s="23"/>
      <c r="CD23" s="81">
        <f t="shared" si="19"/>
        <v>508583</v>
      </c>
      <c r="CE23" s="25">
        <f t="shared" si="20"/>
        <v>510730</v>
      </c>
      <c r="CF23" s="21"/>
      <c r="CG23" s="22"/>
      <c r="CH23" s="21"/>
      <c r="CI23" s="22"/>
      <c r="CJ23" s="23"/>
      <c r="CK23" s="23"/>
      <c r="CL23" s="23"/>
      <c r="CM23" s="23"/>
      <c r="CN23" s="81">
        <f t="shared" si="21"/>
        <v>510730</v>
      </c>
      <c r="CO23" s="25">
        <f t="shared" si="22"/>
        <v>26023</v>
      </c>
      <c r="CP23" s="21"/>
      <c r="CQ23" s="22"/>
      <c r="CR23" s="21"/>
      <c r="CS23" s="22"/>
      <c r="CT23" s="23"/>
      <c r="CU23" s="23"/>
      <c r="CV23" s="23"/>
      <c r="CW23" s="23"/>
      <c r="CX23" s="81">
        <f t="shared" si="23"/>
        <v>26023</v>
      </c>
      <c r="CY23" s="25">
        <f t="shared" si="24"/>
        <v>1164563</v>
      </c>
      <c r="CZ23" s="21"/>
      <c r="DA23" s="22"/>
      <c r="DB23" s="21"/>
      <c r="DC23" s="22"/>
      <c r="DD23" s="23"/>
      <c r="DE23" s="24">
        <f t="shared" si="3"/>
        <v>1164563</v>
      </c>
      <c r="DF23" s="25">
        <f t="shared" si="25"/>
        <v>961820</v>
      </c>
      <c r="DG23" s="21"/>
      <c r="DH23" s="22"/>
      <c r="DI23" s="21"/>
      <c r="DJ23" s="22"/>
      <c r="DK23" s="23"/>
      <c r="DL23" s="24">
        <f t="shared" si="4"/>
        <v>961820</v>
      </c>
      <c r="DM23" s="25">
        <f t="shared" si="26"/>
        <v>32951</v>
      </c>
      <c r="DN23" s="21"/>
      <c r="DO23" s="22"/>
      <c r="DP23" s="21"/>
      <c r="DQ23" s="22"/>
      <c r="DR23" s="23"/>
      <c r="DS23" s="24">
        <f t="shared" si="5"/>
        <v>32951</v>
      </c>
    </row>
    <row r="24" spans="1:123" ht="20" customHeight="1" x14ac:dyDescent="0.2">
      <c r="A24" s="19" t="s">
        <v>155</v>
      </c>
      <c r="B24" s="25">
        <f t="shared" si="6"/>
        <v>2506149</v>
      </c>
      <c r="C24" s="21"/>
      <c r="D24" s="22"/>
      <c r="E24" s="21"/>
      <c r="F24" s="22"/>
      <c r="G24" s="23"/>
      <c r="H24" s="23"/>
      <c r="I24" s="23"/>
      <c r="J24" s="23"/>
      <c r="K24" s="81">
        <f t="shared" si="7"/>
        <v>2506149</v>
      </c>
      <c r="L24" s="25">
        <f t="shared" si="8"/>
        <v>2577692</v>
      </c>
      <c r="M24" s="21"/>
      <c r="N24" s="22"/>
      <c r="O24" s="21"/>
      <c r="P24" s="22"/>
      <c r="Q24" s="23"/>
      <c r="R24" s="23"/>
      <c r="S24" s="23"/>
      <c r="T24" s="23"/>
      <c r="U24" s="81">
        <f t="shared" si="9"/>
        <v>2577692</v>
      </c>
      <c r="V24" s="25">
        <f t="shared" si="10"/>
        <v>2443036</v>
      </c>
      <c r="W24" s="21"/>
      <c r="X24" s="22"/>
      <c r="Y24" s="21"/>
      <c r="Z24" s="22"/>
      <c r="AA24" s="23"/>
      <c r="AB24" s="23"/>
      <c r="AC24" s="23"/>
      <c r="AD24" s="23"/>
      <c r="AE24" s="81">
        <f t="shared" si="11"/>
        <v>2443036</v>
      </c>
      <c r="AF24" s="25">
        <f t="shared" si="12"/>
        <v>328064</v>
      </c>
      <c r="AG24" s="21"/>
      <c r="AH24" s="22"/>
      <c r="AI24" s="21"/>
      <c r="AJ24" s="22"/>
      <c r="AK24" s="23"/>
      <c r="AL24" s="24">
        <f t="shared" si="0"/>
        <v>328064</v>
      </c>
      <c r="AM24" s="25">
        <f t="shared" si="13"/>
        <v>529521</v>
      </c>
      <c r="AN24" s="21"/>
      <c r="AO24" s="22"/>
      <c r="AP24" s="21"/>
      <c r="AQ24" s="22"/>
      <c r="AR24" s="23"/>
      <c r="AS24" s="24">
        <f t="shared" si="1"/>
        <v>529521</v>
      </c>
      <c r="AT24" s="25">
        <f t="shared" si="14"/>
        <v>44014</v>
      </c>
      <c r="AU24" s="21"/>
      <c r="AV24" s="22"/>
      <c r="AW24" s="21"/>
      <c r="AX24" s="22"/>
      <c r="AY24" s="23"/>
      <c r="AZ24" s="24">
        <f t="shared" si="2"/>
        <v>44014</v>
      </c>
      <c r="BA24" s="25">
        <f t="shared" si="15"/>
        <v>536860</v>
      </c>
      <c r="BB24" s="21"/>
      <c r="BC24" s="22"/>
      <c r="BD24" s="21"/>
      <c r="BE24" s="22"/>
      <c r="BF24" s="23"/>
      <c r="BG24" s="23"/>
      <c r="BH24" s="23"/>
      <c r="BI24" s="23"/>
      <c r="BJ24" s="81">
        <f t="shared" si="16"/>
        <v>536860</v>
      </c>
      <c r="BK24" s="25">
        <f t="shared" si="17"/>
        <v>278400</v>
      </c>
      <c r="BL24" s="21"/>
      <c r="BM24" s="22"/>
      <c r="BN24" s="21"/>
      <c r="BO24" s="22"/>
      <c r="BP24" s="23"/>
      <c r="BQ24" s="86"/>
      <c r="BR24" s="23"/>
      <c r="BS24" s="23"/>
      <c r="BT24" s="81">
        <f t="shared" si="27"/>
        <v>278400</v>
      </c>
      <c r="BU24" s="25">
        <f t="shared" si="18"/>
        <v>508583</v>
      </c>
      <c r="BV24" s="21"/>
      <c r="BW24" s="22"/>
      <c r="BX24" s="21"/>
      <c r="BY24" s="22"/>
      <c r="BZ24" s="23"/>
      <c r="CA24" s="23"/>
      <c r="CB24" s="23"/>
      <c r="CC24" s="23"/>
      <c r="CD24" s="81">
        <f t="shared" si="19"/>
        <v>508583</v>
      </c>
      <c r="CE24" s="25">
        <f t="shared" si="20"/>
        <v>510730</v>
      </c>
      <c r="CF24" s="21"/>
      <c r="CG24" s="22"/>
      <c r="CH24" s="21"/>
      <c r="CI24" s="22"/>
      <c r="CJ24" s="23"/>
      <c r="CK24" s="23"/>
      <c r="CL24" s="23"/>
      <c r="CM24" s="23"/>
      <c r="CN24" s="81">
        <f t="shared" si="21"/>
        <v>510730</v>
      </c>
      <c r="CO24" s="25">
        <f t="shared" si="22"/>
        <v>26023</v>
      </c>
      <c r="CP24" s="21"/>
      <c r="CQ24" s="22"/>
      <c r="CR24" s="21"/>
      <c r="CS24" s="22"/>
      <c r="CT24" s="23"/>
      <c r="CU24" s="23"/>
      <c r="CV24" s="23"/>
      <c r="CW24" s="23"/>
      <c r="CX24" s="81">
        <f t="shared" si="23"/>
        <v>26023</v>
      </c>
      <c r="CY24" s="25">
        <f t="shared" si="24"/>
        <v>1164563</v>
      </c>
      <c r="CZ24" s="21"/>
      <c r="DA24" s="22"/>
      <c r="DB24" s="21"/>
      <c r="DC24" s="22"/>
      <c r="DD24" s="23"/>
      <c r="DE24" s="24">
        <f t="shared" si="3"/>
        <v>1164563</v>
      </c>
      <c r="DF24" s="25">
        <f t="shared" si="25"/>
        <v>961820</v>
      </c>
      <c r="DG24" s="21"/>
      <c r="DH24" s="22"/>
      <c r="DI24" s="21"/>
      <c r="DJ24" s="22"/>
      <c r="DK24" s="23"/>
      <c r="DL24" s="24">
        <f t="shared" si="4"/>
        <v>961820</v>
      </c>
      <c r="DM24" s="25">
        <f t="shared" si="26"/>
        <v>32951</v>
      </c>
      <c r="DN24" s="21"/>
      <c r="DO24" s="22"/>
      <c r="DP24" s="21"/>
      <c r="DQ24" s="22"/>
      <c r="DR24" s="23"/>
      <c r="DS24" s="24">
        <f t="shared" si="5"/>
        <v>32951</v>
      </c>
    </row>
    <row r="25" spans="1:123" ht="20" customHeight="1" x14ac:dyDescent="0.2">
      <c r="A25" s="18" t="s">
        <v>156</v>
      </c>
      <c r="B25" s="25">
        <f t="shared" si="6"/>
        <v>2506149</v>
      </c>
      <c r="C25" s="21"/>
      <c r="D25" s="22"/>
      <c r="E25" s="21"/>
      <c r="F25" s="22"/>
      <c r="G25" s="23"/>
      <c r="H25" s="23"/>
      <c r="I25" s="23"/>
      <c r="J25" s="23"/>
      <c r="K25" s="81">
        <f t="shared" si="7"/>
        <v>2506149</v>
      </c>
      <c r="L25" s="25">
        <f t="shared" si="8"/>
        <v>2577692</v>
      </c>
      <c r="M25" s="21"/>
      <c r="N25" s="22"/>
      <c r="O25" s="21"/>
      <c r="P25" s="22"/>
      <c r="Q25" s="23"/>
      <c r="R25" s="23"/>
      <c r="S25" s="23"/>
      <c r="T25" s="23"/>
      <c r="U25" s="81">
        <f t="shared" si="9"/>
        <v>2577692</v>
      </c>
      <c r="V25" s="25">
        <f t="shared" si="10"/>
        <v>2443036</v>
      </c>
      <c r="W25" s="21"/>
      <c r="X25" s="22"/>
      <c r="Y25" s="21"/>
      <c r="Z25" s="22"/>
      <c r="AA25" s="23"/>
      <c r="AB25" s="23"/>
      <c r="AC25" s="23"/>
      <c r="AD25" s="23"/>
      <c r="AE25" s="81">
        <f t="shared" si="11"/>
        <v>2443036</v>
      </c>
      <c r="AF25" s="25">
        <f t="shared" si="12"/>
        <v>328064</v>
      </c>
      <c r="AG25" s="21"/>
      <c r="AH25" s="22"/>
      <c r="AI25" s="21"/>
      <c r="AJ25" s="22"/>
      <c r="AK25" s="23"/>
      <c r="AL25" s="24">
        <f t="shared" si="0"/>
        <v>328064</v>
      </c>
      <c r="AM25" s="25">
        <f t="shared" si="13"/>
        <v>529521</v>
      </c>
      <c r="AN25" s="21"/>
      <c r="AO25" s="22"/>
      <c r="AP25" s="21"/>
      <c r="AQ25" s="22"/>
      <c r="AR25" s="23"/>
      <c r="AS25" s="24">
        <f t="shared" si="1"/>
        <v>529521</v>
      </c>
      <c r="AT25" s="25">
        <f t="shared" si="14"/>
        <v>44014</v>
      </c>
      <c r="AU25" s="21"/>
      <c r="AV25" s="22"/>
      <c r="AW25" s="21"/>
      <c r="AX25" s="22"/>
      <c r="AY25" s="23"/>
      <c r="AZ25" s="24">
        <f t="shared" si="2"/>
        <v>44014</v>
      </c>
      <c r="BA25" s="25">
        <f t="shared" si="15"/>
        <v>536860</v>
      </c>
      <c r="BB25" s="21"/>
      <c r="BC25" s="22"/>
      <c r="BD25" s="21"/>
      <c r="BE25" s="22"/>
      <c r="BF25" s="23"/>
      <c r="BG25" s="23"/>
      <c r="BH25" s="23"/>
      <c r="BI25" s="23"/>
      <c r="BJ25" s="81">
        <f t="shared" si="16"/>
        <v>536860</v>
      </c>
      <c r="BK25" s="25">
        <f t="shared" si="17"/>
        <v>278400</v>
      </c>
      <c r="BL25" s="21"/>
      <c r="BM25" s="22"/>
      <c r="BN25" s="21"/>
      <c r="BO25" s="22"/>
      <c r="BP25" s="23"/>
      <c r="BQ25" s="86"/>
      <c r="BR25" s="23"/>
      <c r="BS25" s="23"/>
      <c r="BT25" s="81">
        <f t="shared" si="27"/>
        <v>278400</v>
      </c>
      <c r="BU25" s="25">
        <f t="shared" si="18"/>
        <v>508583</v>
      </c>
      <c r="BV25" s="21"/>
      <c r="BW25" s="22"/>
      <c r="BX25" s="21"/>
      <c r="BY25" s="22"/>
      <c r="BZ25" s="23"/>
      <c r="CA25" s="23"/>
      <c r="CB25" s="23"/>
      <c r="CC25" s="23"/>
      <c r="CD25" s="81">
        <f t="shared" si="19"/>
        <v>508583</v>
      </c>
      <c r="CE25" s="25">
        <f t="shared" si="20"/>
        <v>510730</v>
      </c>
      <c r="CF25" s="21"/>
      <c r="CG25" s="22"/>
      <c r="CH25" s="21"/>
      <c r="CI25" s="22"/>
      <c r="CJ25" s="23"/>
      <c r="CK25" s="23"/>
      <c r="CL25" s="23"/>
      <c r="CM25" s="23"/>
      <c r="CN25" s="81">
        <f t="shared" si="21"/>
        <v>510730</v>
      </c>
      <c r="CO25" s="25">
        <f t="shared" si="22"/>
        <v>26023</v>
      </c>
      <c r="CP25" s="21"/>
      <c r="CQ25" s="22"/>
      <c r="CR25" s="21"/>
      <c r="CS25" s="22"/>
      <c r="CT25" s="23"/>
      <c r="CU25" s="23"/>
      <c r="CV25" s="23"/>
      <c r="CW25" s="23"/>
      <c r="CX25" s="81">
        <f t="shared" si="23"/>
        <v>26023</v>
      </c>
      <c r="CY25" s="25">
        <f t="shared" si="24"/>
        <v>1164563</v>
      </c>
      <c r="CZ25" s="21"/>
      <c r="DA25" s="22"/>
      <c r="DB25" s="21"/>
      <c r="DC25" s="22"/>
      <c r="DD25" s="23"/>
      <c r="DE25" s="24">
        <f t="shared" si="3"/>
        <v>1164563</v>
      </c>
      <c r="DF25" s="25">
        <f t="shared" si="25"/>
        <v>961820</v>
      </c>
      <c r="DG25" s="21"/>
      <c r="DH25" s="22"/>
      <c r="DI25" s="21"/>
      <c r="DJ25" s="22"/>
      <c r="DK25" s="23"/>
      <c r="DL25" s="24">
        <f t="shared" si="4"/>
        <v>961820</v>
      </c>
      <c r="DM25" s="25">
        <f t="shared" si="26"/>
        <v>32951</v>
      </c>
      <c r="DN25" s="21"/>
      <c r="DO25" s="22"/>
      <c r="DP25" s="21"/>
      <c r="DQ25" s="22"/>
      <c r="DR25" s="23"/>
      <c r="DS25" s="24">
        <f t="shared" si="5"/>
        <v>32951</v>
      </c>
    </row>
    <row r="26" spans="1:123" ht="20" customHeight="1" x14ac:dyDescent="0.2">
      <c r="A26" s="18" t="s">
        <v>157</v>
      </c>
      <c r="B26" s="25">
        <f t="shared" si="6"/>
        <v>2506149</v>
      </c>
      <c r="C26" s="21"/>
      <c r="D26" s="22"/>
      <c r="E26" s="21"/>
      <c r="F26" s="22"/>
      <c r="G26" s="23"/>
      <c r="H26" s="23"/>
      <c r="I26" s="23"/>
      <c r="J26" s="23"/>
      <c r="K26" s="81">
        <f t="shared" si="7"/>
        <v>2506149</v>
      </c>
      <c r="L26" s="25">
        <f t="shared" si="8"/>
        <v>2577692</v>
      </c>
      <c r="M26" s="21"/>
      <c r="N26" s="22"/>
      <c r="O26" s="21"/>
      <c r="P26" s="22"/>
      <c r="Q26" s="23"/>
      <c r="R26" s="23"/>
      <c r="S26" s="23"/>
      <c r="T26" s="23"/>
      <c r="U26" s="81">
        <f t="shared" si="9"/>
        <v>2577692</v>
      </c>
      <c r="V26" s="25">
        <f t="shared" si="10"/>
        <v>2443036</v>
      </c>
      <c r="W26" s="21"/>
      <c r="X26" s="22"/>
      <c r="Y26" s="21"/>
      <c r="Z26" s="22"/>
      <c r="AA26" s="23"/>
      <c r="AB26" s="23"/>
      <c r="AC26" s="23"/>
      <c r="AD26" s="23"/>
      <c r="AE26" s="81">
        <f t="shared" si="11"/>
        <v>2443036</v>
      </c>
      <c r="AF26" s="25">
        <f t="shared" si="12"/>
        <v>328064</v>
      </c>
      <c r="AG26" s="21"/>
      <c r="AH26" s="22"/>
      <c r="AI26" s="21"/>
      <c r="AJ26" s="22"/>
      <c r="AK26" s="23"/>
      <c r="AL26" s="24">
        <f t="shared" si="0"/>
        <v>328064</v>
      </c>
      <c r="AM26" s="25">
        <f t="shared" si="13"/>
        <v>529521</v>
      </c>
      <c r="AN26" s="21"/>
      <c r="AO26" s="22"/>
      <c r="AP26" s="21"/>
      <c r="AQ26" s="22"/>
      <c r="AR26" s="23"/>
      <c r="AS26" s="24">
        <f t="shared" si="1"/>
        <v>529521</v>
      </c>
      <c r="AT26" s="25">
        <f t="shared" si="14"/>
        <v>44014</v>
      </c>
      <c r="AU26" s="21"/>
      <c r="AV26" s="22"/>
      <c r="AW26" s="21"/>
      <c r="AX26" s="22"/>
      <c r="AY26" s="23"/>
      <c r="AZ26" s="24">
        <f t="shared" si="2"/>
        <v>44014</v>
      </c>
      <c r="BA26" s="25">
        <f t="shared" si="15"/>
        <v>536860</v>
      </c>
      <c r="BB26" s="21"/>
      <c r="BC26" s="22"/>
      <c r="BD26" s="21"/>
      <c r="BE26" s="22"/>
      <c r="BF26" s="23"/>
      <c r="BG26" s="23"/>
      <c r="BH26" s="23"/>
      <c r="BI26" s="23"/>
      <c r="BJ26" s="81">
        <f t="shared" si="16"/>
        <v>536860</v>
      </c>
      <c r="BK26" s="25">
        <f t="shared" si="17"/>
        <v>278400</v>
      </c>
      <c r="BL26" s="21"/>
      <c r="BM26" s="22"/>
      <c r="BN26" s="21"/>
      <c r="BO26" s="22"/>
      <c r="BP26" s="23"/>
      <c r="BQ26" s="86"/>
      <c r="BR26" s="23"/>
      <c r="BS26" s="23"/>
      <c r="BT26" s="81">
        <f t="shared" si="27"/>
        <v>278400</v>
      </c>
      <c r="BU26" s="25">
        <f t="shared" si="18"/>
        <v>508583</v>
      </c>
      <c r="BV26" s="21"/>
      <c r="BW26" s="22"/>
      <c r="BX26" s="21"/>
      <c r="BY26" s="22"/>
      <c r="BZ26" s="23"/>
      <c r="CA26" s="23"/>
      <c r="CB26" s="23"/>
      <c r="CC26" s="23"/>
      <c r="CD26" s="81">
        <f t="shared" si="19"/>
        <v>508583</v>
      </c>
      <c r="CE26" s="25">
        <f t="shared" si="20"/>
        <v>510730</v>
      </c>
      <c r="CF26" s="21"/>
      <c r="CG26" s="22"/>
      <c r="CH26" s="21"/>
      <c r="CI26" s="22"/>
      <c r="CJ26" s="23"/>
      <c r="CK26" s="23"/>
      <c r="CL26" s="23"/>
      <c r="CM26" s="23"/>
      <c r="CN26" s="81">
        <f t="shared" si="21"/>
        <v>510730</v>
      </c>
      <c r="CO26" s="25">
        <f t="shared" si="22"/>
        <v>26023</v>
      </c>
      <c r="CP26" s="21"/>
      <c r="CQ26" s="22"/>
      <c r="CR26" s="21"/>
      <c r="CS26" s="22"/>
      <c r="CT26" s="23"/>
      <c r="CU26" s="23"/>
      <c r="CV26" s="23"/>
      <c r="CW26" s="23"/>
      <c r="CX26" s="81">
        <f t="shared" si="23"/>
        <v>26023</v>
      </c>
      <c r="CY26" s="25">
        <f t="shared" si="24"/>
        <v>1164563</v>
      </c>
      <c r="CZ26" s="21"/>
      <c r="DA26" s="22"/>
      <c r="DB26" s="21"/>
      <c r="DC26" s="22"/>
      <c r="DD26" s="23"/>
      <c r="DE26" s="24">
        <f t="shared" si="3"/>
        <v>1164563</v>
      </c>
      <c r="DF26" s="25">
        <f t="shared" si="25"/>
        <v>961820</v>
      </c>
      <c r="DG26" s="21"/>
      <c r="DH26" s="22"/>
      <c r="DI26" s="21"/>
      <c r="DJ26" s="22"/>
      <c r="DK26" s="23"/>
      <c r="DL26" s="24">
        <f t="shared" si="4"/>
        <v>961820</v>
      </c>
      <c r="DM26" s="25">
        <f t="shared" si="26"/>
        <v>32951</v>
      </c>
      <c r="DN26" s="21"/>
      <c r="DO26" s="22"/>
      <c r="DP26" s="21"/>
      <c r="DQ26" s="22"/>
      <c r="DR26" s="23"/>
      <c r="DS26" s="24">
        <f t="shared" si="5"/>
        <v>32951</v>
      </c>
    </row>
    <row r="27" spans="1:123" ht="20" customHeight="1" x14ac:dyDescent="0.2">
      <c r="A27" s="20" t="s">
        <v>158</v>
      </c>
      <c r="B27" s="25">
        <f t="shared" si="6"/>
        <v>2506149</v>
      </c>
      <c r="C27" s="21"/>
      <c r="D27" s="22"/>
      <c r="E27" s="21"/>
      <c r="F27" s="22"/>
      <c r="G27" s="23"/>
      <c r="H27" s="23"/>
      <c r="I27" s="23"/>
      <c r="J27" s="23"/>
      <c r="K27" s="81">
        <f t="shared" si="7"/>
        <v>2506149</v>
      </c>
      <c r="L27" s="25">
        <f t="shared" si="8"/>
        <v>2577692</v>
      </c>
      <c r="M27" s="21"/>
      <c r="N27" s="22"/>
      <c r="O27" s="21"/>
      <c r="P27" s="22"/>
      <c r="Q27" s="23"/>
      <c r="R27" s="23"/>
      <c r="S27" s="23"/>
      <c r="T27" s="23"/>
      <c r="U27" s="81">
        <f t="shared" si="9"/>
        <v>2577692</v>
      </c>
      <c r="V27" s="25">
        <f t="shared" si="10"/>
        <v>2443036</v>
      </c>
      <c r="W27" s="21"/>
      <c r="X27" s="22"/>
      <c r="Y27" s="21"/>
      <c r="Z27" s="22"/>
      <c r="AA27" s="23"/>
      <c r="AB27" s="23"/>
      <c r="AC27" s="23"/>
      <c r="AD27" s="23"/>
      <c r="AE27" s="81">
        <f t="shared" si="11"/>
        <v>2443036</v>
      </c>
      <c r="AF27" s="25">
        <f t="shared" si="12"/>
        <v>328064</v>
      </c>
      <c r="AG27" s="21"/>
      <c r="AH27" s="22"/>
      <c r="AI27" s="21"/>
      <c r="AJ27" s="22"/>
      <c r="AK27" s="23"/>
      <c r="AL27" s="24">
        <f t="shared" si="0"/>
        <v>328064</v>
      </c>
      <c r="AM27" s="25">
        <f t="shared" si="13"/>
        <v>529521</v>
      </c>
      <c r="AN27" s="21"/>
      <c r="AO27" s="22"/>
      <c r="AP27" s="21"/>
      <c r="AQ27" s="22"/>
      <c r="AR27" s="23"/>
      <c r="AS27" s="24">
        <f t="shared" si="1"/>
        <v>529521</v>
      </c>
      <c r="AT27" s="25">
        <f t="shared" si="14"/>
        <v>44014</v>
      </c>
      <c r="AU27" s="21"/>
      <c r="AV27" s="22"/>
      <c r="AW27" s="21"/>
      <c r="AX27" s="22"/>
      <c r="AY27" s="23"/>
      <c r="AZ27" s="24">
        <f t="shared" si="2"/>
        <v>44014</v>
      </c>
      <c r="BA27" s="25">
        <f t="shared" si="15"/>
        <v>536860</v>
      </c>
      <c r="BB27" s="21"/>
      <c r="BC27" s="22"/>
      <c r="BD27" s="21"/>
      <c r="BE27" s="22"/>
      <c r="BF27" s="23"/>
      <c r="BG27" s="23"/>
      <c r="BH27" s="23"/>
      <c r="BI27" s="23"/>
      <c r="BJ27" s="81">
        <f t="shared" si="16"/>
        <v>536860</v>
      </c>
      <c r="BK27" s="25">
        <f t="shared" si="17"/>
        <v>278400</v>
      </c>
      <c r="BL27" s="21"/>
      <c r="BM27" s="22"/>
      <c r="BN27" s="21"/>
      <c r="BO27" s="22"/>
      <c r="BP27" s="23"/>
      <c r="BQ27" s="86"/>
      <c r="BR27" s="23"/>
      <c r="BS27" s="23"/>
      <c r="BT27" s="81">
        <f t="shared" si="27"/>
        <v>278400</v>
      </c>
      <c r="BU27" s="25">
        <f t="shared" si="18"/>
        <v>508583</v>
      </c>
      <c r="BV27" s="21"/>
      <c r="BW27" s="22"/>
      <c r="BX27" s="21"/>
      <c r="BY27" s="22"/>
      <c r="BZ27" s="23"/>
      <c r="CA27" s="23"/>
      <c r="CB27" s="23"/>
      <c r="CC27" s="23"/>
      <c r="CD27" s="81">
        <f t="shared" si="19"/>
        <v>508583</v>
      </c>
      <c r="CE27" s="25">
        <f t="shared" si="20"/>
        <v>510730</v>
      </c>
      <c r="CF27" s="21"/>
      <c r="CG27" s="22"/>
      <c r="CH27" s="21"/>
      <c r="CI27" s="22"/>
      <c r="CJ27" s="23"/>
      <c r="CK27" s="23"/>
      <c r="CL27" s="23"/>
      <c r="CM27" s="23"/>
      <c r="CN27" s="81">
        <f t="shared" si="21"/>
        <v>510730</v>
      </c>
      <c r="CO27" s="25">
        <f t="shared" si="22"/>
        <v>26023</v>
      </c>
      <c r="CP27" s="21"/>
      <c r="CQ27" s="22"/>
      <c r="CR27" s="21"/>
      <c r="CS27" s="22"/>
      <c r="CT27" s="23"/>
      <c r="CU27" s="23"/>
      <c r="CV27" s="23"/>
      <c r="CW27" s="23"/>
      <c r="CX27" s="81">
        <f t="shared" si="23"/>
        <v>26023</v>
      </c>
      <c r="CY27" s="25">
        <f t="shared" si="24"/>
        <v>1164563</v>
      </c>
      <c r="CZ27" s="21"/>
      <c r="DA27" s="22"/>
      <c r="DB27" s="21"/>
      <c r="DC27" s="22"/>
      <c r="DD27" s="23"/>
      <c r="DE27" s="24">
        <f t="shared" si="3"/>
        <v>1164563</v>
      </c>
      <c r="DF27" s="25">
        <f t="shared" si="25"/>
        <v>961820</v>
      </c>
      <c r="DG27" s="21"/>
      <c r="DH27" s="22"/>
      <c r="DI27" s="21"/>
      <c r="DJ27" s="22"/>
      <c r="DK27" s="23"/>
      <c r="DL27" s="24">
        <f t="shared" si="4"/>
        <v>961820</v>
      </c>
      <c r="DM27" s="25">
        <f t="shared" si="26"/>
        <v>32951</v>
      </c>
      <c r="DN27" s="21"/>
      <c r="DO27" s="22"/>
      <c r="DP27" s="21"/>
      <c r="DQ27" s="22"/>
      <c r="DR27" s="23"/>
      <c r="DS27" s="24">
        <f t="shared" si="5"/>
        <v>32951</v>
      </c>
    </row>
    <row r="28" spans="1:123" ht="20" customHeight="1" x14ac:dyDescent="0.2">
      <c r="A28" s="19" t="s">
        <v>159</v>
      </c>
      <c r="B28" s="25">
        <f t="shared" si="6"/>
        <v>2506149</v>
      </c>
      <c r="C28" s="21"/>
      <c r="D28" s="22"/>
      <c r="E28" s="21"/>
      <c r="F28" s="22"/>
      <c r="G28" s="23"/>
      <c r="H28" s="23"/>
      <c r="I28" s="23"/>
      <c r="J28" s="23"/>
      <c r="K28" s="81">
        <f t="shared" si="7"/>
        <v>2506149</v>
      </c>
      <c r="L28" s="25">
        <f t="shared" si="8"/>
        <v>2577692</v>
      </c>
      <c r="M28" s="21"/>
      <c r="N28" s="22"/>
      <c r="O28" s="21"/>
      <c r="P28" s="22"/>
      <c r="Q28" s="23"/>
      <c r="R28" s="23"/>
      <c r="S28" s="23"/>
      <c r="T28" s="23"/>
      <c r="U28" s="81">
        <f t="shared" si="9"/>
        <v>2577692</v>
      </c>
      <c r="V28" s="25">
        <f t="shared" si="10"/>
        <v>2443036</v>
      </c>
      <c r="W28" s="21"/>
      <c r="X28" s="22"/>
      <c r="Y28" s="21"/>
      <c r="Z28" s="22"/>
      <c r="AA28" s="23"/>
      <c r="AB28" s="23"/>
      <c r="AC28" s="23"/>
      <c r="AD28" s="23"/>
      <c r="AE28" s="81">
        <f t="shared" si="11"/>
        <v>2443036</v>
      </c>
      <c r="AF28" s="25">
        <f t="shared" si="12"/>
        <v>328064</v>
      </c>
      <c r="AG28" s="21"/>
      <c r="AH28" s="22"/>
      <c r="AI28" s="21"/>
      <c r="AJ28" s="22"/>
      <c r="AK28" s="23"/>
      <c r="AL28" s="24">
        <f t="shared" si="0"/>
        <v>328064</v>
      </c>
      <c r="AM28" s="25">
        <f t="shared" si="13"/>
        <v>529521</v>
      </c>
      <c r="AN28" s="21"/>
      <c r="AO28" s="22"/>
      <c r="AP28" s="21"/>
      <c r="AQ28" s="22"/>
      <c r="AR28" s="23"/>
      <c r="AS28" s="24">
        <f t="shared" si="1"/>
        <v>529521</v>
      </c>
      <c r="AT28" s="25">
        <f t="shared" si="14"/>
        <v>44014</v>
      </c>
      <c r="AU28" s="21"/>
      <c r="AV28" s="22"/>
      <c r="AW28" s="21"/>
      <c r="AX28" s="22"/>
      <c r="AY28" s="23"/>
      <c r="AZ28" s="24">
        <f t="shared" si="2"/>
        <v>44014</v>
      </c>
      <c r="BA28" s="25">
        <f t="shared" si="15"/>
        <v>536860</v>
      </c>
      <c r="BB28" s="21"/>
      <c r="BC28" s="22"/>
      <c r="BD28" s="21"/>
      <c r="BE28" s="22"/>
      <c r="BF28" s="23"/>
      <c r="BG28" s="23"/>
      <c r="BH28" s="23"/>
      <c r="BI28" s="23"/>
      <c r="BJ28" s="81">
        <f t="shared" si="16"/>
        <v>536860</v>
      </c>
      <c r="BK28" s="25">
        <f t="shared" si="17"/>
        <v>278400</v>
      </c>
      <c r="BL28" s="21"/>
      <c r="BM28" s="22"/>
      <c r="BN28" s="21"/>
      <c r="BO28" s="22"/>
      <c r="BP28" s="23"/>
      <c r="BQ28" s="86"/>
      <c r="BR28" s="23"/>
      <c r="BS28" s="23"/>
      <c r="BT28" s="81">
        <f t="shared" si="27"/>
        <v>278400</v>
      </c>
      <c r="BU28" s="25">
        <f t="shared" si="18"/>
        <v>508583</v>
      </c>
      <c r="BV28" s="21"/>
      <c r="BW28" s="22"/>
      <c r="BX28" s="21"/>
      <c r="BY28" s="22"/>
      <c r="BZ28" s="23"/>
      <c r="CA28" s="23"/>
      <c r="CB28" s="23"/>
      <c r="CC28" s="23"/>
      <c r="CD28" s="81">
        <f t="shared" si="19"/>
        <v>508583</v>
      </c>
      <c r="CE28" s="25">
        <f t="shared" si="20"/>
        <v>510730</v>
      </c>
      <c r="CF28" s="21"/>
      <c r="CG28" s="22"/>
      <c r="CH28" s="21"/>
      <c r="CI28" s="22"/>
      <c r="CJ28" s="23"/>
      <c r="CK28" s="23"/>
      <c r="CL28" s="23"/>
      <c r="CM28" s="23"/>
      <c r="CN28" s="81">
        <f t="shared" si="21"/>
        <v>510730</v>
      </c>
      <c r="CO28" s="25">
        <f t="shared" si="22"/>
        <v>26023</v>
      </c>
      <c r="CP28" s="21"/>
      <c r="CQ28" s="22"/>
      <c r="CR28" s="21"/>
      <c r="CS28" s="22"/>
      <c r="CT28" s="23"/>
      <c r="CU28" s="23"/>
      <c r="CV28" s="23"/>
      <c r="CW28" s="23"/>
      <c r="CX28" s="81">
        <f t="shared" si="23"/>
        <v>26023</v>
      </c>
      <c r="CY28" s="25">
        <f t="shared" si="24"/>
        <v>1164563</v>
      </c>
      <c r="CZ28" s="21"/>
      <c r="DA28" s="22"/>
      <c r="DB28" s="21"/>
      <c r="DC28" s="22"/>
      <c r="DD28" s="23"/>
      <c r="DE28" s="24">
        <f t="shared" si="3"/>
        <v>1164563</v>
      </c>
      <c r="DF28" s="25">
        <f t="shared" si="25"/>
        <v>961820</v>
      </c>
      <c r="DG28" s="21"/>
      <c r="DH28" s="22"/>
      <c r="DI28" s="21"/>
      <c r="DJ28" s="22"/>
      <c r="DK28" s="23"/>
      <c r="DL28" s="24">
        <f t="shared" si="4"/>
        <v>961820</v>
      </c>
      <c r="DM28" s="25">
        <f t="shared" si="26"/>
        <v>32951</v>
      </c>
      <c r="DN28" s="21"/>
      <c r="DO28" s="22"/>
      <c r="DP28" s="21"/>
      <c r="DQ28" s="22"/>
      <c r="DR28" s="23"/>
      <c r="DS28" s="24">
        <f t="shared" si="5"/>
        <v>32951</v>
      </c>
    </row>
    <row r="29" spans="1:123" ht="20" customHeight="1" x14ac:dyDescent="0.2">
      <c r="A29" s="20" t="s">
        <v>160</v>
      </c>
      <c r="B29" s="25">
        <f t="shared" si="6"/>
        <v>2506149</v>
      </c>
      <c r="C29" s="21"/>
      <c r="D29" s="22"/>
      <c r="E29" s="21"/>
      <c r="F29" s="22"/>
      <c r="G29" s="23"/>
      <c r="H29" s="23"/>
      <c r="I29" s="23"/>
      <c r="J29" s="23"/>
      <c r="K29" s="81">
        <f t="shared" si="7"/>
        <v>2506149</v>
      </c>
      <c r="L29" s="25">
        <f t="shared" si="8"/>
        <v>2577692</v>
      </c>
      <c r="M29" s="21"/>
      <c r="N29" s="22"/>
      <c r="O29" s="21"/>
      <c r="P29" s="22"/>
      <c r="Q29" s="23"/>
      <c r="R29" s="23"/>
      <c r="S29" s="23"/>
      <c r="T29" s="23"/>
      <c r="U29" s="81">
        <f t="shared" si="9"/>
        <v>2577692</v>
      </c>
      <c r="V29" s="25">
        <f t="shared" si="10"/>
        <v>2443036</v>
      </c>
      <c r="W29" s="21"/>
      <c r="X29" s="22"/>
      <c r="Y29" s="21"/>
      <c r="Z29" s="22"/>
      <c r="AA29" s="23"/>
      <c r="AB29" s="23"/>
      <c r="AC29" s="23"/>
      <c r="AD29" s="23"/>
      <c r="AE29" s="81">
        <f t="shared" si="11"/>
        <v>2443036</v>
      </c>
      <c r="AF29" s="25">
        <f t="shared" si="12"/>
        <v>328064</v>
      </c>
      <c r="AG29" s="21"/>
      <c r="AH29" s="22"/>
      <c r="AI29" s="21"/>
      <c r="AJ29" s="22"/>
      <c r="AK29" s="23"/>
      <c r="AL29" s="24">
        <f t="shared" si="0"/>
        <v>328064</v>
      </c>
      <c r="AM29" s="25">
        <f t="shared" si="13"/>
        <v>529521</v>
      </c>
      <c r="AN29" s="21"/>
      <c r="AO29" s="22"/>
      <c r="AP29" s="21"/>
      <c r="AQ29" s="22"/>
      <c r="AR29" s="23"/>
      <c r="AS29" s="24">
        <f t="shared" si="1"/>
        <v>529521</v>
      </c>
      <c r="AT29" s="25">
        <f t="shared" si="14"/>
        <v>44014</v>
      </c>
      <c r="AU29" s="21"/>
      <c r="AV29" s="22"/>
      <c r="AW29" s="21"/>
      <c r="AX29" s="22"/>
      <c r="AY29" s="23"/>
      <c r="AZ29" s="24">
        <f t="shared" si="2"/>
        <v>44014</v>
      </c>
      <c r="BA29" s="25">
        <f t="shared" si="15"/>
        <v>536860</v>
      </c>
      <c r="BB29" s="21"/>
      <c r="BC29" s="22"/>
      <c r="BD29" s="21"/>
      <c r="BE29" s="22"/>
      <c r="BF29" s="23"/>
      <c r="BG29" s="23"/>
      <c r="BH29" s="23"/>
      <c r="BI29" s="23"/>
      <c r="BJ29" s="81">
        <f t="shared" si="16"/>
        <v>536860</v>
      </c>
      <c r="BK29" s="25">
        <f t="shared" si="17"/>
        <v>278400</v>
      </c>
      <c r="BL29" s="21"/>
      <c r="BM29" s="22"/>
      <c r="BN29" s="21"/>
      <c r="BO29" s="22"/>
      <c r="BP29" s="23"/>
      <c r="BQ29" s="86"/>
      <c r="BR29" s="23"/>
      <c r="BS29" s="23"/>
      <c r="BT29" s="81">
        <f t="shared" si="27"/>
        <v>278400</v>
      </c>
      <c r="BU29" s="25">
        <f t="shared" si="18"/>
        <v>508583</v>
      </c>
      <c r="BV29" s="21"/>
      <c r="BW29" s="22"/>
      <c r="BX29" s="21"/>
      <c r="BY29" s="22"/>
      <c r="BZ29" s="23"/>
      <c r="CA29" s="23"/>
      <c r="CB29" s="23"/>
      <c r="CC29" s="23"/>
      <c r="CD29" s="81">
        <f t="shared" si="19"/>
        <v>508583</v>
      </c>
      <c r="CE29" s="25">
        <f t="shared" si="20"/>
        <v>510730</v>
      </c>
      <c r="CF29" s="21"/>
      <c r="CG29" s="22"/>
      <c r="CH29" s="21"/>
      <c r="CI29" s="22"/>
      <c r="CJ29" s="23"/>
      <c r="CK29" s="23"/>
      <c r="CL29" s="23"/>
      <c r="CM29" s="23"/>
      <c r="CN29" s="81">
        <f t="shared" si="21"/>
        <v>510730</v>
      </c>
      <c r="CO29" s="25">
        <f t="shared" si="22"/>
        <v>26023</v>
      </c>
      <c r="CP29" s="21"/>
      <c r="CQ29" s="22"/>
      <c r="CR29" s="21"/>
      <c r="CS29" s="22"/>
      <c r="CT29" s="23"/>
      <c r="CU29" s="23"/>
      <c r="CV29" s="23"/>
      <c r="CW29" s="23"/>
      <c r="CX29" s="81">
        <f t="shared" si="23"/>
        <v>26023</v>
      </c>
      <c r="CY29" s="25">
        <f t="shared" si="24"/>
        <v>1164563</v>
      </c>
      <c r="CZ29" s="21"/>
      <c r="DA29" s="22"/>
      <c r="DB29" s="21"/>
      <c r="DC29" s="22"/>
      <c r="DD29" s="23"/>
      <c r="DE29" s="24">
        <f t="shared" si="3"/>
        <v>1164563</v>
      </c>
      <c r="DF29" s="25">
        <f t="shared" si="25"/>
        <v>961820</v>
      </c>
      <c r="DG29" s="21"/>
      <c r="DH29" s="22"/>
      <c r="DI29" s="21"/>
      <c r="DJ29" s="22"/>
      <c r="DK29" s="23"/>
      <c r="DL29" s="24">
        <f t="shared" si="4"/>
        <v>961820</v>
      </c>
      <c r="DM29" s="25">
        <f t="shared" si="26"/>
        <v>32951</v>
      </c>
      <c r="DN29" s="21"/>
      <c r="DO29" s="22"/>
      <c r="DP29" s="21"/>
      <c r="DQ29" s="22"/>
      <c r="DR29" s="23"/>
      <c r="DS29" s="24">
        <f t="shared" si="5"/>
        <v>32951</v>
      </c>
    </row>
    <row r="30" spans="1:123" ht="20" customHeight="1" x14ac:dyDescent="0.2">
      <c r="A30" s="19" t="s">
        <v>161</v>
      </c>
      <c r="B30" s="25">
        <f t="shared" si="6"/>
        <v>2506149</v>
      </c>
      <c r="C30" s="21"/>
      <c r="D30" s="22"/>
      <c r="E30" s="21"/>
      <c r="F30" s="22"/>
      <c r="G30" s="23"/>
      <c r="H30" s="23"/>
      <c r="I30" s="23"/>
      <c r="J30" s="23"/>
      <c r="K30" s="81">
        <f t="shared" si="7"/>
        <v>2506149</v>
      </c>
      <c r="L30" s="25">
        <f t="shared" si="8"/>
        <v>2577692</v>
      </c>
      <c r="M30" s="21"/>
      <c r="N30" s="22"/>
      <c r="O30" s="21"/>
      <c r="P30" s="22"/>
      <c r="Q30" s="23"/>
      <c r="R30" s="23"/>
      <c r="S30" s="23"/>
      <c r="T30" s="23"/>
      <c r="U30" s="81">
        <f t="shared" si="9"/>
        <v>2577692</v>
      </c>
      <c r="V30" s="25">
        <f t="shared" si="10"/>
        <v>2443036</v>
      </c>
      <c r="W30" s="21"/>
      <c r="X30" s="22"/>
      <c r="Y30" s="21"/>
      <c r="Z30" s="22"/>
      <c r="AA30" s="23"/>
      <c r="AB30" s="23"/>
      <c r="AC30" s="23"/>
      <c r="AD30" s="23"/>
      <c r="AE30" s="81">
        <f t="shared" si="11"/>
        <v>2443036</v>
      </c>
      <c r="AF30" s="25">
        <f t="shared" si="12"/>
        <v>328064</v>
      </c>
      <c r="AG30" s="21"/>
      <c r="AH30" s="22"/>
      <c r="AI30" s="21"/>
      <c r="AJ30" s="22"/>
      <c r="AK30" s="23"/>
      <c r="AL30" s="24">
        <f t="shared" si="0"/>
        <v>328064</v>
      </c>
      <c r="AM30" s="25">
        <f t="shared" si="13"/>
        <v>529521</v>
      </c>
      <c r="AN30" s="21"/>
      <c r="AO30" s="22"/>
      <c r="AP30" s="21"/>
      <c r="AQ30" s="22"/>
      <c r="AR30" s="23"/>
      <c r="AS30" s="24">
        <f t="shared" si="1"/>
        <v>529521</v>
      </c>
      <c r="AT30" s="25">
        <f t="shared" si="14"/>
        <v>44014</v>
      </c>
      <c r="AU30" s="21"/>
      <c r="AV30" s="22"/>
      <c r="AW30" s="21"/>
      <c r="AX30" s="22"/>
      <c r="AY30" s="23"/>
      <c r="AZ30" s="24">
        <f t="shared" si="2"/>
        <v>44014</v>
      </c>
      <c r="BA30" s="25">
        <f t="shared" si="15"/>
        <v>536860</v>
      </c>
      <c r="BB30" s="21"/>
      <c r="BC30" s="22"/>
      <c r="BD30" s="21"/>
      <c r="BE30" s="22"/>
      <c r="BF30" s="23"/>
      <c r="BG30" s="23"/>
      <c r="BH30" s="23"/>
      <c r="BI30" s="23"/>
      <c r="BJ30" s="81">
        <f t="shared" si="16"/>
        <v>536860</v>
      </c>
      <c r="BK30" s="25">
        <f t="shared" si="17"/>
        <v>278400</v>
      </c>
      <c r="BL30" s="21"/>
      <c r="BM30" s="22"/>
      <c r="BN30" s="21"/>
      <c r="BO30" s="22"/>
      <c r="BP30" s="23"/>
      <c r="BQ30" s="86"/>
      <c r="BR30" s="23"/>
      <c r="BS30" s="23"/>
      <c r="BT30" s="81">
        <f t="shared" si="27"/>
        <v>278400</v>
      </c>
      <c r="BU30" s="25">
        <f t="shared" si="18"/>
        <v>508583</v>
      </c>
      <c r="BV30" s="21"/>
      <c r="BW30" s="22"/>
      <c r="BX30" s="21"/>
      <c r="BY30" s="22"/>
      <c r="BZ30" s="23"/>
      <c r="CA30" s="23"/>
      <c r="CB30" s="23"/>
      <c r="CC30" s="23"/>
      <c r="CD30" s="81">
        <f t="shared" si="19"/>
        <v>508583</v>
      </c>
      <c r="CE30" s="25">
        <f t="shared" si="20"/>
        <v>510730</v>
      </c>
      <c r="CF30" s="21"/>
      <c r="CG30" s="22"/>
      <c r="CH30" s="21"/>
      <c r="CI30" s="22"/>
      <c r="CJ30" s="23"/>
      <c r="CK30" s="23"/>
      <c r="CL30" s="23"/>
      <c r="CM30" s="23"/>
      <c r="CN30" s="81">
        <f t="shared" si="21"/>
        <v>510730</v>
      </c>
      <c r="CO30" s="25">
        <f t="shared" si="22"/>
        <v>26023</v>
      </c>
      <c r="CP30" s="21"/>
      <c r="CQ30" s="22"/>
      <c r="CR30" s="21"/>
      <c r="CS30" s="22"/>
      <c r="CT30" s="23"/>
      <c r="CU30" s="23"/>
      <c r="CV30" s="23"/>
      <c r="CW30" s="23"/>
      <c r="CX30" s="81">
        <f t="shared" si="23"/>
        <v>26023</v>
      </c>
      <c r="CY30" s="25">
        <f t="shared" si="24"/>
        <v>1164563</v>
      </c>
      <c r="CZ30" s="21"/>
      <c r="DA30" s="22"/>
      <c r="DB30" s="21"/>
      <c r="DC30" s="22"/>
      <c r="DD30" s="23"/>
      <c r="DE30" s="24">
        <f t="shared" si="3"/>
        <v>1164563</v>
      </c>
      <c r="DF30" s="25">
        <f t="shared" si="25"/>
        <v>961820</v>
      </c>
      <c r="DG30" s="21"/>
      <c r="DH30" s="22"/>
      <c r="DI30" s="21"/>
      <c r="DJ30" s="22"/>
      <c r="DK30" s="23"/>
      <c r="DL30" s="24">
        <f t="shared" si="4"/>
        <v>961820</v>
      </c>
      <c r="DM30" s="25">
        <f t="shared" si="26"/>
        <v>32951</v>
      </c>
      <c r="DN30" s="21"/>
      <c r="DO30" s="22"/>
      <c r="DP30" s="21"/>
      <c r="DQ30" s="22"/>
      <c r="DR30" s="23"/>
      <c r="DS30" s="24">
        <f t="shared" si="5"/>
        <v>32951</v>
      </c>
    </row>
    <row r="31" spans="1:123" ht="20" customHeight="1" x14ac:dyDescent="0.2">
      <c r="A31" s="20" t="s">
        <v>162</v>
      </c>
      <c r="B31" s="25">
        <f t="shared" si="6"/>
        <v>2506149</v>
      </c>
      <c r="C31" s="21"/>
      <c r="D31" s="22"/>
      <c r="E31" s="21"/>
      <c r="F31" s="22"/>
      <c r="G31" s="23"/>
      <c r="H31" s="23"/>
      <c r="I31" s="23"/>
      <c r="J31" s="23"/>
      <c r="K31" s="81">
        <f t="shared" si="7"/>
        <v>2506149</v>
      </c>
      <c r="L31" s="25">
        <f t="shared" si="8"/>
        <v>2577692</v>
      </c>
      <c r="M31" s="21"/>
      <c r="N31" s="22"/>
      <c r="O31" s="21"/>
      <c r="P31" s="22"/>
      <c r="Q31" s="23"/>
      <c r="R31" s="23"/>
      <c r="S31" s="23"/>
      <c r="T31" s="23"/>
      <c r="U31" s="81">
        <f t="shared" si="9"/>
        <v>2577692</v>
      </c>
      <c r="V31" s="25">
        <f t="shared" si="10"/>
        <v>2443036</v>
      </c>
      <c r="W31" s="21"/>
      <c r="X31" s="22"/>
      <c r="Y31" s="21"/>
      <c r="Z31" s="22"/>
      <c r="AA31" s="23"/>
      <c r="AB31" s="23"/>
      <c r="AC31" s="23"/>
      <c r="AD31" s="23"/>
      <c r="AE31" s="81">
        <f t="shared" si="11"/>
        <v>2443036</v>
      </c>
      <c r="AF31" s="25">
        <f t="shared" si="12"/>
        <v>328064</v>
      </c>
      <c r="AG31" s="21"/>
      <c r="AH31" s="22"/>
      <c r="AI31" s="21"/>
      <c r="AJ31" s="22"/>
      <c r="AK31" s="23"/>
      <c r="AL31" s="24">
        <f t="shared" si="0"/>
        <v>328064</v>
      </c>
      <c r="AM31" s="25">
        <f t="shared" si="13"/>
        <v>529521</v>
      </c>
      <c r="AN31" s="21"/>
      <c r="AO31" s="22"/>
      <c r="AP31" s="21"/>
      <c r="AQ31" s="22"/>
      <c r="AR31" s="23"/>
      <c r="AS31" s="24">
        <f t="shared" si="1"/>
        <v>529521</v>
      </c>
      <c r="AT31" s="25">
        <f t="shared" si="14"/>
        <v>44014</v>
      </c>
      <c r="AU31" s="21"/>
      <c r="AV31" s="22"/>
      <c r="AW31" s="21"/>
      <c r="AX31" s="22"/>
      <c r="AY31" s="23"/>
      <c r="AZ31" s="24">
        <f t="shared" si="2"/>
        <v>44014</v>
      </c>
      <c r="BA31" s="25">
        <f t="shared" si="15"/>
        <v>536860</v>
      </c>
      <c r="BB31" s="21"/>
      <c r="BC31" s="22"/>
      <c r="BD31" s="21"/>
      <c r="BE31" s="22"/>
      <c r="BF31" s="23"/>
      <c r="BG31" s="23"/>
      <c r="BH31" s="23"/>
      <c r="BI31" s="23"/>
      <c r="BJ31" s="81">
        <f t="shared" si="16"/>
        <v>536860</v>
      </c>
      <c r="BK31" s="25">
        <f t="shared" si="17"/>
        <v>278400</v>
      </c>
      <c r="BL31" s="21"/>
      <c r="BM31" s="22"/>
      <c r="BN31" s="21"/>
      <c r="BO31" s="22"/>
      <c r="BP31" s="23"/>
      <c r="BQ31" s="86"/>
      <c r="BR31" s="23"/>
      <c r="BS31" s="23"/>
      <c r="BT31" s="81">
        <f t="shared" si="27"/>
        <v>278400</v>
      </c>
      <c r="BU31" s="25">
        <f t="shared" si="18"/>
        <v>508583</v>
      </c>
      <c r="BV31" s="21"/>
      <c r="BW31" s="22"/>
      <c r="BX31" s="21"/>
      <c r="BY31" s="22"/>
      <c r="BZ31" s="23"/>
      <c r="CA31" s="23"/>
      <c r="CB31" s="23"/>
      <c r="CC31" s="23"/>
      <c r="CD31" s="81">
        <f t="shared" si="19"/>
        <v>508583</v>
      </c>
      <c r="CE31" s="25">
        <f t="shared" si="20"/>
        <v>510730</v>
      </c>
      <c r="CF31" s="21"/>
      <c r="CG31" s="22"/>
      <c r="CH31" s="21"/>
      <c r="CI31" s="22"/>
      <c r="CJ31" s="23"/>
      <c r="CK31" s="23"/>
      <c r="CL31" s="23"/>
      <c r="CM31" s="23"/>
      <c r="CN31" s="81">
        <f t="shared" si="21"/>
        <v>510730</v>
      </c>
      <c r="CO31" s="25">
        <f t="shared" si="22"/>
        <v>26023</v>
      </c>
      <c r="CP31" s="21"/>
      <c r="CQ31" s="22"/>
      <c r="CR31" s="21"/>
      <c r="CS31" s="22"/>
      <c r="CT31" s="23"/>
      <c r="CU31" s="23"/>
      <c r="CV31" s="23"/>
      <c r="CW31" s="23"/>
      <c r="CX31" s="81">
        <f t="shared" si="23"/>
        <v>26023</v>
      </c>
      <c r="CY31" s="25">
        <f t="shared" si="24"/>
        <v>1164563</v>
      </c>
      <c r="CZ31" s="21"/>
      <c r="DA31" s="22"/>
      <c r="DB31" s="21"/>
      <c r="DC31" s="22"/>
      <c r="DD31" s="23"/>
      <c r="DE31" s="24">
        <f t="shared" si="3"/>
        <v>1164563</v>
      </c>
      <c r="DF31" s="25">
        <f t="shared" si="25"/>
        <v>961820</v>
      </c>
      <c r="DG31" s="21"/>
      <c r="DH31" s="22"/>
      <c r="DI31" s="21"/>
      <c r="DJ31" s="22"/>
      <c r="DK31" s="23"/>
      <c r="DL31" s="24">
        <f t="shared" si="4"/>
        <v>961820</v>
      </c>
      <c r="DM31" s="25">
        <f t="shared" si="26"/>
        <v>32951</v>
      </c>
      <c r="DN31" s="21"/>
      <c r="DO31" s="22"/>
      <c r="DP31" s="21"/>
      <c r="DQ31" s="22"/>
      <c r="DR31" s="23"/>
      <c r="DS31" s="24">
        <f t="shared" si="5"/>
        <v>32951</v>
      </c>
    </row>
    <row r="32" spans="1:123" ht="20" customHeight="1" x14ac:dyDescent="0.2">
      <c r="A32" s="18" t="s">
        <v>163</v>
      </c>
      <c r="B32" s="25">
        <f t="shared" si="6"/>
        <v>2506149</v>
      </c>
      <c r="C32" s="21"/>
      <c r="D32" s="22"/>
      <c r="E32" s="21"/>
      <c r="F32" s="22"/>
      <c r="G32" s="23"/>
      <c r="H32" s="23"/>
      <c r="I32" s="23"/>
      <c r="J32" s="23"/>
      <c r="K32" s="81">
        <f t="shared" si="7"/>
        <v>2506149</v>
      </c>
      <c r="L32" s="25">
        <f t="shared" si="8"/>
        <v>2577692</v>
      </c>
      <c r="M32" s="21"/>
      <c r="N32" s="22"/>
      <c r="O32" s="21"/>
      <c r="P32" s="22"/>
      <c r="Q32" s="23"/>
      <c r="R32" s="23"/>
      <c r="S32" s="23"/>
      <c r="T32" s="23"/>
      <c r="U32" s="81">
        <f t="shared" si="9"/>
        <v>2577692</v>
      </c>
      <c r="V32" s="25">
        <f t="shared" si="10"/>
        <v>2443036</v>
      </c>
      <c r="W32" s="21"/>
      <c r="X32" s="22"/>
      <c r="Y32" s="21"/>
      <c r="Z32" s="22"/>
      <c r="AA32" s="23"/>
      <c r="AB32" s="23"/>
      <c r="AC32" s="23"/>
      <c r="AD32" s="23"/>
      <c r="AE32" s="81">
        <f t="shared" si="11"/>
        <v>2443036</v>
      </c>
      <c r="AF32" s="25">
        <f t="shared" si="12"/>
        <v>328064</v>
      </c>
      <c r="AG32" s="21"/>
      <c r="AH32" s="22"/>
      <c r="AI32" s="21"/>
      <c r="AJ32" s="22"/>
      <c r="AK32" s="23"/>
      <c r="AL32" s="24">
        <f t="shared" si="0"/>
        <v>328064</v>
      </c>
      <c r="AM32" s="25">
        <f t="shared" si="13"/>
        <v>529521</v>
      </c>
      <c r="AN32" s="21"/>
      <c r="AO32" s="22"/>
      <c r="AP32" s="21"/>
      <c r="AQ32" s="22"/>
      <c r="AR32" s="23"/>
      <c r="AS32" s="24">
        <f t="shared" si="1"/>
        <v>529521</v>
      </c>
      <c r="AT32" s="25">
        <f t="shared" si="14"/>
        <v>44014</v>
      </c>
      <c r="AU32" s="21"/>
      <c r="AV32" s="22"/>
      <c r="AW32" s="21"/>
      <c r="AX32" s="22"/>
      <c r="AY32" s="23"/>
      <c r="AZ32" s="24">
        <f t="shared" si="2"/>
        <v>44014</v>
      </c>
      <c r="BA32" s="25">
        <f t="shared" si="15"/>
        <v>536860</v>
      </c>
      <c r="BB32" s="21"/>
      <c r="BC32" s="22"/>
      <c r="BD32" s="21"/>
      <c r="BE32" s="22"/>
      <c r="BF32" s="23"/>
      <c r="BG32" s="23"/>
      <c r="BH32" s="23"/>
      <c r="BI32" s="23"/>
      <c r="BJ32" s="81">
        <f t="shared" si="16"/>
        <v>536860</v>
      </c>
      <c r="BK32" s="25">
        <f t="shared" si="17"/>
        <v>278400</v>
      </c>
      <c r="BL32" s="21"/>
      <c r="BM32" s="22"/>
      <c r="BN32" s="21"/>
      <c r="BO32" s="22"/>
      <c r="BP32" s="23"/>
      <c r="BQ32" s="86"/>
      <c r="BR32" s="23"/>
      <c r="BS32" s="23"/>
      <c r="BT32" s="81">
        <f t="shared" si="27"/>
        <v>278400</v>
      </c>
      <c r="BU32" s="25">
        <f t="shared" si="18"/>
        <v>508583</v>
      </c>
      <c r="BV32" s="21"/>
      <c r="BW32" s="22"/>
      <c r="BX32" s="21"/>
      <c r="BY32" s="22"/>
      <c r="BZ32" s="23"/>
      <c r="CA32" s="23"/>
      <c r="CB32" s="23"/>
      <c r="CC32" s="23"/>
      <c r="CD32" s="81">
        <f t="shared" si="19"/>
        <v>508583</v>
      </c>
      <c r="CE32" s="25">
        <f t="shared" si="20"/>
        <v>510730</v>
      </c>
      <c r="CF32" s="21"/>
      <c r="CG32" s="22"/>
      <c r="CH32" s="21"/>
      <c r="CI32" s="22"/>
      <c r="CJ32" s="23"/>
      <c r="CK32" s="23"/>
      <c r="CL32" s="23"/>
      <c r="CM32" s="23"/>
      <c r="CN32" s="81">
        <f t="shared" si="21"/>
        <v>510730</v>
      </c>
      <c r="CO32" s="25">
        <f t="shared" si="22"/>
        <v>26023</v>
      </c>
      <c r="CP32" s="21"/>
      <c r="CQ32" s="22"/>
      <c r="CR32" s="21"/>
      <c r="CS32" s="22"/>
      <c r="CT32" s="23"/>
      <c r="CU32" s="23"/>
      <c r="CV32" s="23"/>
      <c r="CW32" s="23"/>
      <c r="CX32" s="81">
        <f t="shared" si="23"/>
        <v>26023</v>
      </c>
      <c r="CY32" s="25">
        <f t="shared" si="24"/>
        <v>1164563</v>
      </c>
      <c r="CZ32" s="21"/>
      <c r="DA32" s="22"/>
      <c r="DB32" s="21"/>
      <c r="DC32" s="22"/>
      <c r="DD32" s="23"/>
      <c r="DE32" s="24">
        <f t="shared" si="3"/>
        <v>1164563</v>
      </c>
      <c r="DF32" s="25">
        <f t="shared" si="25"/>
        <v>961820</v>
      </c>
      <c r="DG32" s="21"/>
      <c r="DH32" s="22"/>
      <c r="DI32" s="21"/>
      <c r="DJ32" s="22"/>
      <c r="DK32" s="23"/>
      <c r="DL32" s="24">
        <f t="shared" si="4"/>
        <v>961820</v>
      </c>
      <c r="DM32" s="25">
        <f t="shared" si="26"/>
        <v>32951</v>
      </c>
      <c r="DN32" s="21"/>
      <c r="DO32" s="22"/>
      <c r="DP32" s="21"/>
      <c r="DQ32" s="22"/>
      <c r="DR32" s="23"/>
      <c r="DS32" s="24">
        <f t="shared" si="5"/>
        <v>32951</v>
      </c>
    </row>
    <row r="33" spans="1:123" ht="20" customHeight="1" x14ac:dyDescent="0.2">
      <c r="A33" s="18" t="s">
        <v>164</v>
      </c>
      <c r="B33" s="25">
        <f t="shared" si="6"/>
        <v>2506149</v>
      </c>
      <c r="C33" s="21"/>
      <c r="D33" s="22"/>
      <c r="E33" s="21"/>
      <c r="F33" s="22"/>
      <c r="G33" s="23"/>
      <c r="H33" s="23"/>
      <c r="I33" s="23"/>
      <c r="J33" s="23"/>
      <c r="K33" s="81">
        <f t="shared" si="7"/>
        <v>2506149</v>
      </c>
      <c r="L33" s="25">
        <f t="shared" si="8"/>
        <v>2577692</v>
      </c>
      <c r="M33" s="21"/>
      <c r="N33" s="22"/>
      <c r="O33" s="21"/>
      <c r="P33" s="22"/>
      <c r="Q33" s="23"/>
      <c r="R33" s="23"/>
      <c r="S33" s="23"/>
      <c r="T33" s="23"/>
      <c r="U33" s="81">
        <f t="shared" si="9"/>
        <v>2577692</v>
      </c>
      <c r="V33" s="25">
        <f t="shared" si="10"/>
        <v>2443036</v>
      </c>
      <c r="W33" s="21"/>
      <c r="X33" s="22"/>
      <c r="Y33" s="21"/>
      <c r="Z33" s="22"/>
      <c r="AA33" s="23"/>
      <c r="AB33" s="23"/>
      <c r="AC33" s="23"/>
      <c r="AD33" s="23"/>
      <c r="AE33" s="81">
        <f t="shared" si="11"/>
        <v>2443036</v>
      </c>
      <c r="AF33" s="25">
        <f t="shared" si="12"/>
        <v>328064</v>
      </c>
      <c r="AG33" s="21"/>
      <c r="AH33" s="22"/>
      <c r="AI33" s="21"/>
      <c r="AJ33" s="22"/>
      <c r="AK33" s="23"/>
      <c r="AL33" s="24">
        <f t="shared" si="0"/>
        <v>328064</v>
      </c>
      <c r="AM33" s="25">
        <f t="shared" si="13"/>
        <v>529521</v>
      </c>
      <c r="AN33" s="21"/>
      <c r="AO33" s="22"/>
      <c r="AP33" s="21"/>
      <c r="AQ33" s="22"/>
      <c r="AR33" s="23"/>
      <c r="AS33" s="24">
        <f t="shared" si="1"/>
        <v>529521</v>
      </c>
      <c r="AT33" s="25">
        <f t="shared" si="14"/>
        <v>44014</v>
      </c>
      <c r="AU33" s="21"/>
      <c r="AV33" s="22"/>
      <c r="AW33" s="21"/>
      <c r="AX33" s="22"/>
      <c r="AY33" s="23"/>
      <c r="AZ33" s="24">
        <f t="shared" si="2"/>
        <v>44014</v>
      </c>
      <c r="BA33" s="25">
        <f t="shared" si="15"/>
        <v>536860</v>
      </c>
      <c r="BB33" s="21"/>
      <c r="BC33" s="22"/>
      <c r="BD33" s="21"/>
      <c r="BE33" s="22"/>
      <c r="BF33" s="23"/>
      <c r="BG33" s="23"/>
      <c r="BH33" s="23"/>
      <c r="BI33" s="23"/>
      <c r="BJ33" s="81">
        <f t="shared" si="16"/>
        <v>536860</v>
      </c>
      <c r="BK33" s="25">
        <f t="shared" si="17"/>
        <v>278400</v>
      </c>
      <c r="BL33" s="21"/>
      <c r="BM33" s="22"/>
      <c r="BN33" s="21"/>
      <c r="BO33" s="22"/>
      <c r="BP33" s="23"/>
      <c r="BQ33" s="86"/>
      <c r="BR33" s="23"/>
      <c r="BS33" s="23"/>
      <c r="BT33" s="81">
        <f t="shared" si="27"/>
        <v>278400</v>
      </c>
      <c r="BU33" s="25">
        <f t="shared" si="18"/>
        <v>508583</v>
      </c>
      <c r="BV33" s="21"/>
      <c r="BW33" s="22"/>
      <c r="BX33" s="21"/>
      <c r="BY33" s="22"/>
      <c r="BZ33" s="23"/>
      <c r="CA33" s="23"/>
      <c r="CB33" s="23"/>
      <c r="CC33" s="23"/>
      <c r="CD33" s="81">
        <f t="shared" si="19"/>
        <v>508583</v>
      </c>
      <c r="CE33" s="25">
        <f t="shared" si="20"/>
        <v>510730</v>
      </c>
      <c r="CF33" s="21"/>
      <c r="CG33" s="22"/>
      <c r="CH33" s="21"/>
      <c r="CI33" s="22"/>
      <c r="CJ33" s="23"/>
      <c r="CK33" s="23"/>
      <c r="CL33" s="23"/>
      <c r="CM33" s="23"/>
      <c r="CN33" s="81">
        <f t="shared" si="21"/>
        <v>510730</v>
      </c>
      <c r="CO33" s="25">
        <f t="shared" si="22"/>
        <v>26023</v>
      </c>
      <c r="CP33" s="21"/>
      <c r="CQ33" s="22"/>
      <c r="CR33" s="21"/>
      <c r="CS33" s="22"/>
      <c r="CT33" s="23"/>
      <c r="CU33" s="23"/>
      <c r="CV33" s="23"/>
      <c r="CW33" s="23"/>
      <c r="CX33" s="81">
        <f t="shared" si="23"/>
        <v>26023</v>
      </c>
      <c r="CY33" s="25">
        <f t="shared" si="24"/>
        <v>1164563</v>
      </c>
      <c r="CZ33" s="21"/>
      <c r="DA33" s="22"/>
      <c r="DB33" s="21"/>
      <c r="DC33" s="22"/>
      <c r="DD33" s="23"/>
      <c r="DE33" s="24">
        <f t="shared" si="3"/>
        <v>1164563</v>
      </c>
      <c r="DF33" s="25">
        <f t="shared" si="25"/>
        <v>961820</v>
      </c>
      <c r="DG33" s="21"/>
      <c r="DH33" s="22"/>
      <c r="DI33" s="21"/>
      <c r="DJ33" s="22"/>
      <c r="DK33" s="23"/>
      <c r="DL33" s="24">
        <f t="shared" si="4"/>
        <v>961820</v>
      </c>
      <c r="DM33" s="25">
        <f t="shared" si="26"/>
        <v>32951</v>
      </c>
      <c r="DN33" s="21"/>
      <c r="DO33" s="22"/>
      <c r="DP33" s="21"/>
      <c r="DQ33" s="22"/>
      <c r="DR33" s="23"/>
      <c r="DS33" s="24">
        <f t="shared" si="5"/>
        <v>32951</v>
      </c>
    </row>
    <row r="34" spans="1:123" ht="20" customHeight="1" x14ac:dyDescent="0.2">
      <c r="A34" s="19" t="s">
        <v>165</v>
      </c>
      <c r="B34" s="25">
        <f t="shared" si="6"/>
        <v>2506149</v>
      </c>
      <c r="C34" s="21"/>
      <c r="D34" s="22"/>
      <c r="E34" s="21"/>
      <c r="F34" s="22"/>
      <c r="G34" s="23"/>
      <c r="H34" s="23"/>
      <c r="I34" s="23"/>
      <c r="J34" s="23"/>
      <c r="K34" s="81">
        <f t="shared" si="7"/>
        <v>2506149</v>
      </c>
      <c r="L34" s="25">
        <f t="shared" si="8"/>
        <v>2577692</v>
      </c>
      <c r="M34" s="21"/>
      <c r="N34" s="22"/>
      <c r="O34" s="21"/>
      <c r="P34" s="22"/>
      <c r="Q34" s="23"/>
      <c r="R34" s="23"/>
      <c r="S34" s="23"/>
      <c r="T34" s="23"/>
      <c r="U34" s="81">
        <f t="shared" si="9"/>
        <v>2577692</v>
      </c>
      <c r="V34" s="25">
        <f t="shared" si="10"/>
        <v>2443036</v>
      </c>
      <c r="W34" s="21"/>
      <c r="X34" s="22"/>
      <c r="Y34" s="21"/>
      <c r="Z34" s="22"/>
      <c r="AA34" s="23"/>
      <c r="AB34" s="23"/>
      <c r="AC34" s="23"/>
      <c r="AD34" s="23"/>
      <c r="AE34" s="81">
        <f t="shared" si="11"/>
        <v>2443036</v>
      </c>
      <c r="AF34" s="25">
        <f t="shared" si="12"/>
        <v>328064</v>
      </c>
      <c r="AG34" s="21"/>
      <c r="AH34" s="22"/>
      <c r="AI34" s="21"/>
      <c r="AJ34" s="22"/>
      <c r="AK34" s="23"/>
      <c r="AL34" s="24">
        <f t="shared" si="0"/>
        <v>328064</v>
      </c>
      <c r="AM34" s="25">
        <f t="shared" si="13"/>
        <v>529521</v>
      </c>
      <c r="AN34" s="21"/>
      <c r="AO34" s="22"/>
      <c r="AP34" s="21"/>
      <c r="AQ34" s="22"/>
      <c r="AR34" s="23"/>
      <c r="AS34" s="24">
        <f t="shared" si="1"/>
        <v>529521</v>
      </c>
      <c r="AT34" s="25">
        <f t="shared" si="14"/>
        <v>44014</v>
      </c>
      <c r="AU34" s="21"/>
      <c r="AV34" s="22"/>
      <c r="AW34" s="21"/>
      <c r="AX34" s="22"/>
      <c r="AY34" s="23"/>
      <c r="AZ34" s="24">
        <f t="shared" si="2"/>
        <v>44014</v>
      </c>
      <c r="BA34" s="25">
        <f t="shared" si="15"/>
        <v>536860</v>
      </c>
      <c r="BB34" s="21"/>
      <c r="BC34" s="22"/>
      <c r="BD34" s="21"/>
      <c r="BE34" s="22"/>
      <c r="BF34" s="23"/>
      <c r="BG34" s="23"/>
      <c r="BH34" s="23"/>
      <c r="BI34" s="23"/>
      <c r="BJ34" s="81">
        <f t="shared" si="16"/>
        <v>536860</v>
      </c>
      <c r="BK34" s="25">
        <f t="shared" si="17"/>
        <v>278400</v>
      </c>
      <c r="BL34" s="21"/>
      <c r="BM34" s="22"/>
      <c r="BN34" s="21"/>
      <c r="BO34" s="22"/>
      <c r="BP34" s="23"/>
      <c r="BQ34" s="86"/>
      <c r="BR34" s="23"/>
      <c r="BS34" s="23"/>
      <c r="BT34" s="81">
        <f t="shared" si="27"/>
        <v>278400</v>
      </c>
      <c r="BU34" s="25">
        <f t="shared" si="18"/>
        <v>508583</v>
      </c>
      <c r="BV34" s="21"/>
      <c r="BW34" s="22"/>
      <c r="BX34" s="21"/>
      <c r="BY34" s="22"/>
      <c r="BZ34" s="23"/>
      <c r="CA34" s="23"/>
      <c r="CB34" s="23"/>
      <c r="CC34" s="23"/>
      <c r="CD34" s="81">
        <f t="shared" si="19"/>
        <v>508583</v>
      </c>
      <c r="CE34" s="25">
        <f t="shared" si="20"/>
        <v>510730</v>
      </c>
      <c r="CF34" s="21"/>
      <c r="CG34" s="22"/>
      <c r="CH34" s="21"/>
      <c r="CI34" s="22"/>
      <c r="CJ34" s="23"/>
      <c r="CK34" s="23"/>
      <c r="CL34" s="23"/>
      <c r="CM34" s="23"/>
      <c r="CN34" s="81">
        <f t="shared" si="21"/>
        <v>510730</v>
      </c>
      <c r="CO34" s="25">
        <f t="shared" si="22"/>
        <v>26023</v>
      </c>
      <c r="CP34" s="21"/>
      <c r="CQ34" s="22"/>
      <c r="CR34" s="21"/>
      <c r="CS34" s="22"/>
      <c r="CT34" s="23"/>
      <c r="CU34" s="23"/>
      <c r="CV34" s="23"/>
      <c r="CW34" s="23"/>
      <c r="CX34" s="81">
        <f t="shared" si="23"/>
        <v>26023</v>
      </c>
      <c r="CY34" s="25">
        <f t="shared" si="24"/>
        <v>1164563</v>
      </c>
      <c r="CZ34" s="21"/>
      <c r="DA34" s="22"/>
      <c r="DB34" s="21"/>
      <c r="DC34" s="22"/>
      <c r="DD34" s="23"/>
      <c r="DE34" s="24">
        <f t="shared" si="3"/>
        <v>1164563</v>
      </c>
      <c r="DF34" s="25">
        <f t="shared" si="25"/>
        <v>961820</v>
      </c>
      <c r="DG34" s="21"/>
      <c r="DH34" s="22"/>
      <c r="DI34" s="21"/>
      <c r="DJ34" s="22"/>
      <c r="DK34" s="23"/>
      <c r="DL34" s="24">
        <f t="shared" si="4"/>
        <v>961820</v>
      </c>
      <c r="DM34" s="25">
        <f t="shared" si="26"/>
        <v>32951</v>
      </c>
      <c r="DN34" s="21"/>
      <c r="DO34" s="22"/>
      <c r="DP34" s="21"/>
      <c r="DQ34" s="22"/>
      <c r="DR34" s="23"/>
      <c r="DS34" s="24">
        <f t="shared" si="5"/>
        <v>32951</v>
      </c>
    </row>
  </sheetData>
  <mergeCells count="16">
    <mergeCell ref="A1:DS1"/>
    <mergeCell ref="AM3:AS3"/>
    <mergeCell ref="V3:AE3"/>
    <mergeCell ref="BU3:CD3"/>
    <mergeCell ref="AT3:AZ3"/>
    <mergeCell ref="BK3:BT3"/>
    <mergeCell ref="CO3:CX3"/>
    <mergeCell ref="CY3:DE3"/>
    <mergeCell ref="DF3:DL3"/>
    <mergeCell ref="B3:K3"/>
    <mergeCell ref="CE3:CN3"/>
    <mergeCell ref="DM3:DS3"/>
    <mergeCell ref="AF3:AL3"/>
    <mergeCell ref="BA3:BJ3"/>
    <mergeCell ref="A2:DS2"/>
    <mergeCell ref="L3:U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E342E"/>
  </sheetPr>
  <dimension ref="A1:J20"/>
  <sheetViews>
    <sheetView showGridLines="0" zoomScale="125" zoomScaleNormal="125" workbookViewId="0">
      <selection activeCell="D9" sqref="D9"/>
    </sheetView>
  </sheetViews>
  <sheetFormatPr baseColWidth="10" defaultColWidth="8.83203125" defaultRowHeight="15" x14ac:dyDescent="0.2"/>
  <cols>
    <col min="1" max="1" width="5" customWidth="1"/>
    <col min="2" max="2" width="15" customWidth="1"/>
    <col min="3" max="3" width="10" customWidth="1"/>
    <col min="4" max="7" width="15" customWidth="1"/>
    <col min="8" max="8" width="23.6640625" customWidth="1"/>
  </cols>
  <sheetData>
    <row r="1" spans="1:10" ht="26" customHeight="1" x14ac:dyDescent="0.2">
      <c r="A1" s="159" t="s">
        <v>175</v>
      </c>
      <c r="B1" s="125"/>
      <c r="C1" s="125"/>
      <c r="D1" s="125"/>
      <c r="E1" s="125"/>
      <c r="F1" s="125"/>
      <c r="G1" s="125"/>
      <c r="H1" s="125"/>
      <c r="I1" s="125"/>
      <c r="J1" s="125"/>
    </row>
    <row r="3" spans="1:10" ht="16" customHeight="1" x14ac:dyDescent="0.2">
      <c r="A3" s="130" t="s">
        <v>176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28" customHeight="1" x14ac:dyDescent="0.2">
      <c r="A4" s="14" t="s">
        <v>2</v>
      </c>
      <c r="B4" s="14" t="s">
        <v>3</v>
      </c>
      <c r="C4" s="14" t="s">
        <v>4</v>
      </c>
      <c r="D4" s="14" t="s">
        <v>177</v>
      </c>
      <c r="E4" s="14" t="s">
        <v>178</v>
      </c>
      <c r="F4" s="14" t="s">
        <v>179</v>
      </c>
      <c r="G4" s="14" t="s">
        <v>180</v>
      </c>
      <c r="H4" s="14" t="s">
        <v>181</v>
      </c>
    </row>
    <row r="5" spans="1:10" ht="20" customHeight="1" x14ac:dyDescent="0.2">
      <c r="A5" s="26">
        <v>1</v>
      </c>
      <c r="B5" s="27" t="s">
        <v>11</v>
      </c>
      <c r="C5" s="4" t="s">
        <v>12</v>
      </c>
      <c r="D5" s="28">
        <f>'MUTASI STOK'!B5</f>
        <v>2506149</v>
      </c>
      <c r="E5" s="72">
        <f>SUMIF('MUTASI STOK'!C5:C34,"&gt;0")</f>
        <v>0</v>
      </c>
      <c r="F5" s="87">
        <f>SUMIF('MUTASI STOK'!E5:E34,"&gt;0")+SUMIF('MUTASI STOK'!H5:H34,"&gt;0")</f>
        <v>0</v>
      </c>
      <c r="G5" s="29">
        <f>'MUTASI STOK'!K34</f>
        <v>2506149</v>
      </c>
      <c r="H5" s="30" t="str">
        <f t="shared" ref="H5:H18" si="0">IF(AND(E5=0,F5=0),"Tidak ada mutasi",IF(E5&gt;0,"Masuk: "&amp;TEXT(E5,"#,##0")&amp;" kg | Keluar: "&amp;TEXT(F5,"#,##0")&amp;" kg","Keluar: "&amp;TEXT(F5,"#,##0")&amp;" kg"))</f>
        <v>Tidak ada mutasi</v>
      </c>
    </row>
    <row r="6" spans="1:10" ht="20" customHeight="1" x14ac:dyDescent="0.2">
      <c r="A6" s="31">
        <v>2</v>
      </c>
      <c r="B6" s="32" t="s">
        <v>13</v>
      </c>
      <c r="C6" s="4" t="s">
        <v>12</v>
      </c>
      <c r="D6" s="33">
        <f>'MUTASI STOK'!L5</f>
        <v>2577692</v>
      </c>
      <c r="E6" s="74">
        <f>SUMIF('MUTASI STOK'!M5:M34,"&gt;0")</f>
        <v>0</v>
      </c>
      <c r="F6" s="88">
        <f>SUMIF('MUTASI STOK'!O5:O34,"&gt;0")+SUMIF('MUTASI STOK'!R5:R34,"&gt;0")</f>
        <v>0</v>
      </c>
      <c r="G6" s="29">
        <f>'MUTASI STOK'!U34</f>
        <v>2577692</v>
      </c>
      <c r="H6" s="34" t="str">
        <f t="shared" si="0"/>
        <v>Tidak ada mutasi</v>
      </c>
    </row>
    <row r="7" spans="1:10" ht="20" customHeight="1" x14ac:dyDescent="0.2">
      <c r="A7" s="26">
        <v>3</v>
      </c>
      <c r="B7" s="27" t="s">
        <v>14</v>
      </c>
      <c r="C7" s="4" t="s">
        <v>12</v>
      </c>
      <c r="D7" s="28">
        <f>'MUTASI STOK'!V5</f>
        <v>2443036</v>
      </c>
      <c r="E7" s="72">
        <f>SUMIF('MUTASI STOK'!W5:W34,"&gt;0")</f>
        <v>0</v>
      </c>
      <c r="F7" s="87">
        <f>SUMIF('MUTASI STOK'!Y5:Y34,"&gt;0")+SUMIF('MUTASI STOK'!AB5:AB34,"&gt;0")</f>
        <v>0</v>
      </c>
      <c r="G7" s="29">
        <f>'MUTASI STOK'!AE34</f>
        <v>2443036</v>
      </c>
      <c r="H7" s="30" t="str">
        <f t="shared" si="0"/>
        <v>Tidak ada mutasi</v>
      </c>
    </row>
    <row r="8" spans="1:10" ht="20" customHeight="1" x14ac:dyDescent="0.2">
      <c r="A8" s="31">
        <v>4</v>
      </c>
      <c r="B8" s="32" t="s">
        <v>15</v>
      </c>
      <c r="C8" s="5" t="s">
        <v>16</v>
      </c>
      <c r="D8" s="33">
        <f>'MUTASI STOK'!AF5</f>
        <v>328064</v>
      </c>
      <c r="E8" s="74">
        <f>SUMIF('MUTASI STOK'!AG5:AG34,"&gt;0")</f>
        <v>0</v>
      </c>
      <c r="F8" s="88">
        <f>SUMIF('MUTASI STOK'!AI5:AI34,"&gt;0")</f>
        <v>0</v>
      </c>
      <c r="G8" s="29">
        <f>'MUTASI STOK'!AL34</f>
        <v>328064</v>
      </c>
      <c r="H8" s="34" t="str">
        <f t="shared" si="0"/>
        <v>Tidak ada mutasi</v>
      </c>
    </row>
    <row r="9" spans="1:10" ht="20" customHeight="1" x14ac:dyDescent="0.2">
      <c r="A9" s="26">
        <v>5</v>
      </c>
      <c r="B9" s="27" t="s">
        <v>17</v>
      </c>
      <c r="C9" s="6" t="s">
        <v>18</v>
      </c>
      <c r="D9" s="28">
        <f>'MUTASI STOK'!AM5</f>
        <v>529521</v>
      </c>
      <c r="E9" s="72">
        <f>SUMIF('MUTASI STOK'!AN5:AN34,"&gt;0")</f>
        <v>0</v>
      </c>
      <c r="F9" s="87">
        <f>SUMIF('MUTASI STOK'!AP5:AP34,"&gt;0")</f>
        <v>0</v>
      </c>
      <c r="G9" s="29">
        <f>'MUTASI STOK'!AS34</f>
        <v>529521</v>
      </c>
      <c r="H9" s="30" t="str">
        <f t="shared" si="0"/>
        <v>Tidak ada mutasi</v>
      </c>
    </row>
    <row r="10" spans="1:10" ht="20" customHeight="1" x14ac:dyDescent="0.2">
      <c r="A10" s="31">
        <v>6</v>
      </c>
      <c r="B10" s="32" t="s">
        <v>19</v>
      </c>
      <c r="C10" s="6" t="s">
        <v>18</v>
      </c>
      <c r="D10" s="33">
        <f>'MUTASI STOK'!AT5</f>
        <v>44014</v>
      </c>
      <c r="E10" s="74">
        <f>SUMIF('MUTASI STOK'!AU5:AU34,"&gt;0")</f>
        <v>0</v>
      </c>
      <c r="F10" s="88">
        <f>SUMIF('MUTASI STOK'!AW5:AW34,"&gt;0")</f>
        <v>0</v>
      </c>
      <c r="G10" s="29">
        <f>'MUTASI STOK'!AZ34</f>
        <v>44014</v>
      </c>
      <c r="H10" s="34" t="str">
        <f t="shared" si="0"/>
        <v>Tidak ada mutasi</v>
      </c>
    </row>
    <row r="11" spans="1:10" ht="20" customHeight="1" x14ac:dyDescent="0.2">
      <c r="A11" s="26">
        <v>7</v>
      </c>
      <c r="B11" s="27" t="s">
        <v>20</v>
      </c>
      <c r="C11" s="7" t="s">
        <v>21</v>
      </c>
      <c r="D11" s="28">
        <f>'MUTASI STOK'!BA5</f>
        <v>536860</v>
      </c>
      <c r="E11" s="72">
        <f>SUMIF('MUTASI STOK'!BB5:BB34,"&gt;0")</f>
        <v>0</v>
      </c>
      <c r="F11" s="87">
        <f>SUMIF('MUTASI STOK'!BD5:BD34,"&gt;0")+SUMIF('MUTASI STOK'!BG5:BG34,"&gt;0")</f>
        <v>0</v>
      </c>
      <c r="G11" s="29">
        <f>'MUTASI STOK'!BJ34</f>
        <v>536860</v>
      </c>
      <c r="H11" s="30" t="str">
        <f t="shared" si="0"/>
        <v>Tidak ada mutasi</v>
      </c>
    </row>
    <row r="12" spans="1:10" ht="20" customHeight="1" x14ac:dyDescent="0.2">
      <c r="A12" s="31">
        <v>8</v>
      </c>
      <c r="B12" s="32" t="s">
        <v>25</v>
      </c>
      <c r="C12" s="7" t="s">
        <v>21</v>
      </c>
      <c r="D12" s="33">
        <f>'MUTASI STOK'!BK5</f>
        <v>390600</v>
      </c>
      <c r="E12" s="74">
        <f>SUMIF('MUTASI STOK'!BL5:BL34,"&gt;0")</f>
        <v>0</v>
      </c>
      <c r="F12" s="88">
        <f>SUMIF('MUTASI STOK'!BN5:BN34,"&gt;0")+SUMIF('MUTASI STOK'!BQ5:BQ34,"&gt;0")</f>
        <v>112200</v>
      </c>
      <c r="G12" s="29">
        <f>'MUTASI STOK'!BT34</f>
        <v>278400</v>
      </c>
      <c r="H12" s="34" t="str">
        <f t="shared" si="0"/>
        <v>Keluar: 112200,0 kg</v>
      </c>
    </row>
    <row r="13" spans="1:10" ht="20" customHeight="1" x14ac:dyDescent="0.2">
      <c r="A13" s="26">
        <v>9</v>
      </c>
      <c r="B13" s="27" t="s">
        <v>27</v>
      </c>
      <c r="C13" s="7" t="s">
        <v>21</v>
      </c>
      <c r="D13" s="28">
        <f>'MUTASI STOK'!BU5</f>
        <v>508583</v>
      </c>
      <c r="E13" s="72">
        <f>SUMIF('MUTASI STOK'!BV5:BV34,"&gt;0")</f>
        <v>0</v>
      </c>
      <c r="F13" s="87">
        <f>SUMIF('MUTASI STOK'!BX5:BX34,"&gt;0")+SUMIF('MUTASI STOK'!CA5:CA34,"&gt;0")</f>
        <v>0</v>
      </c>
      <c r="G13" s="29">
        <f>'MUTASI STOK'!CD34</f>
        <v>508583</v>
      </c>
      <c r="H13" s="30" t="str">
        <f t="shared" si="0"/>
        <v>Tidak ada mutasi</v>
      </c>
    </row>
    <row r="14" spans="1:10" ht="20" customHeight="1" x14ac:dyDescent="0.2">
      <c r="A14" s="31">
        <v>10</v>
      </c>
      <c r="B14" s="32" t="s">
        <v>29</v>
      </c>
      <c r="C14" s="7" t="s">
        <v>21</v>
      </c>
      <c r="D14" s="33">
        <f>'MUTASI STOK'!CE5</f>
        <v>510730</v>
      </c>
      <c r="E14" s="74">
        <f>SUMIF('MUTASI STOK'!CF5:CF34,"&gt;0")</f>
        <v>0</v>
      </c>
      <c r="F14" s="88">
        <f>SUMIF('MUTASI STOK'!CH5:CH34,"&gt;0")+SUMIF('MUTASI STOK'!CK5:CK34,"&gt;0")</f>
        <v>0</v>
      </c>
      <c r="G14" s="29">
        <f>'MUTASI STOK'!CN34</f>
        <v>510730</v>
      </c>
      <c r="H14" s="34" t="str">
        <f t="shared" si="0"/>
        <v>Tidak ada mutasi</v>
      </c>
    </row>
    <row r="15" spans="1:10" ht="20" customHeight="1" x14ac:dyDescent="0.2">
      <c r="A15" s="26">
        <v>11</v>
      </c>
      <c r="B15" s="27" t="s">
        <v>32</v>
      </c>
      <c r="C15" s="7" t="s">
        <v>21</v>
      </c>
      <c r="D15" s="28">
        <f>'MUTASI STOK'!CO5</f>
        <v>26023</v>
      </c>
      <c r="E15" s="72">
        <f>SUMIF('MUTASI STOK'!CP5:CP34,"&gt;0")</f>
        <v>0</v>
      </c>
      <c r="F15" s="87">
        <f>SUMIF('MUTASI STOK'!CR5:CR34,"&gt;0")+SUMIF('MUTASI STOK'!CU5:CU34,"&gt;0")</f>
        <v>0</v>
      </c>
      <c r="G15" s="29">
        <f>'MUTASI STOK'!CX34</f>
        <v>26023</v>
      </c>
      <c r="H15" s="30" t="str">
        <f t="shared" si="0"/>
        <v>Tidak ada mutasi</v>
      </c>
    </row>
    <row r="16" spans="1:10" ht="20" customHeight="1" x14ac:dyDescent="0.2">
      <c r="A16" s="31">
        <v>12</v>
      </c>
      <c r="B16" s="32" t="s">
        <v>33</v>
      </c>
      <c r="C16" s="8" t="s">
        <v>34</v>
      </c>
      <c r="D16" s="33">
        <f>'MUTASI STOK'!CY5</f>
        <v>1164563</v>
      </c>
      <c r="E16" s="74">
        <f>SUMIF('MUTASI STOK'!CZ5:CZ34,"&gt;0")</f>
        <v>0</v>
      </c>
      <c r="F16" s="88">
        <f>SUMIF('MUTASI STOK'!DB5:DB34,"&gt;0")</f>
        <v>0</v>
      </c>
      <c r="G16" s="29">
        <f>'MUTASI STOK'!DE34</f>
        <v>1164563</v>
      </c>
      <c r="H16" s="34" t="str">
        <f t="shared" si="0"/>
        <v>Tidak ada mutasi</v>
      </c>
    </row>
    <row r="17" spans="1:8" ht="20" customHeight="1" x14ac:dyDescent="0.2">
      <c r="A17" s="26">
        <v>13</v>
      </c>
      <c r="B17" s="27" t="s">
        <v>35</v>
      </c>
      <c r="C17" s="8" t="s">
        <v>34</v>
      </c>
      <c r="D17" s="28">
        <f>'MUTASI STOK'!DF5</f>
        <v>961820</v>
      </c>
      <c r="E17" s="72">
        <f>SUMIF('MUTASI STOK'!DG5:DG34,"&gt;0")</f>
        <v>0</v>
      </c>
      <c r="F17" s="87">
        <f>SUMIF('MUTASI STOK'!DI5:DI34,"&gt;0")</f>
        <v>0</v>
      </c>
      <c r="G17" s="29">
        <f>'MUTASI STOK'!DL34</f>
        <v>961820</v>
      </c>
      <c r="H17" s="30" t="str">
        <f t="shared" si="0"/>
        <v>Tidak ada mutasi</v>
      </c>
    </row>
    <row r="18" spans="1:8" ht="20" customHeight="1" x14ac:dyDescent="0.2">
      <c r="A18" s="31">
        <v>14</v>
      </c>
      <c r="B18" s="32" t="s">
        <v>36</v>
      </c>
      <c r="C18" s="9" t="s">
        <v>182</v>
      </c>
      <c r="D18" s="33">
        <f>'MUTASI STOK'!DM5</f>
        <v>32951</v>
      </c>
      <c r="E18" s="74">
        <f>SUMIF('MUTASI STOK'!DN5:DN34,"&gt;0")</f>
        <v>0</v>
      </c>
      <c r="F18" s="88">
        <f>SUMIF('MUTASI STOK'!DP5:DP34,"&gt;0")</f>
        <v>0</v>
      </c>
      <c r="G18" s="29">
        <f>'MUTASI STOK'!DS34</f>
        <v>32951</v>
      </c>
      <c r="H18" s="34" t="str">
        <f t="shared" si="0"/>
        <v>Tidak ada mutasi</v>
      </c>
    </row>
    <row r="20" spans="1:8" ht="22" customHeight="1" x14ac:dyDescent="0.2">
      <c r="A20" s="172" t="s">
        <v>183</v>
      </c>
      <c r="B20" s="135"/>
      <c r="C20" s="161"/>
      <c r="D20" s="35">
        <f>SUM(D5:D18)</f>
        <v>12560606</v>
      </c>
      <c r="E20" s="35">
        <f>SUM(E5:E18)</f>
        <v>0</v>
      </c>
      <c r="F20" s="35">
        <f>SUM(F5:F18)</f>
        <v>112200</v>
      </c>
      <c r="G20" s="35">
        <f>SUM(G5:G18)</f>
        <v>12448406</v>
      </c>
    </row>
  </sheetData>
  <mergeCells count="3">
    <mergeCell ref="A1:J1"/>
    <mergeCell ref="A20:C20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CK35"/>
  <sheetViews>
    <sheetView showGridLines="0" zoomScale="125" zoomScaleNormal="125" workbookViewId="0">
      <pane xSplit="1" ySplit="4" topLeftCell="B5" activePane="bottomRight" state="frozen"/>
      <selection activeCell="D25" sqref="D25"/>
      <selection pane="topRight" activeCell="D25" sqref="D25"/>
      <selection pane="bottomLeft" activeCell="D25" sqref="D25"/>
      <selection pane="bottomRight" activeCell="E12" sqref="E12"/>
    </sheetView>
  </sheetViews>
  <sheetFormatPr baseColWidth="10" defaultColWidth="8.83203125" defaultRowHeight="15" x14ac:dyDescent="0.2"/>
  <cols>
    <col min="1" max="1" width="13" customWidth="1"/>
    <col min="2" max="88" width="10.83203125" style="60" customWidth="1"/>
    <col min="89" max="89" width="14.83203125" style="60" customWidth="1"/>
    <col min="90" max="90" width="8" style="60" customWidth="1"/>
    <col min="91" max="16384" width="8.83203125" style="60"/>
  </cols>
  <sheetData>
    <row r="1" spans="1:89" customFormat="1" ht="26" customHeight="1" x14ac:dyDescent="0.2">
      <c r="A1" s="159" t="s">
        <v>108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</row>
    <row r="2" spans="1:89" customFormat="1" ht="18" customHeight="1" x14ac:dyDescent="0.2">
      <c r="A2" s="173" t="s">
        <v>109</v>
      </c>
      <c r="B2" s="125"/>
      <c r="C2" s="125"/>
      <c r="D2" s="1" t="s">
        <v>110</v>
      </c>
      <c r="E2" s="2" t="s">
        <v>111</v>
      </c>
      <c r="F2" s="3" t="s">
        <v>112</v>
      </c>
    </row>
    <row r="3" spans="1:89" customFormat="1" ht="14" customHeight="1" x14ac:dyDescent="0.2">
      <c r="A3" s="171" t="s">
        <v>113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</row>
    <row r="4" spans="1:89" customFormat="1" ht="20" customHeight="1" x14ac:dyDescent="0.2">
      <c r="A4" s="4" t="s">
        <v>114</v>
      </c>
      <c r="B4" s="162" t="s">
        <v>115</v>
      </c>
      <c r="C4" s="163"/>
      <c r="D4" s="163"/>
      <c r="E4" s="163"/>
      <c r="F4" s="163"/>
      <c r="G4" s="163"/>
      <c r="H4" s="163"/>
      <c r="I4" s="164"/>
      <c r="J4" s="162" t="s">
        <v>116</v>
      </c>
      <c r="K4" s="163"/>
      <c r="L4" s="163"/>
      <c r="M4" s="163"/>
      <c r="N4" s="163"/>
      <c r="O4" s="163"/>
      <c r="P4" s="163"/>
      <c r="Q4" s="164"/>
      <c r="R4" s="162" t="s">
        <v>117</v>
      </c>
      <c r="S4" s="163"/>
      <c r="T4" s="163"/>
      <c r="U4" s="163"/>
      <c r="V4" s="163"/>
      <c r="W4" s="163"/>
      <c r="X4" s="163"/>
      <c r="Y4" s="164"/>
      <c r="Z4" s="174" t="s">
        <v>15</v>
      </c>
      <c r="AA4" s="175"/>
      <c r="AB4" s="176"/>
      <c r="AC4" s="160" t="s">
        <v>17</v>
      </c>
      <c r="AD4" s="135"/>
      <c r="AE4" s="135"/>
      <c r="AF4" s="135"/>
      <c r="AG4" s="135"/>
      <c r="AH4" s="161"/>
      <c r="AI4" s="160" t="s">
        <v>19</v>
      </c>
      <c r="AJ4" s="135"/>
      <c r="AK4" s="135"/>
      <c r="AL4" s="135"/>
      <c r="AM4" s="135"/>
      <c r="AN4" s="161"/>
      <c r="AO4" s="165" t="s">
        <v>20</v>
      </c>
      <c r="AP4" s="166"/>
      <c r="AQ4" s="166"/>
      <c r="AR4" s="166"/>
      <c r="AS4" s="166"/>
      <c r="AT4" s="167"/>
      <c r="AU4" s="165" t="s">
        <v>25</v>
      </c>
      <c r="AV4" s="166"/>
      <c r="AW4" s="166"/>
      <c r="AX4" s="166"/>
      <c r="AY4" s="166"/>
      <c r="AZ4" s="167"/>
      <c r="BA4" s="165" t="s">
        <v>27</v>
      </c>
      <c r="BB4" s="166"/>
      <c r="BC4" s="166"/>
      <c r="BD4" s="166"/>
      <c r="BE4" s="166"/>
      <c r="BF4" s="167"/>
      <c r="BG4" s="165" t="s">
        <v>29</v>
      </c>
      <c r="BH4" s="166"/>
      <c r="BI4" s="166"/>
      <c r="BJ4" s="166"/>
      <c r="BK4" s="166"/>
      <c r="BL4" s="167"/>
      <c r="BM4" s="165" t="s">
        <v>32</v>
      </c>
      <c r="BN4" s="166"/>
      <c r="BO4" s="166"/>
      <c r="BP4" s="166"/>
      <c r="BQ4" s="166"/>
      <c r="BR4" s="167"/>
      <c r="BS4" s="168" t="s">
        <v>33</v>
      </c>
      <c r="BT4" s="135"/>
      <c r="BU4" s="135"/>
      <c r="BV4" s="135"/>
      <c r="BW4" s="135"/>
      <c r="BX4" s="161"/>
      <c r="BY4" s="168" t="s">
        <v>35</v>
      </c>
      <c r="BZ4" s="135"/>
      <c r="CA4" s="135"/>
      <c r="CB4" s="135"/>
      <c r="CC4" s="135"/>
      <c r="CD4" s="161"/>
      <c r="CE4" s="169" t="s">
        <v>36</v>
      </c>
      <c r="CF4" s="135"/>
      <c r="CG4" s="135"/>
      <c r="CH4" s="135"/>
      <c r="CI4" s="135"/>
      <c r="CJ4" s="161"/>
      <c r="CK4" s="10" t="s">
        <v>10</v>
      </c>
    </row>
    <row r="5" spans="1:89" customFormat="1" ht="30" customHeight="1" x14ac:dyDescent="0.2">
      <c r="A5" s="11" t="s">
        <v>114</v>
      </c>
      <c r="B5" s="63" t="s">
        <v>118</v>
      </c>
      <c r="C5" s="63" t="s">
        <v>119</v>
      </c>
      <c r="D5" s="63" t="s">
        <v>120</v>
      </c>
      <c r="E5" s="63" t="s">
        <v>121</v>
      </c>
      <c r="F5" s="63" t="s">
        <v>53</v>
      </c>
      <c r="G5" s="63" t="s">
        <v>122</v>
      </c>
      <c r="H5" s="63" t="s">
        <v>123</v>
      </c>
      <c r="I5" s="63" t="s">
        <v>124</v>
      </c>
      <c r="J5" s="63" t="s">
        <v>118</v>
      </c>
      <c r="K5" s="63" t="s">
        <v>119</v>
      </c>
      <c r="L5" s="63" t="s">
        <v>120</v>
      </c>
      <c r="M5" s="63" t="s">
        <v>121</v>
      </c>
      <c r="N5" s="63" t="s">
        <v>53</v>
      </c>
      <c r="O5" s="63" t="s">
        <v>122</v>
      </c>
      <c r="P5" s="63" t="s">
        <v>123</v>
      </c>
      <c r="Q5" s="63" t="s">
        <v>124</v>
      </c>
      <c r="R5" s="63" t="s">
        <v>118</v>
      </c>
      <c r="S5" s="63" t="s">
        <v>119</v>
      </c>
      <c r="T5" s="63" t="s">
        <v>120</v>
      </c>
      <c r="U5" s="63" t="s">
        <v>121</v>
      </c>
      <c r="V5" s="63" t="s">
        <v>53</v>
      </c>
      <c r="W5" s="63" t="s">
        <v>122</v>
      </c>
      <c r="X5" s="63" t="s">
        <v>123</v>
      </c>
      <c r="Y5" s="63" t="s">
        <v>124</v>
      </c>
      <c r="Z5" s="64" t="s">
        <v>125</v>
      </c>
      <c r="AA5" s="64" t="s">
        <v>126</v>
      </c>
      <c r="AB5" s="64" t="s">
        <v>127</v>
      </c>
      <c r="AC5" s="13" t="s">
        <v>125</v>
      </c>
      <c r="AD5" s="13" t="s">
        <v>126</v>
      </c>
      <c r="AE5" s="13" t="s">
        <v>128</v>
      </c>
      <c r="AF5" s="13" t="s">
        <v>127</v>
      </c>
      <c r="AG5" s="13" t="s">
        <v>53</v>
      </c>
      <c r="AH5" s="13" t="s">
        <v>129</v>
      </c>
      <c r="AI5" s="13" t="s">
        <v>125</v>
      </c>
      <c r="AJ5" s="13" t="s">
        <v>126</v>
      </c>
      <c r="AK5" s="13" t="s">
        <v>128</v>
      </c>
      <c r="AL5" s="13" t="s">
        <v>127</v>
      </c>
      <c r="AM5" s="13" t="s">
        <v>53</v>
      </c>
      <c r="AN5" s="13" t="s">
        <v>129</v>
      </c>
      <c r="AO5" s="67" t="s">
        <v>125</v>
      </c>
      <c r="AP5" s="67" t="s">
        <v>126</v>
      </c>
      <c r="AQ5" s="67" t="s">
        <v>128</v>
      </c>
      <c r="AR5" s="67" t="s">
        <v>127</v>
      </c>
      <c r="AS5" s="67" t="s">
        <v>53</v>
      </c>
      <c r="AT5" s="67" t="s">
        <v>130</v>
      </c>
      <c r="AU5" s="67" t="s">
        <v>125</v>
      </c>
      <c r="AV5" s="67" t="s">
        <v>126</v>
      </c>
      <c r="AW5" s="67" t="s">
        <v>128</v>
      </c>
      <c r="AX5" s="67" t="s">
        <v>127</v>
      </c>
      <c r="AY5" s="67" t="s">
        <v>53</v>
      </c>
      <c r="AZ5" s="67" t="s">
        <v>130</v>
      </c>
      <c r="BA5" s="67" t="s">
        <v>125</v>
      </c>
      <c r="BB5" s="67" t="s">
        <v>126</v>
      </c>
      <c r="BC5" s="67" t="s">
        <v>128</v>
      </c>
      <c r="BD5" s="67" t="s">
        <v>127</v>
      </c>
      <c r="BE5" s="67" t="s">
        <v>53</v>
      </c>
      <c r="BF5" s="67" t="s">
        <v>130</v>
      </c>
      <c r="BG5" s="67" t="s">
        <v>125</v>
      </c>
      <c r="BH5" s="67" t="s">
        <v>126</v>
      </c>
      <c r="BI5" s="67" t="s">
        <v>128</v>
      </c>
      <c r="BJ5" s="67" t="s">
        <v>127</v>
      </c>
      <c r="BK5" s="67" t="s">
        <v>53</v>
      </c>
      <c r="BL5" s="67" t="s">
        <v>130</v>
      </c>
      <c r="BM5" s="67" t="s">
        <v>125</v>
      </c>
      <c r="BN5" s="67" t="s">
        <v>126</v>
      </c>
      <c r="BO5" s="67" t="s">
        <v>128</v>
      </c>
      <c r="BP5" s="67" t="s">
        <v>127</v>
      </c>
      <c r="BQ5" s="67" t="s">
        <v>53</v>
      </c>
      <c r="BR5" s="67" t="s">
        <v>130</v>
      </c>
      <c r="BS5" s="15" t="s">
        <v>125</v>
      </c>
      <c r="BT5" s="15" t="s">
        <v>126</v>
      </c>
      <c r="BU5" s="15" t="s">
        <v>128</v>
      </c>
      <c r="BV5" s="15" t="s">
        <v>127</v>
      </c>
      <c r="BW5" s="15" t="s">
        <v>53</v>
      </c>
      <c r="BX5" s="15" t="s">
        <v>122</v>
      </c>
      <c r="BY5" s="15" t="s">
        <v>125</v>
      </c>
      <c r="BZ5" s="15" t="s">
        <v>126</v>
      </c>
      <c r="CA5" s="15" t="s">
        <v>128</v>
      </c>
      <c r="CB5" s="15" t="s">
        <v>127</v>
      </c>
      <c r="CC5" s="15" t="s">
        <v>53</v>
      </c>
      <c r="CD5" s="15" t="s">
        <v>122</v>
      </c>
      <c r="CE5" s="16" t="s">
        <v>125</v>
      </c>
      <c r="CF5" s="16" t="s">
        <v>126</v>
      </c>
      <c r="CG5" s="16" t="s">
        <v>128</v>
      </c>
      <c r="CH5" s="16" t="s">
        <v>127</v>
      </c>
      <c r="CI5" s="16" t="s">
        <v>53</v>
      </c>
      <c r="CJ5" s="16" t="s">
        <v>130</v>
      </c>
      <c r="CK5" s="17" t="s">
        <v>131</v>
      </c>
    </row>
    <row r="6" spans="1:89" ht="20" customHeight="1" x14ac:dyDescent="0.2">
      <c r="A6" s="18" t="s">
        <v>132</v>
      </c>
      <c r="B6" s="58">
        <v>2506149</v>
      </c>
      <c r="C6" s="59">
        <v>4.87</v>
      </c>
      <c r="D6" s="59">
        <v>0.27</v>
      </c>
      <c r="E6" s="59">
        <v>1.87</v>
      </c>
      <c r="F6" s="59">
        <v>51.72</v>
      </c>
      <c r="G6" s="59">
        <v>2.4500000000000002</v>
      </c>
      <c r="H6" s="59">
        <v>2.2200000000000002</v>
      </c>
      <c r="I6" s="59">
        <v>7.12</v>
      </c>
      <c r="J6" s="59">
        <v>2577692</v>
      </c>
      <c r="K6" s="59">
        <v>4.99</v>
      </c>
      <c r="L6" s="59">
        <v>0.27</v>
      </c>
      <c r="M6" s="59">
        <v>1.85</v>
      </c>
      <c r="N6" s="59">
        <v>51.9</v>
      </c>
      <c r="O6" s="59">
        <v>2.48</v>
      </c>
      <c r="P6" s="59">
        <v>2.25</v>
      </c>
      <c r="Q6" s="59">
        <v>7.21</v>
      </c>
      <c r="R6" s="59">
        <v>1885466</v>
      </c>
      <c r="S6" s="59">
        <v>5.42</v>
      </c>
      <c r="T6" s="59">
        <v>0.26</v>
      </c>
      <c r="U6" s="59">
        <v>1.81</v>
      </c>
      <c r="V6" s="59">
        <v>51.9</v>
      </c>
      <c r="W6" s="59">
        <v>2.48</v>
      </c>
      <c r="X6" s="59">
        <v>2.23</v>
      </c>
      <c r="Y6" s="59">
        <v>7.19</v>
      </c>
      <c r="Z6" s="59">
        <v>328064</v>
      </c>
      <c r="AA6" s="59">
        <v>84.88</v>
      </c>
      <c r="AB6" s="59">
        <v>0.31</v>
      </c>
      <c r="AC6" s="59">
        <v>529521</v>
      </c>
      <c r="AD6" s="66">
        <v>0.107</v>
      </c>
      <c r="AE6" s="59" t="s">
        <v>138</v>
      </c>
      <c r="AF6" s="59">
        <v>0.05</v>
      </c>
      <c r="AG6" s="59">
        <v>36.6</v>
      </c>
      <c r="AH6" s="59">
        <v>50.2</v>
      </c>
      <c r="AI6" s="59">
        <v>44014</v>
      </c>
      <c r="AJ6" s="66">
        <v>9.5000000000000001E-2</v>
      </c>
      <c r="AK6" s="59" t="s">
        <v>138</v>
      </c>
      <c r="AL6" s="59">
        <v>0.04</v>
      </c>
      <c r="AM6" s="59">
        <v>35.200000000000003</v>
      </c>
      <c r="AN6" s="59">
        <v>50</v>
      </c>
      <c r="AO6" s="59">
        <v>536860</v>
      </c>
      <c r="AP6" s="59">
        <v>8.3000000000000004E-2</v>
      </c>
      <c r="AQ6" s="59" t="s">
        <v>138</v>
      </c>
      <c r="AR6" s="59">
        <v>7.0000000000000007E-2</v>
      </c>
      <c r="AS6" s="59">
        <v>56.01</v>
      </c>
      <c r="AT6" s="59">
        <v>10</v>
      </c>
      <c r="AU6" s="56">
        <v>390600</v>
      </c>
      <c r="AV6" s="59">
        <v>7.1999999999999995E-2</v>
      </c>
      <c r="AW6" s="59" t="s">
        <v>139</v>
      </c>
      <c r="AX6" s="59">
        <v>0.05</v>
      </c>
      <c r="AY6" s="59">
        <v>57.65</v>
      </c>
      <c r="AZ6" s="59">
        <v>9</v>
      </c>
      <c r="BA6" s="59">
        <v>508583</v>
      </c>
      <c r="BB6" s="59">
        <v>6.6000000000000003E-2</v>
      </c>
      <c r="BC6" s="59" t="s">
        <v>138</v>
      </c>
      <c r="BD6" s="59">
        <v>7.0000000000000007E-2</v>
      </c>
      <c r="BE6" s="59">
        <v>56.55</v>
      </c>
      <c r="BF6" s="59">
        <v>9.8000000000000007</v>
      </c>
      <c r="BG6" s="59">
        <v>510730</v>
      </c>
      <c r="BH6" s="59">
        <v>7.0999999999999994E-2</v>
      </c>
      <c r="BI6" s="59" t="s">
        <v>138</v>
      </c>
      <c r="BJ6" s="59">
        <v>7.0000000000000007E-2</v>
      </c>
      <c r="BK6" s="59">
        <v>56.8</v>
      </c>
      <c r="BL6" s="59">
        <v>9.4</v>
      </c>
      <c r="BM6" s="59">
        <v>26023</v>
      </c>
      <c r="BN6" s="59">
        <v>6.7000000000000004E-2</v>
      </c>
      <c r="BO6" s="59" t="s">
        <v>140</v>
      </c>
      <c r="BP6" s="59">
        <v>7.0000000000000007E-2</v>
      </c>
      <c r="BQ6" s="59">
        <v>57.5</v>
      </c>
      <c r="BR6" s="59">
        <v>8.1999999999999993</v>
      </c>
      <c r="BS6" s="59">
        <v>1164563</v>
      </c>
      <c r="BT6" s="59">
        <v>5.2999999999999999E-2</v>
      </c>
      <c r="BU6" s="59" t="s">
        <v>139</v>
      </c>
      <c r="BV6" s="59">
        <v>0.04</v>
      </c>
      <c r="BW6" s="59">
        <v>52.3</v>
      </c>
      <c r="BX6" s="59">
        <v>0.99</v>
      </c>
      <c r="BY6" s="59">
        <v>961820</v>
      </c>
      <c r="BZ6" s="59">
        <v>4.5999999999999999E-2</v>
      </c>
      <c r="CA6" s="59" t="s">
        <v>138</v>
      </c>
      <c r="CB6" s="59">
        <v>0.04</v>
      </c>
      <c r="CC6" s="59">
        <v>52.5</v>
      </c>
      <c r="CD6" s="59">
        <v>0.3</v>
      </c>
      <c r="CE6" s="59">
        <v>32951</v>
      </c>
      <c r="CF6" s="59">
        <v>5.8999999999999997E-2</v>
      </c>
      <c r="CG6" s="59" t="s">
        <v>140</v>
      </c>
      <c r="CH6" s="59">
        <v>0.05</v>
      </c>
      <c r="CI6" s="59">
        <v>58.9</v>
      </c>
      <c r="CJ6" s="59">
        <v>7.6</v>
      </c>
      <c r="CK6" s="59"/>
    </row>
    <row r="7" spans="1:89" ht="20" customHeight="1" x14ac:dyDescent="0.2">
      <c r="A7" s="19" t="s">
        <v>133</v>
      </c>
      <c r="B7" s="59">
        <v>2506149</v>
      </c>
      <c r="C7" s="59">
        <v>4.93</v>
      </c>
      <c r="D7" s="59">
        <v>0.27</v>
      </c>
      <c r="E7" s="59">
        <v>1.87</v>
      </c>
      <c r="F7" s="59">
        <v>51.72</v>
      </c>
      <c r="G7" s="59">
        <v>2.4500000000000002</v>
      </c>
      <c r="H7" s="59">
        <v>2.2200000000000002</v>
      </c>
      <c r="I7" s="59">
        <v>7.12</v>
      </c>
      <c r="J7" s="59">
        <v>2577692</v>
      </c>
      <c r="K7" s="59">
        <v>5.03</v>
      </c>
      <c r="L7" s="59">
        <v>0.27</v>
      </c>
      <c r="M7" s="59">
        <v>1.85</v>
      </c>
      <c r="N7" s="59">
        <v>51.9</v>
      </c>
      <c r="O7" s="59">
        <v>2.48</v>
      </c>
      <c r="P7" s="59">
        <v>2.25</v>
      </c>
      <c r="Q7" s="59">
        <v>7.21</v>
      </c>
      <c r="R7" s="59">
        <v>2042706</v>
      </c>
      <c r="S7" s="59">
        <v>5.4</v>
      </c>
      <c r="T7" s="59">
        <v>0.24</v>
      </c>
      <c r="U7" s="59">
        <v>1.81</v>
      </c>
      <c r="V7" s="59">
        <v>51.9</v>
      </c>
      <c r="W7" s="59">
        <v>2.5</v>
      </c>
      <c r="X7" s="59">
        <v>2.25</v>
      </c>
      <c r="Y7" s="59">
        <v>7.25</v>
      </c>
      <c r="Z7" s="59">
        <v>328064</v>
      </c>
      <c r="AA7" s="59">
        <v>84.88</v>
      </c>
      <c r="AB7" s="59">
        <v>0.31</v>
      </c>
      <c r="AC7" s="59">
        <v>529521</v>
      </c>
      <c r="AD7" s="59">
        <v>0.109</v>
      </c>
      <c r="AE7" s="59" t="s">
        <v>138</v>
      </c>
      <c r="AF7" s="59">
        <v>0.05</v>
      </c>
      <c r="AG7" s="59">
        <v>36.6</v>
      </c>
      <c r="AH7" s="59">
        <v>50.2</v>
      </c>
      <c r="AI7" s="59">
        <v>44014</v>
      </c>
      <c r="AJ7" s="59">
        <v>9.5000000000000001E-2</v>
      </c>
      <c r="AK7" s="59" t="s">
        <v>138</v>
      </c>
      <c r="AL7" s="59">
        <v>0.04</v>
      </c>
      <c r="AM7" s="59">
        <v>35.200000000000003</v>
      </c>
      <c r="AN7" s="59">
        <v>50</v>
      </c>
      <c r="AO7" s="59">
        <v>536860</v>
      </c>
      <c r="AP7" s="59">
        <v>8.3000000000000004E-2</v>
      </c>
      <c r="AQ7" s="59" t="s">
        <v>138</v>
      </c>
      <c r="AR7" s="59">
        <v>7.0000000000000007E-2</v>
      </c>
      <c r="AS7" s="59">
        <v>56.01</v>
      </c>
      <c r="AT7" s="59">
        <v>10</v>
      </c>
      <c r="AU7" s="56">
        <v>353850</v>
      </c>
      <c r="AV7" s="59">
        <v>7.1999999999999995E-2</v>
      </c>
      <c r="AW7" s="59" t="s">
        <v>139</v>
      </c>
      <c r="AX7" s="59">
        <v>0.05</v>
      </c>
      <c r="AY7" s="59">
        <v>57.65</v>
      </c>
      <c r="AZ7" s="59">
        <v>9</v>
      </c>
      <c r="BA7" s="59">
        <v>508583</v>
      </c>
      <c r="BB7" s="59">
        <v>6.6000000000000003E-2</v>
      </c>
      <c r="BC7" s="59" t="s">
        <v>138</v>
      </c>
      <c r="BD7" s="59">
        <v>7.0000000000000007E-2</v>
      </c>
      <c r="BE7" s="59">
        <v>56.55</v>
      </c>
      <c r="BF7" s="59">
        <v>9.8000000000000007</v>
      </c>
      <c r="BG7" s="59">
        <v>510730</v>
      </c>
      <c r="BH7" s="59">
        <v>7.0999999999999994E-2</v>
      </c>
      <c r="BI7" s="59" t="s">
        <v>138</v>
      </c>
      <c r="BJ7" s="59">
        <v>7.0000000000000007E-2</v>
      </c>
      <c r="BK7" s="59">
        <v>56.8</v>
      </c>
      <c r="BL7" s="59">
        <v>9.4</v>
      </c>
      <c r="BM7" s="59">
        <v>26023</v>
      </c>
      <c r="BN7" s="59">
        <v>6.7000000000000004E-2</v>
      </c>
      <c r="BO7" s="59" t="s">
        <v>140</v>
      </c>
      <c r="BP7" s="59">
        <v>7.0000000000000007E-2</v>
      </c>
      <c r="BQ7" s="59">
        <v>57.5</v>
      </c>
      <c r="BR7" s="59">
        <v>8.1999999999999993</v>
      </c>
      <c r="BS7" s="59">
        <v>1164563</v>
      </c>
      <c r="BT7" s="59">
        <v>5.3999999999999999E-2</v>
      </c>
      <c r="BU7" s="59" t="s">
        <v>139</v>
      </c>
      <c r="BV7" s="59">
        <v>0.04</v>
      </c>
      <c r="BW7" s="59">
        <v>52.3</v>
      </c>
      <c r="BX7" s="59">
        <v>0.99</v>
      </c>
      <c r="BY7" s="59">
        <v>961820</v>
      </c>
      <c r="BZ7" s="59">
        <v>4.7E-2</v>
      </c>
      <c r="CA7" s="59" t="s">
        <v>138</v>
      </c>
      <c r="CB7" s="59">
        <v>0.04</v>
      </c>
      <c r="CC7" s="59">
        <v>52.5</v>
      </c>
      <c r="CD7" s="59">
        <v>0.3</v>
      </c>
      <c r="CE7" s="59">
        <v>32951</v>
      </c>
      <c r="CF7" s="59">
        <v>5.8999999999999997E-2</v>
      </c>
      <c r="CG7" s="59" t="s">
        <v>140</v>
      </c>
      <c r="CH7" s="59">
        <v>0.05</v>
      </c>
      <c r="CI7" s="59">
        <v>58.9</v>
      </c>
      <c r="CJ7" s="59">
        <v>7.6</v>
      </c>
      <c r="CK7" s="59"/>
    </row>
    <row r="8" spans="1:89" ht="20" customHeight="1" x14ac:dyDescent="0.2">
      <c r="A8" s="20" t="s">
        <v>134</v>
      </c>
      <c r="B8" s="59">
        <v>2506149</v>
      </c>
      <c r="C8" s="59">
        <v>4.9400000000000004</v>
      </c>
      <c r="D8" s="59">
        <v>0.27</v>
      </c>
      <c r="E8" s="59">
        <v>1.87</v>
      </c>
      <c r="F8" s="59">
        <v>51.72</v>
      </c>
      <c r="G8" s="59">
        <v>2.4700000000000002</v>
      </c>
      <c r="H8" s="59">
        <v>2.2200000000000002</v>
      </c>
      <c r="I8" s="59">
        <v>7.16</v>
      </c>
      <c r="J8" s="59">
        <v>2577692</v>
      </c>
      <c r="K8" s="59">
        <v>5.05</v>
      </c>
      <c r="L8" s="59">
        <v>0.27</v>
      </c>
      <c r="M8" s="59">
        <v>1.85</v>
      </c>
      <c r="N8" s="59">
        <v>51.9</v>
      </c>
      <c r="O8" s="59">
        <v>2.48</v>
      </c>
      <c r="P8" s="59">
        <v>2.25</v>
      </c>
      <c r="Q8" s="59">
        <v>7.21</v>
      </c>
      <c r="R8" s="59">
        <v>2142966</v>
      </c>
      <c r="S8" s="59">
        <v>5.38</v>
      </c>
      <c r="T8" s="59">
        <v>0.24</v>
      </c>
      <c r="U8" s="59">
        <v>1.81</v>
      </c>
      <c r="V8" s="59">
        <v>51.9</v>
      </c>
      <c r="W8" s="59">
        <v>2.5</v>
      </c>
      <c r="X8" s="59">
        <v>2.25</v>
      </c>
      <c r="Y8" s="59">
        <v>7.25</v>
      </c>
      <c r="Z8" s="59">
        <v>328064</v>
      </c>
      <c r="AA8" s="59">
        <v>84.88</v>
      </c>
      <c r="AB8" s="59">
        <v>0.31</v>
      </c>
      <c r="AC8" s="59">
        <v>529521</v>
      </c>
      <c r="AD8" s="59">
        <v>0.11</v>
      </c>
      <c r="AE8" s="59" t="s">
        <v>138</v>
      </c>
      <c r="AF8" s="59">
        <v>0.05</v>
      </c>
      <c r="AG8" s="59">
        <v>36.6</v>
      </c>
      <c r="AH8" s="59">
        <v>50.2</v>
      </c>
      <c r="AI8" s="59">
        <v>44014</v>
      </c>
      <c r="AJ8" s="59">
        <v>9.5000000000000001E-2</v>
      </c>
      <c r="AK8" s="59" t="s">
        <v>138</v>
      </c>
      <c r="AL8" s="59">
        <v>0.04</v>
      </c>
      <c r="AM8" s="59">
        <v>35.200000000000003</v>
      </c>
      <c r="AN8" s="59">
        <v>50</v>
      </c>
      <c r="AO8" s="59">
        <v>536860</v>
      </c>
      <c r="AP8" s="59">
        <v>8.3000000000000004E-2</v>
      </c>
      <c r="AQ8" s="59" t="s">
        <v>138</v>
      </c>
      <c r="AR8" s="59">
        <v>7.0000000000000007E-2</v>
      </c>
      <c r="AS8" s="59">
        <v>56.01</v>
      </c>
      <c r="AT8" s="59">
        <v>10</v>
      </c>
      <c r="AU8" s="56">
        <v>353850</v>
      </c>
      <c r="AV8" s="59">
        <v>7.1999999999999995E-2</v>
      </c>
      <c r="AW8" s="59" t="s">
        <v>139</v>
      </c>
      <c r="AX8" s="59">
        <v>0.05</v>
      </c>
      <c r="AY8" s="59">
        <v>57.65</v>
      </c>
      <c r="AZ8" s="59">
        <v>9</v>
      </c>
      <c r="BA8" s="59">
        <v>508583</v>
      </c>
      <c r="BB8" s="59">
        <v>6.6000000000000003E-2</v>
      </c>
      <c r="BC8" s="59" t="s">
        <v>138</v>
      </c>
      <c r="BD8" s="59">
        <v>7.0000000000000007E-2</v>
      </c>
      <c r="BE8" s="59">
        <v>56.55</v>
      </c>
      <c r="BF8" s="59">
        <v>9.8000000000000007</v>
      </c>
      <c r="BG8" s="59">
        <v>510730</v>
      </c>
      <c r="BH8" s="59">
        <v>7.0999999999999994E-2</v>
      </c>
      <c r="BI8" s="59" t="s">
        <v>138</v>
      </c>
      <c r="BJ8" s="59">
        <v>7.0000000000000007E-2</v>
      </c>
      <c r="BK8" s="59">
        <v>56.8</v>
      </c>
      <c r="BL8" s="59">
        <v>9.4</v>
      </c>
      <c r="BM8" s="59">
        <v>26023</v>
      </c>
      <c r="BN8" s="59">
        <v>6.7000000000000004E-2</v>
      </c>
      <c r="BO8" s="59" t="s">
        <v>140</v>
      </c>
      <c r="BP8" s="59">
        <v>7.0000000000000007E-2</v>
      </c>
      <c r="BQ8" s="59">
        <v>57.5</v>
      </c>
      <c r="BR8" s="59">
        <v>8.1999999999999993</v>
      </c>
      <c r="BS8" s="59">
        <v>1164563</v>
      </c>
      <c r="BT8" s="59">
        <v>5.3999999999999999E-2</v>
      </c>
      <c r="BU8" s="59" t="s">
        <v>139</v>
      </c>
      <c r="BV8" s="59">
        <v>0.04</v>
      </c>
      <c r="BW8" s="59">
        <v>52.3</v>
      </c>
      <c r="BX8" s="59">
        <v>0.99</v>
      </c>
      <c r="BY8" s="59">
        <v>961820</v>
      </c>
      <c r="BZ8" s="59">
        <v>4.9000000000000002E-2</v>
      </c>
      <c r="CA8" s="59" t="s">
        <v>138</v>
      </c>
      <c r="CB8" s="59">
        <v>0.05</v>
      </c>
      <c r="CC8" s="59">
        <v>52.5</v>
      </c>
      <c r="CD8" s="59">
        <v>0.3</v>
      </c>
      <c r="CE8" s="59">
        <v>32951</v>
      </c>
      <c r="CF8" s="59">
        <v>5.8999999999999997E-2</v>
      </c>
      <c r="CG8" s="59" t="s">
        <v>140</v>
      </c>
      <c r="CH8" s="59">
        <v>0.05</v>
      </c>
      <c r="CI8" s="59">
        <v>58.9</v>
      </c>
      <c r="CJ8" s="59">
        <v>7.6</v>
      </c>
      <c r="CK8" s="59"/>
    </row>
    <row r="9" spans="1:89" ht="20" customHeight="1" x14ac:dyDescent="0.2">
      <c r="A9" s="19" t="s">
        <v>135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6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  <row r="10" spans="1:89" ht="20" customHeight="1" x14ac:dyDescent="0.2">
      <c r="A10" s="20" t="s">
        <v>136</v>
      </c>
      <c r="B10" s="59">
        <v>2506149</v>
      </c>
      <c r="C10" s="59">
        <v>4.9800000000000004</v>
      </c>
      <c r="D10" s="59">
        <v>0.27</v>
      </c>
      <c r="E10" s="59">
        <v>1.87</v>
      </c>
      <c r="F10" s="59">
        <v>51.72</v>
      </c>
      <c r="G10" s="59">
        <v>2.5</v>
      </c>
      <c r="H10" s="59">
        <v>2.2999999999999998</v>
      </c>
      <c r="I10" s="59">
        <v>7.3</v>
      </c>
      <c r="J10" s="59">
        <v>2577692</v>
      </c>
      <c r="K10" s="59">
        <v>5.09</v>
      </c>
      <c r="L10" s="59">
        <v>0.27</v>
      </c>
      <c r="M10" s="59">
        <v>1.85</v>
      </c>
      <c r="N10" s="59">
        <v>51.9</v>
      </c>
      <c r="O10" s="59">
        <v>2.4900000000000002</v>
      </c>
      <c r="P10" s="59">
        <v>2.35</v>
      </c>
      <c r="Q10" s="59">
        <v>7.33</v>
      </c>
      <c r="R10" s="59">
        <v>2342896</v>
      </c>
      <c r="S10" s="59">
        <v>5.34</v>
      </c>
      <c r="T10" s="59">
        <v>0.24</v>
      </c>
      <c r="U10" s="59">
        <v>1.81</v>
      </c>
      <c r="V10" s="59">
        <v>51.8</v>
      </c>
      <c r="W10" s="59">
        <v>2.4</v>
      </c>
      <c r="X10" s="59">
        <v>2.15</v>
      </c>
      <c r="Y10" s="59">
        <v>6.95</v>
      </c>
      <c r="Z10" s="59">
        <v>328064</v>
      </c>
      <c r="AA10" s="59">
        <v>84.88</v>
      </c>
      <c r="AB10" s="59">
        <v>0.31</v>
      </c>
      <c r="AC10" s="59">
        <v>529521</v>
      </c>
      <c r="AD10" s="59">
        <v>0.115</v>
      </c>
      <c r="AE10" s="59" t="s">
        <v>138</v>
      </c>
      <c r="AF10" s="59">
        <v>7.0000000000000007E-2</v>
      </c>
      <c r="AG10" s="59">
        <v>36.6</v>
      </c>
      <c r="AH10" s="59">
        <v>50.2</v>
      </c>
      <c r="AI10" s="59">
        <v>44014</v>
      </c>
      <c r="AJ10" s="59">
        <v>0.1</v>
      </c>
      <c r="AK10" s="59" t="s">
        <v>138</v>
      </c>
      <c r="AL10" s="59">
        <v>0.06</v>
      </c>
      <c r="AM10" s="59">
        <v>35.200000000000003</v>
      </c>
      <c r="AN10" s="59">
        <v>50</v>
      </c>
      <c r="AO10" s="59">
        <v>536860</v>
      </c>
      <c r="AP10" s="59">
        <v>8.3000000000000004E-2</v>
      </c>
      <c r="AQ10" s="59" t="s">
        <v>138</v>
      </c>
      <c r="AR10" s="59">
        <v>7.0000000000000007E-2</v>
      </c>
      <c r="AS10" s="59">
        <v>56.01</v>
      </c>
      <c r="AT10" s="59">
        <v>10</v>
      </c>
      <c r="AU10" s="56">
        <v>353850</v>
      </c>
      <c r="AV10" s="59">
        <v>7.5999999999999998E-2</v>
      </c>
      <c r="AW10" s="59" t="s">
        <v>139</v>
      </c>
      <c r="AX10" s="59">
        <v>0.06</v>
      </c>
      <c r="AY10" s="59">
        <v>57.65</v>
      </c>
      <c r="AZ10" s="59">
        <v>9</v>
      </c>
      <c r="BA10" s="59">
        <v>508583</v>
      </c>
      <c r="BB10" s="59">
        <v>7.1999999999999995E-2</v>
      </c>
      <c r="BC10" s="59" t="s">
        <v>138</v>
      </c>
      <c r="BD10" s="59">
        <v>7.0000000000000007E-2</v>
      </c>
      <c r="BE10" s="59">
        <v>56.55</v>
      </c>
      <c r="BF10" s="59">
        <v>9.8000000000000007</v>
      </c>
      <c r="BG10" s="59">
        <v>510730</v>
      </c>
      <c r="BH10" s="59">
        <v>7.0999999999999994E-2</v>
      </c>
      <c r="BI10" s="59" t="s">
        <v>140</v>
      </c>
      <c r="BJ10" s="59">
        <v>7.0000000000000007E-2</v>
      </c>
      <c r="BK10" s="59">
        <v>56.8</v>
      </c>
      <c r="BL10" s="59">
        <v>9.4</v>
      </c>
      <c r="BM10" s="59">
        <v>26023</v>
      </c>
      <c r="BN10" s="59">
        <v>7.4999999999999997E-2</v>
      </c>
      <c r="BO10" s="59" t="s">
        <v>141</v>
      </c>
      <c r="BP10" s="59">
        <v>7.0000000000000007E-2</v>
      </c>
      <c r="BQ10" s="59">
        <v>57.5</v>
      </c>
      <c r="BR10" s="59">
        <v>8.1999999999999993</v>
      </c>
      <c r="BS10" s="59">
        <v>1164563</v>
      </c>
      <c r="BT10" s="59">
        <v>5.5E-2</v>
      </c>
      <c r="BU10" s="59" t="s">
        <v>139</v>
      </c>
      <c r="BV10" s="59">
        <v>0.04</v>
      </c>
      <c r="BW10" s="59">
        <v>52.3</v>
      </c>
      <c r="BX10" s="59">
        <v>0.99</v>
      </c>
      <c r="BY10" s="59">
        <v>961820</v>
      </c>
      <c r="BZ10" s="59">
        <v>5.0999999999999997E-2</v>
      </c>
      <c r="CA10" s="59" t="s">
        <v>138</v>
      </c>
      <c r="CB10" s="59">
        <v>0.05</v>
      </c>
      <c r="CC10" s="59">
        <v>52.5</v>
      </c>
      <c r="CD10" s="59">
        <v>0.3</v>
      </c>
      <c r="CE10" s="59">
        <v>32951</v>
      </c>
      <c r="CF10" s="59">
        <v>7.0000000000000007E-2</v>
      </c>
      <c r="CG10" s="59" t="s">
        <v>141</v>
      </c>
      <c r="CH10" s="59">
        <v>0.05</v>
      </c>
      <c r="CI10" s="59">
        <v>58.9</v>
      </c>
      <c r="CJ10" s="59">
        <v>7.6</v>
      </c>
      <c r="CK10" s="59"/>
    </row>
    <row r="11" spans="1:89" ht="20" customHeight="1" x14ac:dyDescent="0.2">
      <c r="A11" s="19" t="s">
        <v>137</v>
      </c>
      <c r="B11" s="61">
        <v>2506149</v>
      </c>
      <c r="C11" s="62">
        <v>4.9800000000000004</v>
      </c>
      <c r="D11" s="62">
        <v>0.27</v>
      </c>
      <c r="E11" s="62">
        <v>1.87</v>
      </c>
      <c r="F11" s="62">
        <v>51.72</v>
      </c>
      <c r="G11" s="62">
        <v>2.5</v>
      </c>
      <c r="H11" s="62">
        <v>2.2999999999999998</v>
      </c>
      <c r="I11" s="62">
        <v>7.3</v>
      </c>
      <c r="J11" s="62">
        <v>2577692</v>
      </c>
      <c r="K11" s="62">
        <v>5.09</v>
      </c>
      <c r="L11" s="62">
        <v>0.27</v>
      </c>
      <c r="M11" s="62">
        <v>1.85</v>
      </c>
      <c r="N11" s="62">
        <v>51.9</v>
      </c>
      <c r="O11" s="62">
        <v>2.4900000000000002</v>
      </c>
      <c r="P11" s="62">
        <v>2.35</v>
      </c>
      <c r="Q11" s="62">
        <v>7.33</v>
      </c>
      <c r="R11" s="62">
        <v>2443036</v>
      </c>
      <c r="S11" s="62">
        <v>5.3</v>
      </c>
      <c r="T11" s="62">
        <v>0.32</v>
      </c>
      <c r="U11" s="62">
        <v>1.81</v>
      </c>
      <c r="V11" s="62">
        <v>51.81</v>
      </c>
      <c r="W11" s="62">
        <v>2.37</v>
      </c>
      <c r="X11" s="62">
        <v>2.12</v>
      </c>
      <c r="Y11" s="62">
        <v>6.86</v>
      </c>
      <c r="Z11" s="62">
        <v>328064</v>
      </c>
      <c r="AA11" s="62">
        <v>84.88</v>
      </c>
      <c r="AB11" s="62">
        <v>0.31</v>
      </c>
      <c r="AC11" s="62">
        <v>529521</v>
      </c>
      <c r="AD11" s="65">
        <v>0.11799999999999999</v>
      </c>
      <c r="AE11" s="62" t="s">
        <v>138</v>
      </c>
      <c r="AF11" s="62">
        <v>7.0000000000000007E-2</v>
      </c>
      <c r="AG11" s="62">
        <v>36.6</v>
      </c>
      <c r="AH11" s="62">
        <v>50.2</v>
      </c>
      <c r="AI11" s="62">
        <v>44014</v>
      </c>
      <c r="AJ11" s="65">
        <v>0.105</v>
      </c>
      <c r="AK11" s="62" t="s">
        <v>138</v>
      </c>
      <c r="AL11" s="62">
        <v>0.06</v>
      </c>
      <c r="AM11" s="62">
        <v>35.200000000000003</v>
      </c>
      <c r="AN11" s="62">
        <v>50</v>
      </c>
      <c r="AO11" s="62">
        <v>536860</v>
      </c>
      <c r="AP11" s="62">
        <v>8.4000000000000005E-2</v>
      </c>
      <c r="AQ11" s="62" t="s">
        <v>138</v>
      </c>
      <c r="AR11" s="62">
        <v>7.0000000000000007E-2</v>
      </c>
      <c r="AS11" s="62">
        <v>56.01</v>
      </c>
      <c r="AT11" s="62">
        <v>10</v>
      </c>
      <c r="AU11" s="55">
        <v>344790</v>
      </c>
      <c r="AV11" s="62">
        <v>7.5999999999999998E-2</v>
      </c>
      <c r="AW11" s="62" t="s">
        <v>139</v>
      </c>
      <c r="AX11" s="62">
        <v>7.0000000000000007E-2</v>
      </c>
      <c r="AY11" s="62">
        <v>57.65</v>
      </c>
      <c r="AZ11" s="62">
        <v>9</v>
      </c>
      <c r="BA11" s="62">
        <v>508583</v>
      </c>
      <c r="BB11" s="62">
        <v>7.1999999999999995E-2</v>
      </c>
      <c r="BC11" s="62" t="s">
        <v>138</v>
      </c>
      <c r="BD11" s="62">
        <v>7.0000000000000007E-2</v>
      </c>
      <c r="BE11" s="62">
        <v>56.55</v>
      </c>
      <c r="BF11" s="62">
        <v>9.8000000000000007</v>
      </c>
      <c r="BG11" s="62">
        <v>510730</v>
      </c>
      <c r="BH11" s="62">
        <v>7.0999999999999994E-2</v>
      </c>
      <c r="BI11" s="62" t="s">
        <v>140</v>
      </c>
      <c r="BJ11" s="62">
        <v>7.0000000000000007E-2</v>
      </c>
      <c r="BK11" s="62">
        <v>56.8</v>
      </c>
      <c r="BL11" s="62">
        <v>9.4</v>
      </c>
      <c r="BM11" s="62">
        <v>26023</v>
      </c>
      <c r="BN11" s="62">
        <v>7.8E-2</v>
      </c>
      <c r="BO11" s="62" t="s">
        <v>141</v>
      </c>
      <c r="BP11" s="62">
        <v>7.0000000000000007E-2</v>
      </c>
      <c r="BQ11" s="62">
        <v>57.5</v>
      </c>
      <c r="BR11" s="62">
        <v>8.1999999999999993</v>
      </c>
      <c r="BS11" s="62">
        <v>1164563</v>
      </c>
      <c r="BT11" s="62">
        <v>5.6000000000000001E-2</v>
      </c>
      <c r="BU11" s="62" t="s">
        <v>139</v>
      </c>
      <c r="BV11" s="62">
        <v>0.04</v>
      </c>
      <c r="BW11" s="62">
        <v>52.3</v>
      </c>
      <c r="BX11" s="62">
        <v>1.18</v>
      </c>
      <c r="BY11" s="62">
        <v>961820</v>
      </c>
      <c r="BZ11" s="62">
        <v>5.1999999999999998E-2</v>
      </c>
      <c r="CA11" s="62" t="s">
        <v>138</v>
      </c>
      <c r="CB11" s="62">
        <v>0.05</v>
      </c>
      <c r="CC11" s="62">
        <v>52.5</v>
      </c>
      <c r="CD11" s="62">
        <v>0.8</v>
      </c>
      <c r="CE11" s="62">
        <v>32951</v>
      </c>
      <c r="CF11" s="62">
        <v>7.4999999999999997E-2</v>
      </c>
      <c r="CG11" s="62" t="s">
        <v>141</v>
      </c>
      <c r="CH11" s="62">
        <v>0.06</v>
      </c>
      <c r="CI11" s="62">
        <v>58.9</v>
      </c>
      <c r="CJ11" s="62">
        <v>7.6</v>
      </c>
      <c r="CK11" s="59"/>
    </row>
    <row r="12" spans="1:89" ht="20" customHeight="1" x14ac:dyDescent="0.2">
      <c r="A12" s="18" t="s">
        <v>142</v>
      </c>
      <c r="B12" s="59">
        <v>2506149</v>
      </c>
      <c r="C12" s="59">
        <v>4.9800000000000004</v>
      </c>
      <c r="D12" s="79">
        <v>0.27</v>
      </c>
      <c r="E12" s="80">
        <v>1.87</v>
      </c>
      <c r="F12" s="80">
        <v>51.72</v>
      </c>
      <c r="G12" s="59">
        <v>2.5</v>
      </c>
      <c r="H12" s="59">
        <v>2.2999999999999998</v>
      </c>
      <c r="I12" s="59">
        <v>7.3</v>
      </c>
      <c r="J12" s="59">
        <v>2577692</v>
      </c>
      <c r="K12" s="59">
        <v>5.13</v>
      </c>
      <c r="L12" s="80">
        <v>0.27</v>
      </c>
      <c r="M12" s="80">
        <v>1.85</v>
      </c>
      <c r="N12" s="80">
        <v>51.9</v>
      </c>
      <c r="O12" s="59">
        <v>2.4900000000000002</v>
      </c>
      <c r="P12" s="59">
        <v>2.35</v>
      </c>
      <c r="Q12" s="59">
        <v>7.33</v>
      </c>
      <c r="R12" s="59">
        <v>2529566</v>
      </c>
      <c r="S12" s="59">
        <v>5.28</v>
      </c>
      <c r="T12" s="80">
        <v>0.32</v>
      </c>
      <c r="U12" s="80">
        <v>1.81</v>
      </c>
      <c r="V12" s="80">
        <v>51.81</v>
      </c>
      <c r="W12" s="59">
        <v>2.2999999999999998</v>
      </c>
      <c r="X12" s="59">
        <v>2.1</v>
      </c>
      <c r="Y12" s="59">
        <v>6.7</v>
      </c>
      <c r="Z12" s="59">
        <v>328064</v>
      </c>
      <c r="AA12" s="59">
        <v>84.88</v>
      </c>
      <c r="AB12" s="80">
        <v>0.31</v>
      </c>
      <c r="AC12" s="59">
        <v>529521</v>
      </c>
      <c r="AD12" s="59">
        <v>0.124</v>
      </c>
      <c r="AE12" s="59" t="s">
        <v>138</v>
      </c>
      <c r="AF12" s="80">
        <v>7.0000000000000007E-2</v>
      </c>
      <c r="AG12" s="80">
        <v>36.6</v>
      </c>
      <c r="AH12" s="80">
        <v>50.2</v>
      </c>
      <c r="AI12" s="59">
        <v>44014</v>
      </c>
      <c r="AJ12" s="59">
        <v>0.108</v>
      </c>
      <c r="AK12" s="59" t="s">
        <v>138</v>
      </c>
      <c r="AL12" s="80">
        <v>0.06</v>
      </c>
      <c r="AM12" s="80">
        <v>35.200000000000003</v>
      </c>
      <c r="AN12" s="80">
        <v>50</v>
      </c>
      <c r="AO12" s="59">
        <v>536860</v>
      </c>
      <c r="AP12" s="59">
        <v>8.4000000000000005E-2</v>
      </c>
      <c r="AQ12" s="59" t="s">
        <v>138</v>
      </c>
      <c r="AR12" s="80">
        <v>7.0000000000000007E-2</v>
      </c>
      <c r="AS12" s="80">
        <v>56.01</v>
      </c>
      <c r="AT12" s="80">
        <v>10</v>
      </c>
      <c r="AU12" s="56">
        <v>278400</v>
      </c>
      <c r="AV12" s="59">
        <v>7.5999999999999998E-2</v>
      </c>
      <c r="AW12" s="59" t="s">
        <v>139</v>
      </c>
      <c r="AX12" s="80">
        <v>7.0000000000000007E-2</v>
      </c>
      <c r="AY12" s="80">
        <v>57.65</v>
      </c>
      <c r="AZ12" s="80">
        <v>9</v>
      </c>
      <c r="BA12" s="59">
        <v>508583</v>
      </c>
      <c r="BB12" s="59">
        <v>7.1999999999999995E-2</v>
      </c>
      <c r="BC12" s="59" t="s">
        <v>138</v>
      </c>
      <c r="BD12" s="80">
        <v>7.0000000000000007E-2</v>
      </c>
      <c r="BE12" s="80">
        <v>56.55</v>
      </c>
      <c r="BF12" s="80">
        <v>9.8000000000000007</v>
      </c>
      <c r="BG12" s="59">
        <v>510730</v>
      </c>
      <c r="BH12" s="59">
        <v>7.0999999999999994E-2</v>
      </c>
      <c r="BI12" s="59" t="s">
        <v>140</v>
      </c>
      <c r="BJ12" s="80">
        <v>7.0000000000000007E-2</v>
      </c>
      <c r="BK12" s="80">
        <v>56.8</v>
      </c>
      <c r="BL12" s="80">
        <v>9.4</v>
      </c>
      <c r="BM12" s="59">
        <v>26023</v>
      </c>
      <c r="BN12" s="59">
        <v>0.08</v>
      </c>
      <c r="BO12" s="59" t="s">
        <v>141</v>
      </c>
      <c r="BP12" s="80">
        <v>7.0000000000000007E-2</v>
      </c>
      <c r="BQ12" s="80">
        <v>57.5</v>
      </c>
      <c r="BR12" s="80">
        <v>8.1999999999999993</v>
      </c>
      <c r="BS12" s="59">
        <v>1164563</v>
      </c>
      <c r="BT12" s="59">
        <v>5.6000000000000001E-2</v>
      </c>
      <c r="BU12" s="59" t="s">
        <v>139</v>
      </c>
      <c r="BV12" s="80">
        <v>0.04</v>
      </c>
      <c r="BW12" s="80">
        <v>52.3</v>
      </c>
      <c r="BX12" s="80">
        <v>1.18</v>
      </c>
      <c r="BY12" s="59">
        <v>961820</v>
      </c>
      <c r="BZ12" s="59">
        <v>5.1999999999999998E-2</v>
      </c>
      <c r="CA12" s="59" t="s">
        <v>138</v>
      </c>
      <c r="CB12" s="80">
        <v>0.05</v>
      </c>
      <c r="CC12" s="80">
        <v>52.5</v>
      </c>
      <c r="CD12" s="80">
        <v>0.8</v>
      </c>
      <c r="CE12" s="59">
        <v>32951</v>
      </c>
      <c r="CF12" s="59">
        <v>0.08</v>
      </c>
      <c r="CG12" s="59" t="s">
        <v>141</v>
      </c>
      <c r="CH12" s="80">
        <v>0.06</v>
      </c>
      <c r="CI12" s="80">
        <v>58.9</v>
      </c>
      <c r="CJ12" s="80">
        <v>7.6</v>
      </c>
      <c r="CK12" s="59"/>
    </row>
    <row r="13" spans="1:89" ht="20" customHeight="1" x14ac:dyDescent="0.2">
      <c r="A13" s="18" t="s">
        <v>143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</row>
    <row r="14" spans="1:89" ht="20" customHeight="1" x14ac:dyDescent="0.2">
      <c r="A14" s="20" t="s">
        <v>144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</row>
    <row r="15" spans="1:89" ht="20" customHeight="1" x14ac:dyDescent="0.2">
      <c r="A15" s="19" t="s">
        <v>145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</row>
    <row r="16" spans="1:89" ht="20" customHeight="1" x14ac:dyDescent="0.2">
      <c r="A16" s="20" t="s">
        <v>146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</row>
    <row r="17" spans="1:89" ht="20" customHeight="1" x14ac:dyDescent="0.2">
      <c r="A17" s="19" t="s">
        <v>147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</row>
    <row r="18" spans="1:89" ht="20" customHeight="1" x14ac:dyDescent="0.2">
      <c r="A18" s="20" t="s">
        <v>148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</row>
    <row r="19" spans="1:89" ht="20" customHeight="1" x14ac:dyDescent="0.2">
      <c r="A19" s="18" t="s">
        <v>149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</row>
    <row r="20" spans="1:89" ht="20" customHeight="1" x14ac:dyDescent="0.2">
      <c r="A20" s="18" t="s">
        <v>150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</row>
    <row r="21" spans="1:89" ht="20" customHeight="1" x14ac:dyDescent="0.2">
      <c r="A21" s="19" t="s">
        <v>151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</row>
    <row r="22" spans="1:89" ht="20" customHeight="1" x14ac:dyDescent="0.2">
      <c r="A22" s="20" t="s">
        <v>152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</row>
    <row r="23" spans="1:89" ht="20" customHeight="1" x14ac:dyDescent="0.2">
      <c r="A23" s="19" t="s">
        <v>153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</row>
    <row r="24" spans="1:89" ht="20" customHeight="1" x14ac:dyDescent="0.2">
      <c r="A24" s="20" t="s">
        <v>154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</row>
    <row r="25" spans="1:89" ht="20" customHeight="1" x14ac:dyDescent="0.2">
      <c r="A25" s="19" t="s">
        <v>155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</row>
    <row r="26" spans="1:89" ht="20" customHeight="1" x14ac:dyDescent="0.2">
      <c r="A26" s="18" t="s">
        <v>156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</row>
    <row r="27" spans="1:89" ht="20" customHeight="1" x14ac:dyDescent="0.2">
      <c r="A27" s="18" t="s">
        <v>157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</row>
    <row r="28" spans="1:89" ht="20" customHeight="1" x14ac:dyDescent="0.2">
      <c r="A28" s="20" t="s">
        <v>158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</row>
    <row r="29" spans="1:89" ht="20" customHeight="1" x14ac:dyDescent="0.2">
      <c r="A29" s="19" t="s">
        <v>159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</row>
    <row r="30" spans="1:89" ht="20" customHeight="1" x14ac:dyDescent="0.2">
      <c r="A30" s="20" t="s">
        <v>160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</row>
    <row r="31" spans="1:89" ht="20" customHeight="1" x14ac:dyDescent="0.2">
      <c r="A31" s="19" t="s">
        <v>161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</row>
    <row r="32" spans="1:89" ht="20" customHeight="1" x14ac:dyDescent="0.2">
      <c r="A32" s="20" t="s">
        <v>162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</row>
    <row r="33" spans="1:89" ht="20" customHeight="1" x14ac:dyDescent="0.2">
      <c r="A33" s="18" t="s">
        <v>163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</row>
    <row r="34" spans="1:89" ht="20" customHeight="1" x14ac:dyDescent="0.2">
      <c r="A34" s="18" t="s">
        <v>164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</row>
    <row r="35" spans="1:89" ht="20" customHeight="1" x14ac:dyDescent="0.2">
      <c r="A35" s="19" t="s">
        <v>165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</row>
  </sheetData>
  <mergeCells count="17">
    <mergeCell ref="A1:BT1"/>
    <mergeCell ref="AC4:AH4"/>
    <mergeCell ref="BY4:CD4"/>
    <mergeCell ref="BG4:BL4"/>
    <mergeCell ref="A2:C2"/>
    <mergeCell ref="B4:I4"/>
    <mergeCell ref="Z4:AB4"/>
    <mergeCell ref="AO4:AT4"/>
    <mergeCell ref="AI4:AN4"/>
    <mergeCell ref="CE4:CJ4"/>
    <mergeCell ref="BM4:BR4"/>
    <mergeCell ref="J4:Q4"/>
    <mergeCell ref="R4:Y4"/>
    <mergeCell ref="A3:BT3"/>
    <mergeCell ref="BS4:BX4"/>
    <mergeCell ref="AU4:AZ4"/>
    <mergeCell ref="BA4:B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B2C2C"/>
  </sheetPr>
  <dimension ref="A1:Y40"/>
  <sheetViews>
    <sheetView showGridLines="0" zoomScale="125" zoomScaleNormal="125" workbookViewId="0">
      <pane xSplit="1" ySplit="4" topLeftCell="B5" activePane="bottomRight" state="frozen"/>
      <selection activeCell="D25" sqref="D25"/>
      <selection pane="topRight" activeCell="D25" sqref="D25"/>
      <selection pane="bottomLeft" activeCell="D25" sqref="D25"/>
      <selection pane="bottomRight" activeCell="L7" sqref="L7"/>
    </sheetView>
  </sheetViews>
  <sheetFormatPr baseColWidth="10" defaultColWidth="8.83203125" defaultRowHeight="15" x14ac:dyDescent="0.2"/>
  <cols>
    <col min="1" max="1" width="10" customWidth="1"/>
    <col min="2" max="2" width="9" customWidth="1"/>
    <col min="3" max="3" width="8.83203125" style="71" customWidth="1"/>
    <col min="4" max="9" width="8.83203125" customWidth="1"/>
    <col min="10" max="10" width="9" customWidth="1"/>
    <col min="11" max="17" width="8.83203125" customWidth="1"/>
    <col min="18" max="18" width="9" customWidth="1"/>
    <col min="19" max="25" width="8.83203125" customWidth="1"/>
    <col min="26" max="26" width="9" customWidth="1"/>
  </cols>
  <sheetData>
    <row r="1" spans="1:25" ht="26" customHeight="1" x14ac:dyDescent="0.2">
      <c r="A1" s="178" t="s">
        <v>302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</row>
    <row r="2" spans="1:25" ht="20" customHeight="1" x14ac:dyDescent="0.2">
      <c r="A2" s="89" t="s">
        <v>282</v>
      </c>
      <c r="B2" s="177" t="s">
        <v>115</v>
      </c>
      <c r="C2" s="135"/>
      <c r="D2" s="135"/>
      <c r="E2" s="135"/>
      <c r="F2" s="135"/>
      <c r="G2" s="135"/>
      <c r="H2" s="135"/>
      <c r="I2" s="161"/>
      <c r="J2" s="177" t="s">
        <v>116</v>
      </c>
      <c r="K2" s="135"/>
      <c r="L2" s="135"/>
      <c r="M2" s="135"/>
      <c r="N2" s="135"/>
      <c r="O2" s="135"/>
      <c r="P2" s="135"/>
      <c r="Q2" s="161"/>
      <c r="R2" s="177" t="s">
        <v>117</v>
      </c>
      <c r="S2" s="135"/>
      <c r="T2" s="135"/>
      <c r="U2" s="135"/>
      <c r="V2" s="135"/>
      <c r="W2" s="135"/>
      <c r="X2" s="135"/>
      <c r="Y2" s="161"/>
    </row>
    <row r="3" spans="1:25" ht="14" customHeight="1" x14ac:dyDescent="0.2">
      <c r="A3" s="90" t="s">
        <v>303</v>
      </c>
      <c r="B3" s="36"/>
      <c r="C3" s="122" t="s">
        <v>184</v>
      </c>
      <c r="D3" s="123" t="s">
        <v>304</v>
      </c>
      <c r="E3" s="123" t="s">
        <v>305</v>
      </c>
      <c r="F3" s="123" t="s">
        <v>185</v>
      </c>
      <c r="G3" s="123" t="s">
        <v>186</v>
      </c>
      <c r="H3" s="123" t="s">
        <v>187</v>
      </c>
      <c r="I3" s="123" t="s">
        <v>188</v>
      </c>
      <c r="J3" s="36"/>
      <c r="K3" s="123" t="s">
        <v>184</v>
      </c>
      <c r="L3" s="123" t="s">
        <v>304</v>
      </c>
      <c r="M3" s="123" t="s">
        <v>305</v>
      </c>
      <c r="N3" s="123" t="s">
        <v>185</v>
      </c>
      <c r="O3" s="123" t="s">
        <v>186</v>
      </c>
      <c r="P3" s="123" t="s">
        <v>187</v>
      </c>
      <c r="Q3" s="123" t="s">
        <v>188</v>
      </c>
      <c r="R3" s="36"/>
      <c r="S3" s="123" t="s">
        <v>184</v>
      </c>
      <c r="T3" s="123" t="s">
        <v>304</v>
      </c>
      <c r="U3" s="123" t="s">
        <v>305</v>
      </c>
      <c r="V3" s="123" t="s">
        <v>185</v>
      </c>
      <c r="W3" s="123" t="s">
        <v>186</v>
      </c>
      <c r="X3" s="123" t="s">
        <v>187</v>
      </c>
      <c r="Y3" s="123" t="s">
        <v>188</v>
      </c>
    </row>
    <row r="4" spans="1:25" ht="22" customHeight="1" x14ac:dyDescent="0.2">
      <c r="A4" s="14" t="s">
        <v>114</v>
      </c>
      <c r="B4" s="14" t="s">
        <v>125</v>
      </c>
      <c r="C4" s="70" t="s">
        <v>126</v>
      </c>
      <c r="D4" s="14" t="s">
        <v>189</v>
      </c>
      <c r="E4" s="14" t="s">
        <v>121</v>
      </c>
      <c r="F4" s="14" t="s">
        <v>53</v>
      </c>
      <c r="G4" s="14" t="s">
        <v>122</v>
      </c>
      <c r="H4" s="14" t="s">
        <v>123</v>
      </c>
      <c r="I4" s="14" t="s">
        <v>124</v>
      </c>
      <c r="J4" s="14" t="s">
        <v>125</v>
      </c>
      <c r="K4" s="14" t="s">
        <v>126</v>
      </c>
      <c r="L4" s="14" t="s">
        <v>189</v>
      </c>
      <c r="M4" s="14" t="s">
        <v>121</v>
      </c>
      <c r="N4" s="14" t="s">
        <v>53</v>
      </c>
      <c r="O4" s="14" t="s">
        <v>122</v>
      </c>
      <c r="P4" s="14" t="s">
        <v>123</v>
      </c>
      <c r="Q4" s="14" t="s">
        <v>124</v>
      </c>
      <c r="R4" s="14" t="s">
        <v>125</v>
      </c>
      <c r="S4" s="14" t="s">
        <v>126</v>
      </c>
      <c r="T4" s="14" t="s">
        <v>189</v>
      </c>
      <c r="U4" s="14" t="s">
        <v>121</v>
      </c>
      <c r="V4" s="14" t="s">
        <v>53</v>
      </c>
      <c r="W4" s="14" t="s">
        <v>122</v>
      </c>
      <c r="X4" s="14" t="s">
        <v>123</v>
      </c>
      <c r="Y4" s="14" t="s">
        <v>124</v>
      </c>
    </row>
    <row r="5" spans="1:25" ht="18" customHeight="1" x14ac:dyDescent="0.2">
      <c r="A5" s="18" t="s">
        <v>190</v>
      </c>
      <c r="B5" s="68">
        <f>'INPUT KUALITAS'!B6</f>
        <v>2506149</v>
      </c>
      <c r="C5" s="69">
        <f>'INPUT KUALITAS'!C6</f>
        <v>4.87</v>
      </c>
      <c r="D5" s="69">
        <f>'INPUT KUALITAS'!D6</f>
        <v>0.27</v>
      </c>
      <c r="E5" s="69">
        <f>'INPUT KUALITAS'!E6</f>
        <v>1.87</v>
      </c>
      <c r="F5" s="69">
        <f>'INPUT KUALITAS'!F6</f>
        <v>51.72</v>
      </c>
      <c r="G5" s="69">
        <f>'INPUT KUALITAS'!G6</f>
        <v>2.4500000000000002</v>
      </c>
      <c r="H5" s="69">
        <f>'INPUT KUALITAS'!H6</f>
        <v>2.2200000000000002</v>
      </c>
      <c r="I5" s="69">
        <f>'INPUT KUALITAS'!I6</f>
        <v>7.12</v>
      </c>
      <c r="J5" s="68">
        <f>'INPUT KUALITAS'!J6</f>
        <v>2577692</v>
      </c>
      <c r="K5" s="69">
        <f>'INPUT KUALITAS'!K6</f>
        <v>4.99</v>
      </c>
      <c r="L5" s="69">
        <f>'INPUT KUALITAS'!L6</f>
        <v>0.27</v>
      </c>
      <c r="M5" s="69">
        <f>'INPUT KUALITAS'!M6</f>
        <v>1.85</v>
      </c>
      <c r="N5" s="69">
        <f>'INPUT KUALITAS'!N6</f>
        <v>51.9</v>
      </c>
      <c r="O5" s="69">
        <f>'INPUT KUALITAS'!O6</f>
        <v>2.48</v>
      </c>
      <c r="P5" s="69">
        <f>'INPUT KUALITAS'!P6</f>
        <v>2.25</v>
      </c>
      <c r="Q5" s="69">
        <f>'INPUT KUALITAS'!Q6</f>
        <v>7.21</v>
      </c>
      <c r="R5" s="68">
        <f>'INPUT KUALITAS'!R6</f>
        <v>1885466</v>
      </c>
      <c r="S5" s="69">
        <f>'INPUT KUALITAS'!S6</f>
        <v>5.42</v>
      </c>
      <c r="T5" s="69">
        <f>'INPUT KUALITAS'!T6</f>
        <v>0.26</v>
      </c>
      <c r="U5" s="69">
        <f>'INPUT KUALITAS'!U6</f>
        <v>1.81</v>
      </c>
      <c r="V5" s="69">
        <f>'INPUT KUALITAS'!V6</f>
        <v>51.9</v>
      </c>
      <c r="W5" s="69">
        <f>'INPUT KUALITAS'!W6</f>
        <v>2.48</v>
      </c>
      <c r="X5" s="69">
        <f>'INPUT KUALITAS'!X6</f>
        <v>2.23</v>
      </c>
      <c r="Y5" s="69">
        <f>'INPUT KUALITAS'!Y6</f>
        <v>7.19</v>
      </c>
    </row>
    <row r="6" spans="1:25" ht="18" customHeight="1" x14ac:dyDescent="0.2">
      <c r="A6" s="19" t="s">
        <v>191</v>
      </c>
      <c r="B6" s="55">
        <f>'INPUT KUALITAS'!B7</f>
        <v>2506149</v>
      </c>
      <c r="C6" s="61">
        <f>'INPUT KUALITAS'!C7</f>
        <v>4.93</v>
      </c>
      <c r="D6" s="61">
        <f>'INPUT KUALITAS'!D7</f>
        <v>0.27</v>
      </c>
      <c r="E6" s="61">
        <f>'INPUT KUALITAS'!E7</f>
        <v>1.87</v>
      </c>
      <c r="F6" s="61">
        <f>'INPUT KUALITAS'!F7</f>
        <v>51.72</v>
      </c>
      <c r="G6" s="61">
        <f>'INPUT KUALITAS'!G7</f>
        <v>2.4500000000000002</v>
      </c>
      <c r="H6" s="61">
        <f>'INPUT KUALITAS'!H7</f>
        <v>2.2200000000000002</v>
      </c>
      <c r="I6" s="61">
        <f>'INPUT KUALITAS'!I7</f>
        <v>7.12</v>
      </c>
      <c r="J6" s="55">
        <f>'INPUT KUALITAS'!J7</f>
        <v>2577692</v>
      </c>
      <c r="K6" s="61">
        <f>'INPUT KUALITAS'!K7</f>
        <v>5.03</v>
      </c>
      <c r="L6" s="61">
        <f>'INPUT KUALITAS'!L7</f>
        <v>0.27</v>
      </c>
      <c r="M6" s="61">
        <f>'INPUT KUALITAS'!M7</f>
        <v>1.85</v>
      </c>
      <c r="N6" s="61">
        <f>'INPUT KUALITAS'!N7</f>
        <v>51.9</v>
      </c>
      <c r="O6" s="61">
        <f>'INPUT KUALITAS'!O7</f>
        <v>2.48</v>
      </c>
      <c r="P6" s="61">
        <f>'INPUT KUALITAS'!P7</f>
        <v>2.25</v>
      </c>
      <c r="Q6" s="61">
        <f>'INPUT KUALITAS'!Q7</f>
        <v>7.21</v>
      </c>
      <c r="R6" s="55">
        <f>'INPUT KUALITAS'!R7</f>
        <v>2042706</v>
      </c>
      <c r="S6" s="61">
        <f>'INPUT KUALITAS'!S7</f>
        <v>5.4</v>
      </c>
      <c r="T6" s="61">
        <f>'INPUT KUALITAS'!T7</f>
        <v>0.24</v>
      </c>
      <c r="U6" s="61">
        <f>'INPUT KUALITAS'!U7</f>
        <v>1.81</v>
      </c>
      <c r="V6" s="61">
        <f>'INPUT KUALITAS'!V7</f>
        <v>51.9</v>
      </c>
      <c r="W6" s="61">
        <f>'INPUT KUALITAS'!W7</f>
        <v>2.5</v>
      </c>
      <c r="X6" s="61">
        <f>'INPUT KUALITAS'!X7</f>
        <v>2.25</v>
      </c>
      <c r="Y6" s="61">
        <f>'INPUT KUALITAS'!Y7</f>
        <v>7.25</v>
      </c>
    </row>
    <row r="7" spans="1:25" ht="18" customHeight="1" x14ac:dyDescent="0.2">
      <c r="A7" s="20" t="s">
        <v>192</v>
      </c>
      <c r="B7" s="68">
        <f>'INPUT KUALITAS'!B8</f>
        <v>2506149</v>
      </c>
      <c r="C7" s="69">
        <f>'INPUT KUALITAS'!C8</f>
        <v>4.9400000000000004</v>
      </c>
      <c r="D7" s="69">
        <f>'INPUT KUALITAS'!D8</f>
        <v>0.27</v>
      </c>
      <c r="E7" s="69">
        <f>'INPUT KUALITAS'!E8</f>
        <v>1.87</v>
      </c>
      <c r="F7" s="69">
        <f>'INPUT KUALITAS'!F8</f>
        <v>51.72</v>
      </c>
      <c r="G7" s="69">
        <f>'INPUT KUALITAS'!G8</f>
        <v>2.4700000000000002</v>
      </c>
      <c r="H7" s="69">
        <f>'INPUT KUALITAS'!H8</f>
        <v>2.2200000000000002</v>
      </c>
      <c r="I7" s="69">
        <f>'INPUT KUALITAS'!I8</f>
        <v>7.16</v>
      </c>
      <c r="J7" s="68">
        <f>'INPUT KUALITAS'!J8</f>
        <v>2577692</v>
      </c>
      <c r="K7" s="69">
        <f>'INPUT KUALITAS'!K8</f>
        <v>5.05</v>
      </c>
      <c r="L7" s="69">
        <f>'INPUT KUALITAS'!L8</f>
        <v>0.27</v>
      </c>
      <c r="M7" s="69">
        <f>'INPUT KUALITAS'!M8</f>
        <v>1.85</v>
      </c>
      <c r="N7" s="69">
        <f>'INPUT KUALITAS'!N8</f>
        <v>51.9</v>
      </c>
      <c r="O7" s="69">
        <f>'INPUT KUALITAS'!O8</f>
        <v>2.48</v>
      </c>
      <c r="P7" s="69">
        <f>'INPUT KUALITAS'!P8</f>
        <v>2.25</v>
      </c>
      <c r="Q7" s="69">
        <f>'INPUT KUALITAS'!Q8</f>
        <v>7.21</v>
      </c>
      <c r="R7" s="68">
        <f>'INPUT KUALITAS'!R8</f>
        <v>2142966</v>
      </c>
      <c r="S7" s="69">
        <f>'INPUT KUALITAS'!S8</f>
        <v>5.38</v>
      </c>
      <c r="T7" s="69">
        <f>'INPUT KUALITAS'!T8</f>
        <v>0.24</v>
      </c>
      <c r="U7" s="69">
        <f>'INPUT KUALITAS'!U8</f>
        <v>1.81</v>
      </c>
      <c r="V7" s="69">
        <f>'INPUT KUALITAS'!V8</f>
        <v>51.9</v>
      </c>
      <c r="W7" s="69">
        <f>'INPUT KUALITAS'!W8</f>
        <v>2.5</v>
      </c>
      <c r="X7" s="69">
        <f>'INPUT KUALITAS'!X8</f>
        <v>2.25</v>
      </c>
      <c r="Y7" s="69">
        <f>'INPUT KUALITAS'!Y8</f>
        <v>7.25</v>
      </c>
    </row>
    <row r="8" spans="1:25" ht="18" customHeight="1" x14ac:dyDescent="0.2">
      <c r="A8" s="19" t="s">
        <v>193</v>
      </c>
      <c r="B8" s="55">
        <f>'INPUT KUALITAS'!B9</f>
        <v>0</v>
      </c>
      <c r="C8" s="61">
        <f>'INPUT KUALITAS'!C9</f>
        <v>0</v>
      </c>
      <c r="D8" s="61">
        <f>'INPUT KUALITAS'!D9</f>
        <v>0</v>
      </c>
      <c r="E8" s="61">
        <f>'INPUT KUALITAS'!E9</f>
        <v>0</v>
      </c>
      <c r="F8" s="61">
        <f>'INPUT KUALITAS'!F9</f>
        <v>0</v>
      </c>
      <c r="G8" s="61">
        <f>'INPUT KUALITAS'!G9</f>
        <v>0</v>
      </c>
      <c r="H8" s="61">
        <f>'INPUT KUALITAS'!H9</f>
        <v>0</v>
      </c>
      <c r="I8" s="61">
        <f>'INPUT KUALITAS'!I9</f>
        <v>0</v>
      </c>
      <c r="J8" s="55">
        <f>'INPUT KUALITAS'!J9</f>
        <v>0</v>
      </c>
      <c r="K8" s="61">
        <f>'INPUT KUALITAS'!K9</f>
        <v>0</v>
      </c>
      <c r="L8" s="61">
        <f>'INPUT KUALITAS'!L9</f>
        <v>0</v>
      </c>
      <c r="M8" s="61">
        <f>'INPUT KUALITAS'!M9</f>
        <v>0</v>
      </c>
      <c r="N8" s="61">
        <f>'INPUT KUALITAS'!N9</f>
        <v>0</v>
      </c>
      <c r="O8" s="61">
        <f>'INPUT KUALITAS'!O9</f>
        <v>0</v>
      </c>
      <c r="P8" s="61">
        <f>'INPUT KUALITAS'!P9</f>
        <v>0</v>
      </c>
      <c r="Q8" s="61">
        <f>'INPUT KUALITAS'!Q9</f>
        <v>0</v>
      </c>
      <c r="R8" s="55">
        <f>'INPUT KUALITAS'!R9</f>
        <v>0</v>
      </c>
      <c r="S8" s="61">
        <f>'INPUT KUALITAS'!S9</f>
        <v>0</v>
      </c>
      <c r="T8" s="61">
        <f>'INPUT KUALITAS'!T9</f>
        <v>0</v>
      </c>
      <c r="U8" s="61">
        <f>'INPUT KUALITAS'!U9</f>
        <v>0</v>
      </c>
      <c r="V8" s="61">
        <f>'INPUT KUALITAS'!V9</f>
        <v>0</v>
      </c>
      <c r="W8" s="61">
        <f>'INPUT KUALITAS'!W9</f>
        <v>0</v>
      </c>
      <c r="X8" s="61">
        <f>'INPUT KUALITAS'!X9</f>
        <v>0</v>
      </c>
      <c r="Y8" s="61">
        <f>'INPUT KUALITAS'!Y9</f>
        <v>0</v>
      </c>
    </row>
    <row r="9" spans="1:25" ht="18" customHeight="1" x14ac:dyDescent="0.2">
      <c r="A9" s="20" t="s">
        <v>194</v>
      </c>
      <c r="B9" s="68">
        <f>'INPUT KUALITAS'!B10</f>
        <v>2506149</v>
      </c>
      <c r="C9" s="69">
        <f>'INPUT KUALITAS'!C10</f>
        <v>4.9800000000000004</v>
      </c>
      <c r="D9" s="69">
        <f>'INPUT KUALITAS'!D10</f>
        <v>0.27</v>
      </c>
      <c r="E9" s="69">
        <f>'INPUT KUALITAS'!E10</f>
        <v>1.87</v>
      </c>
      <c r="F9" s="69">
        <f>'INPUT KUALITAS'!F10</f>
        <v>51.72</v>
      </c>
      <c r="G9" s="69">
        <f>'INPUT KUALITAS'!G10</f>
        <v>2.5</v>
      </c>
      <c r="H9" s="69">
        <f>'INPUT KUALITAS'!H10</f>
        <v>2.2999999999999998</v>
      </c>
      <c r="I9" s="69">
        <f>'INPUT KUALITAS'!I10</f>
        <v>7.3</v>
      </c>
      <c r="J9" s="68">
        <f>'INPUT KUALITAS'!J10</f>
        <v>2577692</v>
      </c>
      <c r="K9" s="69">
        <f>'INPUT KUALITAS'!K10</f>
        <v>5.09</v>
      </c>
      <c r="L9" s="69">
        <f>'INPUT KUALITAS'!L10</f>
        <v>0.27</v>
      </c>
      <c r="M9" s="69">
        <f>'INPUT KUALITAS'!M10</f>
        <v>1.85</v>
      </c>
      <c r="N9" s="69">
        <f>'INPUT KUALITAS'!N10</f>
        <v>51.9</v>
      </c>
      <c r="O9" s="69">
        <f>'INPUT KUALITAS'!O10</f>
        <v>2.4900000000000002</v>
      </c>
      <c r="P9" s="69">
        <f>'INPUT KUALITAS'!P10</f>
        <v>2.35</v>
      </c>
      <c r="Q9" s="69">
        <f>'INPUT KUALITAS'!Q10</f>
        <v>7.33</v>
      </c>
      <c r="R9" s="68">
        <f>'INPUT KUALITAS'!R10</f>
        <v>2342896</v>
      </c>
      <c r="S9" s="69">
        <f>'INPUT KUALITAS'!S10</f>
        <v>5.34</v>
      </c>
      <c r="T9" s="69">
        <f>'INPUT KUALITAS'!T10</f>
        <v>0.24</v>
      </c>
      <c r="U9" s="69">
        <f>'INPUT KUALITAS'!U10</f>
        <v>1.81</v>
      </c>
      <c r="V9" s="69">
        <f>'INPUT KUALITAS'!V10</f>
        <v>51.8</v>
      </c>
      <c r="W9" s="69">
        <f>'INPUT KUALITAS'!W10</f>
        <v>2.4</v>
      </c>
      <c r="X9" s="69">
        <f>'INPUT KUALITAS'!X10</f>
        <v>2.15</v>
      </c>
      <c r="Y9" s="69">
        <f>'INPUT KUALITAS'!Y10</f>
        <v>6.95</v>
      </c>
    </row>
    <row r="10" spans="1:25" ht="18" customHeight="1" x14ac:dyDescent="0.2">
      <c r="A10" s="19" t="s">
        <v>195</v>
      </c>
      <c r="B10" s="55">
        <f>'INPUT KUALITAS'!B11</f>
        <v>2506149</v>
      </c>
      <c r="C10" s="61">
        <f>'INPUT KUALITAS'!C11</f>
        <v>4.9800000000000004</v>
      </c>
      <c r="D10" s="61">
        <f>'INPUT KUALITAS'!D11</f>
        <v>0.27</v>
      </c>
      <c r="E10" s="61">
        <f>'INPUT KUALITAS'!E11</f>
        <v>1.87</v>
      </c>
      <c r="F10" s="61">
        <f>'INPUT KUALITAS'!F11</f>
        <v>51.72</v>
      </c>
      <c r="G10" s="61">
        <f>'INPUT KUALITAS'!G11</f>
        <v>2.5</v>
      </c>
      <c r="H10" s="61">
        <f>'INPUT KUALITAS'!H11</f>
        <v>2.2999999999999998</v>
      </c>
      <c r="I10" s="61">
        <f>'INPUT KUALITAS'!I11</f>
        <v>7.3</v>
      </c>
      <c r="J10" s="55">
        <f>'INPUT KUALITAS'!J11</f>
        <v>2577692</v>
      </c>
      <c r="K10" s="61">
        <f>'INPUT KUALITAS'!K11</f>
        <v>5.09</v>
      </c>
      <c r="L10" s="61">
        <f>'INPUT KUALITAS'!L11</f>
        <v>0.27</v>
      </c>
      <c r="M10" s="61">
        <f>'INPUT KUALITAS'!M11</f>
        <v>1.85</v>
      </c>
      <c r="N10" s="61">
        <f>'INPUT KUALITAS'!N11</f>
        <v>51.9</v>
      </c>
      <c r="O10" s="61">
        <f>'INPUT KUALITAS'!O11</f>
        <v>2.4900000000000002</v>
      </c>
      <c r="P10" s="61">
        <f>'INPUT KUALITAS'!P11</f>
        <v>2.35</v>
      </c>
      <c r="Q10" s="61">
        <f>'INPUT KUALITAS'!Q11</f>
        <v>7.33</v>
      </c>
      <c r="R10" s="55">
        <f>'INPUT KUALITAS'!R11</f>
        <v>2443036</v>
      </c>
      <c r="S10" s="61">
        <f>'INPUT KUALITAS'!S11</f>
        <v>5.3</v>
      </c>
      <c r="T10" s="61">
        <f>'INPUT KUALITAS'!T11</f>
        <v>0.32</v>
      </c>
      <c r="U10" s="61">
        <f>'INPUT KUALITAS'!U11</f>
        <v>1.81</v>
      </c>
      <c r="V10" s="61">
        <f>'INPUT KUALITAS'!V11</f>
        <v>51.81</v>
      </c>
      <c r="W10" s="61">
        <f>'INPUT KUALITAS'!W11</f>
        <v>2.37</v>
      </c>
      <c r="X10" s="61">
        <f>'INPUT KUALITAS'!X11</f>
        <v>2.12</v>
      </c>
      <c r="Y10" s="61">
        <f>'INPUT KUALITAS'!Y11</f>
        <v>6.86</v>
      </c>
    </row>
    <row r="11" spans="1:25" ht="18" customHeight="1" x14ac:dyDescent="0.2">
      <c r="A11" s="18" t="s">
        <v>196</v>
      </c>
      <c r="B11" s="68">
        <f>'INPUT KUALITAS'!B12</f>
        <v>2506149</v>
      </c>
      <c r="C11" s="69">
        <f>'INPUT KUALITAS'!C12</f>
        <v>4.9800000000000004</v>
      </c>
      <c r="D11" s="69">
        <f>'INPUT KUALITAS'!D12</f>
        <v>0.27</v>
      </c>
      <c r="E11" s="69">
        <f>'INPUT KUALITAS'!E12</f>
        <v>1.87</v>
      </c>
      <c r="F11" s="69">
        <f>'INPUT KUALITAS'!F12</f>
        <v>51.72</v>
      </c>
      <c r="G11" s="69">
        <f>'INPUT KUALITAS'!G12</f>
        <v>2.5</v>
      </c>
      <c r="H11" s="69">
        <f>'INPUT KUALITAS'!H12</f>
        <v>2.2999999999999998</v>
      </c>
      <c r="I11" s="69">
        <f>'INPUT KUALITAS'!I12</f>
        <v>7.3</v>
      </c>
      <c r="J11" s="68">
        <f>'INPUT KUALITAS'!J12</f>
        <v>2577692</v>
      </c>
      <c r="K11" s="69">
        <f>'INPUT KUALITAS'!K12</f>
        <v>5.13</v>
      </c>
      <c r="L11" s="69">
        <f>'INPUT KUALITAS'!L12</f>
        <v>0.27</v>
      </c>
      <c r="M11" s="69">
        <f>'INPUT KUALITAS'!M12</f>
        <v>1.85</v>
      </c>
      <c r="N11" s="69">
        <f>'INPUT KUALITAS'!N12</f>
        <v>51.9</v>
      </c>
      <c r="O11" s="69">
        <f>'INPUT KUALITAS'!O12</f>
        <v>2.4900000000000002</v>
      </c>
      <c r="P11" s="69">
        <f>'INPUT KUALITAS'!P12</f>
        <v>2.35</v>
      </c>
      <c r="Q11" s="69">
        <f>'INPUT KUALITAS'!Q12</f>
        <v>7.33</v>
      </c>
      <c r="R11" s="68">
        <f>'INPUT KUALITAS'!R12</f>
        <v>2529566</v>
      </c>
      <c r="S11" s="69">
        <f>'INPUT KUALITAS'!S12</f>
        <v>5.28</v>
      </c>
      <c r="T11" s="69">
        <f>'INPUT KUALITAS'!T12</f>
        <v>0.32</v>
      </c>
      <c r="U11" s="69">
        <f>'INPUT KUALITAS'!U12</f>
        <v>1.81</v>
      </c>
      <c r="V11" s="69">
        <f>'INPUT KUALITAS'!V12</f>
        <v>51.81</v>
      </c>
      <c r="W11" s="69">
        <f>'INPUT KUALITAS'!W12</f>
        <v>2.2999999999999998</v>
      </c>
      <c r="X11" s="69">
        <f>'INPUT KUALITAS'!X12</f>
        <v>2.1</v>
      </c>
      <c r="Y11" s="69">
        <f>'INPUT KUALITAS'!Y12</f>
        <v>6.7</v>
      </c>
    </row>
    <row r="12" spans="1:25" ht="18" customHeight="1" x14ac:dyDescent="0.2">
      <c r="A12" s="18" t="s">
        <v>197</v>
      </c>
      <c r="B12" s="55">
        <f>'INPUT KUALITAS'!B13</f>
        <v>0</v>
      </c>
      <c r="C12" s="61">
        <f>'INPUT KUALITAS'!C13</f>
        <v>0</v>
      </c>
      <c r="D12" s="61">
        <f>'INPUT KUALITAS'!D13</f>
        <v>0</v>
      </c>
      <c r="E12" s="61">
        <f>'INPUT KUALITAS'!E13</f>
        <v>0</v>
      </c>
      <c r="F12" s="61">
        <f>'INPUT KUALITAS'!F13</f>
        <v>0</v>
      </c>
      <c r="G12" s="61">
        <f>'INPUT KUALITAS'!G13</f>
        <v>0</v>
      </c>
      <c r="H12" s="61">
        <f>'INPUT KUALITAS'!H13</f>
        <v>0</v>
      </c>
      <c r="I12" s="61">
        <f>'INPUT KUALITAS'!I13</f>
        <v>0</v>
      </c>
      <c r="J12" s="55">
        <f>'INPUT KUALITAS'!J13</f>
        <v>0</v>
      </c>
      <c r="K12" s="61">
        <f>'INPUT KUALITAS'!K13</f>
        <v>0</v>
      </c>
      <c r="L12" s="61">
        <f>'INPUT KUALITAS'!L13</f>
        <v>0</v>
      </c>
      <c r="M12" s="61">
        <f>'INPUT KUALITAS'!M13</f>
        <v>0</v>
      </c>
      <c r="N12" s="61">
        <f>'INPUT KUALITAS'!N13</f>
        <v>0</v>
      </c>
      <c r="O12" s="61">
        <f>'INPUT KUALITAS'!O13</f>
        <v>0</v>
      </c>
      <c r="P12" s="61">
        <f>'INPUT KUALITAS'!P13</f>
        <v>0</v>
      </c>
      <c r="Q12" s="61">
        <f>'INPUT KUALITAS'!Q13</f>
        <v>0</v>
      </c>
      <c r="R12" s="55">
        <f>'INPUT KUALITAS'!R13</f>
        <v>0</v>
      </c>
      <c r="S12" s="61">
        <f>'INPUT KUALITAS'!S13</f>
        <v>0</v>
      </c>
      <c r="T12" s="61">
        <f>'INPUT KUALITAS'!T13</f>
        <v>0</v>
      </c>
      <c r="U12" s="61">
        <f>'INPUT KUALITAS'!U13</f>
        <v>0</v>
      </c>
      <c r="V12" s="61">
        <f>'INPUT KUALITAS'!V13</f>
        <v>0</v>
      </c>
      <c r="W12" s="61">
        <f>'INPUT KUALITAS'!W13</f>
        <v>0</v>
      </c>
      <c r="X12" s="61">
        <f>'INPUT KUALITAS'!X13</f>
        <v>0</v>
      </c>
      <c r="Y12" s="61">
        <f>'INPUT KUALITAS'!Y13</f>
        <v>0</v>
      </c>
    </row>
    <row r="13" spans="1:25" ht="18" customHeight="1" x14ac:dyDescent="0.2">
      <c r="A13" s="20" t="s">
        <v>198</v>
      </c>
      <c r="B13" s="68">
        <f>'INPUT KUALITAS'!B14</f>
        <v>0</v>
      </c>
      <c r="C13" s="69">
        <f>'INPUT KUALITAS'!C14</f>
        <v>0</v>
      </c>
      <c r="D13" s="69">
        <f>'INPUT KUALITAS'!D14</f>
        <v>0</v>
      </c>
      <c r="E13" s="69">
        <f>'INPUT KUALITAS'!E14</f>
        <v>0</v>
      </c>
      <c r="F13" s="69">
        <f>'INPUT KUALITAS'!F14</f>
        <v>0</v>
      </c>
      <c r="G13" s="69">
        <f>'INPUT KUALITAS'!G14</f>
        <v>0</v>
      </c>
      <c r="H13" s="69">
        <f>'INPUT KUALITAS'!H14</f>
        <v>0</v>
      </c>
      <c r="I13" s="69">
        <f>'INPUT KUALITAS'!I14</f>
        <v>0</v>
      </c>
      <c r="J13" s="68">
        <f>'INPUT KUALITAS'!J14</f>
        <v>0</v>
      </c>
      <c r="K13" s="69">
        <f>'INPUT KUALITAS'!K14</f>
        <v>0</v>
      </c>
      <c r="L13" s="69">
        <f>'INPUT KUALITAS'!L14</f>
        <v>0</v>
      </c>
      <c r="M13" s="69">
        <f>'INPUT KUALITAS'!M14</f>
        <v>0</v>
      </c>
      <c r="N13" s="69">
        <f>'INPUT KUALITAS'!N14</f>
        <v>0</v>
      </c>
      <c r="O13" s="69">
        <f>'INPUT KUALITAS'!O14</f>
        <v>0</v>
      </c>
      <c r="P13" s="69">
        <f>'INPUT KUALITAS'!P14</f>
        <v>0</v>
      </c>
      <c r="Q13" s="69">
        <f>'INPUT KUALITAS'!Q14</f>
        <v>0</v>
      </c>
      <c r="R13" s="68">
        <f>'INPUT KUALITAS'!R14</f>
        <v>0</v>
      </c>
      <c r="S13" s="69">
        <f>'INPUT KUALITAS'!S14</f>
        <v>0</v>
      </c>
      <c r="T13" s="69">
        <f>'INPUT KUALITAS'!T14</f>
        <v>0</v>
      </c>
      <c r="U13" s="69">
        <f>'INPUT KUALITAS'!U14</f>
        <v>0</v>
      </c>
      <c r="V13" s="69">
        <f>'INPUT KUALITAS'!V14</f>
        <v>0</v>
      </c>
      <c r="W13" s="69">
        <f>'INPUT KUALITAS'!W14</f>
        <v>0</v>
      </c>
      <c r="X13" s="69">
        <f>'INPUT KUALITAS'!X14</f>
        <v>0</v>
      </c>
      <c r="Y13" s="69">
        <f>'INPUT KUALITAS'!Y14</f>
        <v>0</v>
      </c>
    </row>
    <row r="14" spans="1:25" ht="18" customHeight="1" x14ac:dyDescent="0.2">
      <c r="A14" s="19" t="s">
        <v>199</v>
      </c>
      <c r="B14" s="55">
        <f>'INPUT KUALITAS'!B15</f>
        <v>0</v>
      </c>
      <c r="C14" s="61">
        <f>'INPUT KUALITAS'!C15</f>
        <v>0</v>
      </c>
      <c r="D14" s="61">
        <f>'INPUT KUALITAS'!D15</f>
        <v>0</v>
      </c>
      <c r="E14" s="61">
        <f>'INPUT KUALITAS'!E15</f>
        <v>0</v>
      </c>
      <c r="F14" s="61">
        <f>'INPUT KUALITAS'!F15</f>
        <v>0</v>
      </c>
      <c r="G14" s="61">
        <f>'INPUT KUALITAS'!G15</f>
        <v>0</v>
      </c>
      <c r="H14" s="61">
        <f>'INPUT KUALITAS'!H15</f>
        <v>0</v>
      </c>
      <c r="I14" s="61">
        <f>'INPUT KUALITAS'!I15</f>
        <v>0</v>
      </c>
      <c r="J14" s="55">
        <f>'INPUT KUALITAS'!J15</f>
        <v>0</v>
      </c>
      <c r="K14" s="61">
        <f>'INPUT KUALITAS'!K15</f>
        <v>0</v>
      </c>
      <c r="L14" s="61">
        <f>'INPUT KUALITAS'!L15</f>
        <v>0</v>
      </c>
      <c r="M14" s="61">
        <f>'INPUT KUALITAS'!M15</f>
        <v>0</v>
      </c>
      <c r="N14" s="61">
        <f>'INPUT KUALITAS'!N15</f>
        <v>0</v>
      </c>
      <c r="O14" s="61">
        <f>'INPUT KUALITAS'!O15</f>
        <v>0</v>
      </c>
      <c r="P14" s="61">
        <f>'INPUT KUALITAS'!P15</f>
        <v>0</v>
      </c>
      <c r="Q14" s="61">
        <f>'INPUT KUALITAS'!Q15</f>
        <v>0</v>
      </c>
      <c r="R14" s="55">
        <f>'INPUT KUALITAS'!R15</f>
        <v>0</v>
      </c>
      <c r="S14" s="61">
        <f>'INPUT KUALITAS'!S15</f>
        <v>0</v>
      </c>
      <c r="T14" s="61">
        <f>'INPUT KUALITAS'!T15</f>
        <v>0</v>
      </c>
      <c r="U14" s="61">
        <f>'INPUT KUALITAS'!U15</f>
        <v>0</v>
      </c>
      <c r="V14" s="61">
        <f>'INPUT KUALITAS'!V15</f>
        <v>0</v>
      </c>
      <c r="W14" s="61">
        <f>'INPUT KUALITAS'!W15</f>
        <v>0</v>
      </c>
      <c r="X14" s="61">
        <f>'INPUT KUALITAS'!X15</f>
        <v>0</v>
      </c>
      <c r="Y14" s="61">
        <f>'INPUT KUALITAS'!Y15</f>
        <v>0</v>
      </c>
    </row>
    <row r="15" spans="1:25" ht="18" customHeight="1" x14ac:dyDescent="0.2">
      <c r="A15" s="20" t="s">
        <v>200</v>
      </c>
      <c r="B15" s="68">
        <f>'INPUT KUALITAS'!B16</f>
        <v>0</v>
      </c>
      <c r="C15" s="69">
        <f>'INPUT KUALITAS'!C16</f>
        <v>0</v>
      </c>
      <c r="D15" s="69">
        <f>'INPUT KUALITAS'!D16</f>
        <v>0</v>
      </c>
      <c r="E15" s="69">
        <f>'INPUT KUALITAS'!E16</f>
        <v>0</v>
      </c>
      <c r="F15" s="69">
        <f>'INPUT KUALITAS'!F16</f>
        <v>0</v>
      </c>
      <c r="G15" s="69">
        <f>'INPUT KUALITAS'!G16</f>
        <v>0</v>
      </c>
      <c r="H15" s="69">
        <f>'INPUT KUALITAS'!H16</f>
        <v>0</v>
      </c>
      <c r="I15" s="69">
        <f>'INPUT KUALITAS'!I16</f>
        <v>0</v>
      </c>
      <c r="J15" s="68">
        <f>'INPUT KUALITAS'!J16</f>
        <v>0</v>
      </c>
      <c r="K15" s="69">
        <f>'INPUT KUALITAS'!K16</f>
        <v>0</v>
      </c>
      <c r="L15" s="69">
        <f>'INPUT KUALITAS'!L16</f>
        <v>0</v>
      </c>
      <c r="M15" s="69">
        <f>'INPUT KUALITAS'!M16</f>
        <v>0</v>
      </c>
      <c r="N15" s="69">
        <f>'INPUT KUALITAS'!N16</f>
        <v>0</v>
      </c>
      <c r="O15" s="69">
        <f>'INPUT KUALITAS'!O16</f>
        <v>0</v>
      </c>
      <c r="P15" s="69">
        <f>'INPUT KUALITAS'!P16</f>
        <v>0</v>
      </c>
      <c r="Q15" s="69">
        <f>'INPUT KUALITAS'!Q16</f>
        <v>0</v>
      </c>
      <c r="R15" s="68">
        <f>'INPUT KUALITAS'!R16</f>
        <v>0</v>
      </c>
      <c r="S15" s="69">
        <f>'INPUT KUALITAS'!S16</f>
        <v>0</v>
      </c>
      <c r="T15" s="69">
        <f>'INPUT KUALITAS'!T16</f>
        <v>0</v>
      </c>
      <c r="U15" s="69">
        <f>'INPUT KUALITAS'!U16</f>
        <v>0</v>
      </c>
      <c r="V15" s="69">
        <f>'INPUT KUALITAS'!V16</f>
        <v>0</v>
      </c>
      <c r="W15" s="69">
        <f>'INPUT KUALITAS'!W16</f>
        <v>0</v>
      </c>
      <c r="X15" s="69">
        <f>'INPUT KUALITAS'!X16</f>
        <v>0</v>
      </c>
      <c r="Y15" s="69">
        <f>'INPUT KUALITAS'!Y16</f>
        <v>0</v>
      </c>
    </row>
    <row r="16" spans="1:25" ht="18" customHeight="1" x14ac:dyDescent="0.2">
      <c r="A16" s="19" t="s">
        <v>201</v>
      </c>
      <c r="B16" s="55">
        <f>'INPUT KUALITAS'!B17</f>
        <v>0</v>
      </c>
      <c r="C16" s="61">
        <f>'INPUT KUALITAS'!C17</f>
        <v>0</v>
      </c>
      <c r="D16" s="61">
        <f>'INPUT KUALITAS'!D17</f>
        <v>0</v>
      </c>
      <c r="E16" s="61">
        <f>'INPUT KUALITAS'!E17</f>
        <v>0</v>
      </c>
      <c r="F16" s="61">
        <f>'INPUT KUALITAS'!F17</f>
        <v>0</v>
      </c>
      <c r="G16" s="61">
        <f>'INPUT KUALITAS'!G17</f>
        <v>0</v>
      </c>
      <c r="H16" s="61">
        <f>'INPUT KUALITAS'!H17</f>
        <v>0</v>
      </c>
      <c r="I16" s="61">
        <f>'INPUT KUALITAS'!I17</f>
        <v>0</v>
      </c>
      <c r="J16" s="55">
        <f>'INPUT KUALITAS'!J17</f>
        <v>0</v>
      </c>
      <c r="K16" s="61">
        <f>'INPUT KUALITAS'!K17</f>
        <v>0</v>
      </c>
      <c r="L16" s="61">
        <f>'INPUT KUALITAS'!L17</f>
        <v>0</v>
      </c>
      <c r="M16" s="61">
        <f>'INPUT KUALITAS'!M17</f>
        <v>0</v>
      </c>
      <c r="N16" s="61">
        <f>'INPUT KUALITAS'!N17</f>
        <v>0</v>
      </c>
      <c r="O16" s="61">
        <f>'INPUT KUALITAS'!O17</f>
        <v>0</v>
      </c>
      <c r="P16" s="61">
        <f>'INPUT KUALITAS'!P17</f>
        <v>0</v>
      </c>
      <c r="Q16" s="61">
        <f>'INPUT KUALITAS'!Q17</f>
        <v>0</v>
      </c>
      <c r="R16" s="55">
        <f>'INPUT KUALITAS'!R17</f>
        <v>0</v>
      </c>
      <c r="S16" s="61">
        <f>'INPUT KUALITAS'!S17</f>
        <v>0</v>
      </c>
      <c r="T16" s="61">
        <f>'INPUT KUALITAS'!T17</f>
        <v>0</v>
      </c>
      <c r="U16" s="61">
        <f>'INPUT KUALITAS'!U17</f>
        <v>0</v>
      </c>
      <c r="V16" s="61">
        <f>'INPUT KUALITAS'!V17</f>
        <v>0</v>
      </c>
      <c r="W16" s="61">
        <f>'INPUT KUALITAS'!W17</f>
        <v>0</v>
      </c>
      <c r="X16" s="61">
        <f>'INPUT KUALITAS'!X17</f>
        <v>0</v>
      </c>
      <c r="Y16" s="61">
        <f>'INPUT KUALITAS'!Y17</f>
        <v>0</v>
      </c>
    </row>
    <row r="17" spans="1:25" ht="18" customHeight="1" x14ac:dyDescent="0.2">
      <c r="A17" s="20" t="s">
        <v>202</v>
      </c>
      <c r="B17" s="68">
        <f>'INPUT KUALITAS'!B18</f>
        <v>0</v>
      </c>
      <c r="C17" s="69">
        <f>'INPUT KUALITAS'!C18</f>
        <v>0</v>
      </c>
      <c r="D17" s="69">
        <f>'INPUT KUALITAS'!D18</f>
        <v>0</v>
      </c>
      <c r="E17" s="69">
        <f>'INPUT KUALITAS'!E18</f>
        <v>0</v>
      </c>
      <c r="F17" s="69">
        <f>'INPUT KUALITAS'!F18</f>
        <v>0</v>
      </c>
      <c r="G17" s="69">
        <f>'INPUT KUALITAS'!G18</f>
        <v>0</v>
      </c>
      <c r="H17" s="69">
        <f>'INPUT KUALITAS'!H18</f>
        <v>0</v>
      </c>
      <c r="I17" s="69">
        <f>'INPUT KUALITAS'!I18</f>
        <v>0</v>
      </c>
      <c r="J17" s="68">
        <f>'INPUT KUALITAS'!J18</f>
        <v>0</v>
      </c>
      <c r="K17" s="69">
        <f>'INPUT KUALITAS'!K18</f>
        <v>0</v>
      </c>
      <c r="L17" s="69">
        <f>'INPUT KUALITAS'!L18</f>
        <v>0</v>
      </c>
      <c r="M17" s="69">
        <f>'INPUT KUALITAS'!M18</f>
        <v>0</v>
      </c>
      <c r="N17" s="69">
        <f>'INPUT KUALITAS'!N18</f>
        <v>0</v>
      </c>
      <c r="O17" s="69">
        <f>'INPUT KUALITAS'!O18</f>
        <v>0</v>
      </c>
      <c r="P17" s="69">
        <f>'INPUT KUALITAS'!P18</f>
        <v>0</v>
      </c>
      <c r="Q17" s="69">
        <f>'INPUT KUALITAS'!Q18</f>
        <v>0</v>
      </c>
      <c r="R17" s="68">
        <f>'INPUT KUALITAS'!R18</f>
        <v>0</v>
      </c>
      <c r="S17" s="69">
        <f>'INPUT KUALITAS'!S18</f>
        <v>0</v>
      </c>
      <c r="T17" s="69">
        <f>'INPUT KUALITAS'!T18</f>
        <v>0</v>
      </c>
      <c r="U17" s="69">
        <f>'INPUT KUALITAS'!U18</f>
        <v>0</v>
      </c>
      <c r="V17" s="69">
        <f>'INPUT KUALITAS'!V18</f>
        <v>0</v>
      </c>
      <c r="W17" s="69">
        <f>'INPUT KUALITAS'!W18</f>
        <v>0</v>
      </c>
      <c r="X17" s="69">
        <f>'INPUT KUALITAS'!X18</f>
        <v>0</v>
      </c>
      <c r="Y17" s="69">
        <f>'INPUT KUALITAS'!Y18</f>
        <v>0</v>
      </c>
    </row>
    <row r="18" spans="1:25" ht="18" customHeight="1" x14ac:dyDescent="0.2">
      <c r="A18" s="18" t="s">
        <v>203</v>
      </c>
      <c r="B18" s="55">
        <f>'INPUT KUALITAS'!B19</f>
        <v>0</v>
      </c>
      <c r="C18" s="61">
        <f>'INPUT KUALITAS'!C19</f>
        <v>0</v>
      </c>
      <c r="D18" s="61">
        <f>'INPUT KUALITAS'!D19</f>
        <v>0</v>
      </c>
      <c r="E18" s="61">
        <f>'INPUT KUALITAS'!E19</f>
        <v>0</v>
      </c>
      <c r="F18" s="61">
        <f>'INPUT KUALITAS'!F19</f>
        <v>0</v>
      </c>
      <c r="G18" s="61">
        <f>'INPUT KUALITAS'!G19</f>
        <v>0</v>
      </c>
      <c r="H18" s="61">
        <f>'INPUT KUALITAS'!H19</f>
        <v>0</v>
      </c>
      <c r="I18" s="61">
        <f>'INPUT KUALITAS'!I19</f>
        <v>0</v>
      </c>
      <c r="J18" s="55">
        <f>'INPUT KUALITAS'!J19</f>
        <v>0</v>
      </c>
      <c r="K18" s="61">
        <f>'INPUT KUALITAS'!K19</f>
        <v>0</v>
      </c>
      <c r="L18" s="61">
        <f>'INPUT KUALITAS'!L19</f>
        <v>0</v>
      </c>
      <c r="M18" s="61">
        <f>'INPUT KUALITAS'!M19</f>
        <v>0</v>
      </c>
      <c r="N18" s="61">
        <f>'INPUT KUALITAS'!N19</f>
        <v>0</v>
      </c>
      <c r="O18" s="61">
        <f>'INPUT KUALITAS'!O19</f>
        <v>0</v>
      </c>
      <c r="P18" s="61">
        <f>'INPUT KUALITAS'!P19</f>
        <v>0</v>
      </c>
      <c r="Q18" s="61">
        <f>'INPUT KUALITAS'!Q19</f>
        <v>0</v>
      </c>
      <c r="R18" s="55">
        <f>'INPUT KUALITAS'!R19</f>
        <v>0</v>
      </c>
      <c r="S18" s="61">
        <f>'INPUT KUALITAS'!S19</f>
        <v>0</v>
      </c>
      <c r="T18" s="61">
        <f>'INPUT KUALITAS'!T19</f>
        <v>0</v>
      </c>
      <c r="U18" s="61">
        <f>'INPUT KUALITAS'!U19</f>
        <v>0</v>
      </c>
      <c r="V18" s="61">
        <f>'INPUT KUALITAS'!V19</f>
        <v>0</v>
      </c>
      <c r="W18" s="61">
        <f>'INPUT KUALITAS'!W19</f>
        <v>0</v>
      </c>
      <c r="X18" s="61">
        <f>'INPUT KUALITAS'!X19</f>
        <v>0</v>
      </c>
      <c r="Y18" s="61">
        <f>'INPUT KUALITAS'!Y19</f>
        <v>0</v>
      </c>
    </row>
    <row r="19" spans="1:25" ht="18" customHeight="1" x14ac:dyDescent="0.2">
      <c r="A19" s="18" t="s">
        <v>204</v>
      </c>
      <c r="B19" s="68">
        <f>'INPUT KUALITAS'!B20</f>
        <v>0</v>
      </c>
      <c r="C19" s="69">
        <f>'INPUT KUALITAS'!C20</f>
        <v>0</v>
      </c>
      <c r="D19" s="69">
        <f>'INPUT KUALITAS'!D20</f>
        <v>0</v>
      </c>
      <c r="E19" s="69">
        <f>'INPUT KUALITAS'!E20</f>
        <v>0</v>
      </c>
      <c r="F19" s="69">
        <f>'INPUT KUALITAS'!F20</f>
        <v>0</v>
      </c>
      <c r="G19" s="69">
        <f>'INPUT KUALITAS'!G20</f>
        <v>0</v>
      </c>
      <c r="H19" s="69">
        <f>'INPUT KUALITAS'!H20</f>
        <v>0</v>
      </c>
      <c r="I19" s="69">
        <f>'INPUT KUALITAS'!I20</f>
        <v>0</v>
      </c>
      <c r="J19" s="68">
        <f>'INPUT KUALITAS'!J20</f>
        <v>0</v>
      </c>
      <c r="K19" s="69">
        <f>'INPUT KUALITAS'!K20</f>
        <v>0</v>
      </c>
      <c r="L19" s="69">
        <f>'INPUT KUALITAS'!L20</f>
        <v>0</v>
      </c>
      <c r="M19" s="69">
        <f>'INPUT KUALITAS'!M20</f>
        <v>0</v>
      </c>
      <c r="N19" s="69">
        <f>'INPUT KUALITAS'!N20</f>
        <v>0</v>
      </c>
      <c r="O19" s="69">
        <f>'INPUT KUALITAS'!O20</f>
        <v>0</v>
      </c>
      <c r="P19" s="69">
        <f>'INPUT KUALITAS'!P20</f>
        <v>0</v>
      </c>
      <c r="Q19" s="69">
        <f>'INPUT KUALITAS'!Q20</f>
        <v>0</v>
      </c>
      <c r="R19" s="68">
        <f>'INPUT KUALITAS'!R20</f>
        <v>0</v>
      </c>
      <c r="S19" s="69">
        <f>'INPUT KUALITAS'!S20</f>
        <v>0</v>
      </c>
      <c r="T19" s="69">
        <f>'INPUT KUALITAS'!T20</f>
        <v>0</v>
      </c>
      <c r="U19" s="69">
        <f>'INPUT KUALITAS'!U20</f>
        <v>0</v>
      </c>
      <c r="V19" s="69">
        <f>'INPUT KUALITAS'!V20</f>
        <v>0</v>
      </c>
      <c r="W19" s="69">
        <f>'INPUT KUALITAS'!W20</f>
        <v>0</v>
      </c>
      <c r="X19" s="69">
        <f>'INPUT KUALITAS'!X20</f>
        <v>0</v>
      </c>
      <c r="Y19" s="69">
        <f>'INPUT KUALITAS'!Y20</f>
        <v>0</v>
      </c>
    </row>
    <row r="20" spans="1:25" ht="18" customHeight="1" x14ac:dyDescent="0.2">
      <c r="A20" s="19" t="s">
        <v>205</v>
      </c>
      <c r="B20" s="55">
        <f>'INPUT KUALITAS'!B21</f>
        <v>0</v>
      </c>
      <c r="C20" s="61">
        <f>'INPUT KUALITAS'!C21</f>
        <v>0</v>
      </c>
      <c r="D20" s="61">
        <f>'INPUT KUALITAS'!D21</f>
        <v>0</v>
      </c>
      <c r="E20" s="61">
        <f>'INPUT KUALITAS'!E21</f>
        <v>0</v>
      </c>
      <c r="F20" s="61">
        <f>'INPUT KUALITAS'!F21</f>
        <v>0</v>
      </c>
      <c r="G20" s="61">
        <f>'INPUT KUALITAS'!G21</f>
        <v>0</v>
      </c>
      <c r="H20" s="61">
        <f>'INPUT KUALITAS'!H21</f>
        <v>0</v>
      </c>
      <c r="I20" s="61">
        <f>'INPUT KUALITAS'!I21</f>
        <v>0</v>
      </c>
      <c r="J20" s="55">
        <f>'INPUT KUALITAS'!J21</f>
        <v>0</v>
      </c>
      <c r="K20" s="61">
        <f>'INPUT KUALITAS'!K21</f>
        <v>0</v>
      </c>
      <c r="L20" s="61">
        <f>'INPUT KUALITAS'!L21</f>
        <v>0</v>
      </c>
      <c r="M20" s="61">
        <f>'INPUT KUALITAS'!M21</f>
        <v>0</v>
      </c>
      <c r="N20" s="61">
        <f>'INPUT KUALITAS'!N21</f>
        <v>0</v>
      </c>
      <c r="O20" s="61">
        <f>'INPUT KUALITAS'!O21</f>
        <v>0</v>
      </c>
      <c r="P20" s="61">
        <f>'INPUT KUALITAS'!P21</f>
        <v>0</v>
      </c>
      <c r="Q20" s="61">
        <f>'INPUT KUALITAS'!Q21</f>
        <v>0</v>
      </c>
      <c r="R20" s="55">
        <f>'INPUT KUALITAS'!R21</f>
        <v>0</v>
      </c>
      <c r="S20" s="61">
        <f>'INPUT KUALITAS'!S21</f>
        <v>0</v>
      </c>
      <c r="T20" s="61">
        <f>'INPUT KUALITAS'!T21</f>
        <v>0</v>
      </c>
      <c r="U20" s="61">
        <f>'INPUT KUALITAS'!U21</f>
        <v>0</v>
      </c>
      <c r="V20" s="61">
        <f>'INPUT KUALITAS'!V21</f>
        <v>0</v>
      </c>
      <c r="W20" s="61">
        <f>'INPUT KUALITAS'!W21</f>
        <v>0</v>
      </c>
      <c r="X20" s="61">
        <f>'INPUT KUALITAS'!X21</f>
        <v>0</v>
      </c>
      <c r="Y20" s="61">
        <f>'INPUT KUALITAS'!Y21</f>
        <v>0</v>
      </c>
    </row>
    <row r="21" spans="1:25" ht="18" customHeight="1" x14ac:dyDescent="0.2">
      <c r="A21" s="20" t="s">
        <v>206</v>
      </c>
      <c r="B21" s="68">
        <f>'INPUT KUALITAS'!B22</f>
        <v>0</v>
      </c>
      <c r="C21" s="69">
        <f>'INPUT KUALITAS'!C22</f>
        <v>0</v>
      </c>
      <c r="D21" s="69">
        <f>'INPUT KUALITAS'!D22</f>
        <v>0</v>
      </c>
      <c r="E21" s="69">
        <f>'INPUT KUALITAS'!E22</f>
        <v>0</v>
      </c>
      <c r="F21" s="69">
        <f>'INPUT KUALITAS'!F22</f>
        <v>0</v>
      </c>
      <c r="G21" s="69">
        <f>'INPUT KUALITAS'!G22</f>
        <v>0</v>
      </c>
      <c r="H21" s="69">
        <f>'INPUT KUALITAS'!H22</f>
        <v>0</v>
      </c>
      <c r="I21" s="69">
        <f>'INPUT KUALITAS'!I22</f>
        <v>0</v>
      </c>
      <c r="J21" s="68">
        <f>'INPUT KUALITAS'!J22</f>
        <v>0</v>
      </c>
      <c r="K21" s="69">
        <f>'INPUT KUALITAS'!K22</f>
        <v>0</v>
      </c>
      <c r="L21" s="69">
        <f>'INPUT KUALITAS'!L22</f>
        <v>0</v>
      </c>
      <c r="M21" s="69">
        <f>'INPUT KUALITAS'!M22</f>
        <v>0</v>
      </c>
      <c r="N21" s="69">
        <f>'INPUT KUALITAS'!N22</f>
        <v>0</v>
      </c>
      <c r="O21" s="69">
        <f>'INPUT KUALITAS'!O22</f>
        <v>0</v>
      </c>
      <c r="P21" s="69">
        <f>'INPUT KUALITAS'!P22</f>
        <v>0</v>
      </c>
      <c r="Q21" s="69">
        <f>'INPUT KUALITAS'!Q22</f>
        <v>0</v>
      </c>
      <c r="R21" s="68">
        <f>'INPUT KUALITAS'!R22</f>
        <v>0</v>
      </c>
      <c r="S21" s="69">
        <f>'INPUT KUALITAS'!S22</f>
        <v>0</v>
      </c>
      <c r="T21" s="69">
        <f>'INPUT KUALITAS'!T22</f>
        <v>0</v>
      </c>
      <c r="U21" s="69">
        <f>'INPUT KUALITAS'!U22</f>
        <v>0</v>
      </c>
      <c r="V21" s="69">
        <f>'INPUT KUALITAS'!V22</f>
        <v>0</v>
      </c>
      <c r="W21" s="69">
        <f>'INPUT KUALITAS'!W22</f>
        <v>0</v>
      </c>
      <c r="X21" s="69">
        <f>'INPUT KUALITAS'!X22</f>
        <v>0</v>
      </c>
      <c r="Y21" s="69">
        <f>'INPUT KUALITAS'!Y22</f>
        <v>0</v>
      </c>
    </row>
    <row r="22" spans="1:25" ht="18" customHeight="1" x14ac:dyDescent="0.2">
      <c r="A22" s="19" t="s">
        <v>207</v>
      </c>
      <c r="B22" s="55">
        <f>'INPUT KUALITAS'!B23</f>
        <v>0</v>
      </c>
      <c r="C22" s="61">
        <f>'INPUT KUALITAS'!C23</f>
        <v>0</v>
      </c>
      <c r="D22" s="61">
        <f>'INPUT KUALITAS'!D23</f>
        <v>0</v>
      </c>
      <c r="E22" s="61">
        <f>'INPUT KUALITAS'!E23</f>
        <v>0</v>
      </c>
      <c r="F22" s="61">
        <f>'INPUT KUALITAS'!F23</f>
        <v>0</v>
      </c>
      <c r="G22" s="61">
        <f>'INPUT KUALITAS'!G23</f>
        <v>0</v>
      </c>
      <c r="H22" s="61">
        <f>'INPUT KUALITAS'!H23</f>
        <v>0</v>
      </c>
      <c r="I22" s="61">
        <f>'INPUT KUALITAS'!I23</f>
        <v>0</v>
      </c>
      <c r="J22" s="55">
        <f>'INPUT KUALITAS'!J23</f>
        <v>0</v>
      </c>
      <c r="K22" s="61">
        <f>'INPUT KUALITAS'!K23</f>
        <v>0</v>
      </c>
      <c r="L22" s="61">
        <f>'INPUT KUALITAS'!L23</f>
        <v>0</v>
      </c>
      <c r="M22" s="61">
        <f>'INPUT KUALITAS'!M23</f>
        <v>0</v>
      </c>
      <c r="N22" s="61">
        <f>'INPUT KUALITAS'!N23</f>
        <v>0</v>
      </c>
      <c r="O22" s="61">
        <f>'INPUT KUALITAS'!O23</f>
        <v>0</v>
      </c>
      <c r="P22" s="61">
        <f>'INPUT KUALITAS'!P23</f>
        <v>0</v>
      </c>
      <c r="Q22" s="61">
        <f>'INPUT KUALITAS'!Q23</f>
        <v>0</v>
      </c>
      <c r="R22" s="55">
        <f>'INPUT KUALITAS'!R23</f>
        <v>0</v>
      </c>
      <c r="S22" s="61">
        <f>'INPUT KUALITAS'!S23</f>
        <v>0</v>
      </c>
      <c r="T22" s="61">
        <f>'INPUT KUALITAS'!T23</f>
        <v>0</v>
      </c>
      <c r="U22" s="61">
        <f>'INPUT KUALITAS'!U23</f>
        <v>0</v>
      </c>
      <c r="V22" s="61">
        <f>'INPUT KUALITAS'!V23</f>
        <v>0</v>
      </c>
      <c r="W22" s="61">
        <f>'INPUT KUALITAS'!W23</f>
        <v>0</v>
      </c>
      <c r="X22" s="61">
        <f>'INPUT KUALITAS'!X23</f>
        <v>0</v>
      </c>
      <c r="Y22" s="61">
        <f>'INPUT KUALITAS'!Y23</f>
        <v>0</v>
      </c>
    </row>
    <row r="23" spans="1:25" ht="18" customHeight="1" x14ac:dyDescent="0.2">
      <c r="A23" s="20" t="s">
        <v>208</v>
      </c>
      <c r="B23" s="68">
        <f>'INPUT KUALITAS'!B24</f>
        <v>0</v>
      </c>
      <c r="C23" s="69">
        <f>'INPUT KUALITAS'!C24</f>
        <v>0</v>
      </c>
      <c r="D23" s="69">
        <f>'INPUT KUALITAS'!D24</f>
        <v>0</v>
      </c>
      <c r="E23" s="69">
        <f>'INPUT KUALITAS'!E24</f>
        <v>0</v>
      </c>
      <c r="F23" s="69">
        <f>'INPUT KUALITAS'!F24</f>
        <v>0</v>
      </c>
      <c r="G23" s="69">
        <f>'INPUT KUALITAS'!G24</f>
        <v>0</v>
      </c>
      <c r="H23" s="69">
        <f>'INPUT KUALITAS'!H24</f>
        <v>0</v>
      </c>
      <c r="I23" s="69">
        <f>'INPUT KUALITAS'!I24</f>
        <v>0</v>
      </c>
      <c r="J23" s="68">
        <f>'INPUT KUALITAS'!J24</f>
        <v>0</v>
      </c>
      <c r="K23" s="69">
        <f>'INPUT KUALITAS'!K24</f>
        <v>0</v>
      </c>
      <c r="L23" s="69">
        <f>'INPUT KUALITAS'!L24</f>
        <v>0</v>
      </c>
      <c r="M23" s="69">
        <f>'INPUT KUALITAS'!M24</f>
        <v>0</v>
      </c>
      <c r="N23" s="69">
        <f>'INPUT KUALITAS'!N24</f>
        <v>0</v>
      </c>
      <c r="O23" s="69">
        <f>'INPUT KUALITAS'!O24</f>
        <v>0</v>
      </c>
      <c r="P23" s="69">
        <f>'INPUT KUALITAS'!P24</f>
        <v>0</v>
      </c>
      <c r="Q23" s="69">
        <f>'INPUT KUALITAS'!Q24</f>
        <v>0</v>
      </c>
      <c r="R23" s="68">
        <f>'INPUT KUALITAS'!R24</f>
        <v>0</v>
      </c>
      <c r="S23" s="69">
        <f>'INPUT KUALITAS'!S24</f>
        <v>0</v>
      </c>
      <c r="T23" s="69">
        <f>'INPUT KUALITAS'!T24</f>
        <v>0</v>
      </c>
      <c r="U23" s="69">
        <f>'INPUT KUALITAS'!U24</f>
        <v>0</v>
      </c>
      <c r="V23" s="69">
        <f>'INPUT KUALITAS'!V24</f>
        <v>0</v>
      </c>
      <c r="W23" s="69">
        <f>'INPUT KUALITAS'!W24</f>
        <v>0</v>
      </c>
      <c r="X23" s="69">
        <f>'INPUT KUALITAS'!X24</f>
        <v>0</v>
      </c>
      <c r="Y23" s="69">
        <f>'INPUT KUALITAS'!Y24</f>
        <v>0</v>
      </c>
    </row>
    <row r="24" spans="1:25" ht="18" customHeight="1" x14ac:dyDescent="0.2">
      <c r="A24" s="19" t="s">
        <v>209</v>
      </c>
      <c r="B24" s="55">
        <f>'INPUT KUALITAS'!B25</f>
        <v>0</v>
      </c>
      <c r="C24" s="61">
        <f>'INPUT KUALITAS'!C25</f>
        <v>0</v>
      </c>
      <c r="D24" s="61">
        <f>'INPUT KUALITAS'!D25</f>
        <v>0</v>
      </c>
      <c r="E24" s="61">
        <f>'INPUT KUALITAS'!E25</f>
        <v>0</v>
      </c>
      <c r="F24" s="61">
        <f>'INPUT KUALITAS'!F25</f>
        <v>0</v>
      </c>
      <c r="G24" s="61">
        <f>'INPUT KUALITAS'!G25</f>
        <v>0</v>
      </c>
      <c r="H24" s="61">
        <f>'INPUT KUALITAS'!H25</f>
        <v>0</v>
      </c>
      <c r="I24" s="61">
        <f>'INPUT KUALITAS'!I25</f>
        <v>0</v>
      </c>
      <c r="J24" s="55">
        <f>'INPUT KUALITAS'!J25</f>
        <v>0</v>
      </c>
      <c r="K24" s="61">
        <f>'INPUT KUALITAS'!K25</f>
        <v>0</v>
      </c>
      <c r="L24" s="61">
        <f>'INPUT KUALITAS'!L25</f>
        <v>0</v>
      </c>
      <c r="M24" s="61">
        <f>'INPUT KUALITAS'!M25</f>
        <v>0</v>
      </c>
      <c r="N24" s="61">
        <f>'INPUT KUALITAS'!N25</f>
        <v>0</v>
      </c>
      <c r="O24" s="61">
        <f>'INPUT KUALITAS'!O25</f>
        <v>0</v>
      </c>
      <c r="P24" s="61">
        <f>'INPUT KUALITAS'!P25</f>
        <v>0</v>
      </c>
      <c r="Q24" s="61">
        <f>'INPUT KUALITAS'!Q25</f>
        <v>0</v>
      </c>
      <c r="R24" s="55">
        <f>'INPUT KUALITAS'!R25</f>
        <v>0</v>
      </c>
      <c r="S24" s="61">
        <f>'INPUT KUALITAS'!S25</f>
        <v>0</v>
      </c>
      <c r="T24" s="61">
        <f>'INPUT KUALITAS'!T25</f>
        <v>0</v>
      </c>
      <c r="U24" s="61">
        <f>'INPUT KUALITAS'!U25</f>
        <v>0</v>
      </c>
      <c r="V24" s="61">
        <f>'INPUT KUALITAS'!V25</f>
        <v>0</v>
      </c>
      <c r="W24" s="61">
        <f>'INPUT KUALITAS'!W25</f>
        <v>0</v>
      </c>
      <c r="X24" s="61">
        <f>'INPUT KUALITAS'!X25</f>
        <v>0</v>
      </c>
      <c r="Y24" s="61">
        <f>'INPUT KUALITAS'!Y25</f>
        <v>0</v>
      </c>
    </row>
    <row r="25" spans="1:25" ht="18" customHeight="1" x14ac:dyDescent="0.2">
      <c r="A25" s="18" t="s">
        <v>210</v>
      </c>
      <c r="B25" s="68">
        <f>'INPUT KUALITAS'!B26</f>
        <v>0</v>
      </c>
      <c r="C25" s="69">
        <f>'INPUT KUALITAS'!C26</f>
        <v>0</v>
      </c>
      <c r="D25" s="69">
        <f>'INPUT KUALITAS'!D26</f>
        <v>0</v>
      </c>
      <c r="E25" s="69">
        <f>'INPUT KUALITAS'!E26</f>
        <v>0</v>
      </c>
      <c r="F25" s="69">
        <f>'INPUT KUALITAS'!F26</f>
        <v>0</v>
      </c>
      <c r="G25" s="69">
        <f>'INPUT KUALITAS'!G26</f>
        <v>0</v>
      </c>
      <c r="H25" s="69">
        <f>'INPUT KUALITAS'!H26</f>
        <v>0</v>
      </c>
      <c r="I25" s="69">
        <f>'INPUT KUALITAS'!I26</f>
        <v>0</v>
      </c>
      <c r="J25" s="68">
        <f>'INPUT KUALITAS'!J26</f>
        <v>0</v>
      </c>
      <c r="K25" s="69">
        <f>'INPUT KUALITAS'!K26</f>
        <v>0</v>
      </c>
      <c r="L25" s="69">
        <f>'INPUT KUALITAS'!L26</f>
        <v>0</v>
      </c>
      <c r="M25" s="69">
        <f>'INPUT KUALITAS'!M26</f>
        <v>0</v>
      </c>
      <c r="N25" s="69">
        <f>'INPUT KUALITAS'!N26</f>
        <v>0</v>
      </c>
      <c r="O25" s="69">
        <f>'INPUT KUALITAS'!O26</f>
        <v>0</v>
      </c>
      <c r="P25" s="69">
        <f>'INPUT KUALITAS'!P26</f>
        <v>0</v>
      </c>
      <c r="Q25" s="69">
        <f>'INPUT KUALITAS'!Q26</f>
        <v>0</v>
      </c>
      <c r="R25" s="68">
        <f>'INPUT KUALITAS'!R26</f>
        <v>0</v>
      </c>
      <c r="S25" s="69">
        <f>'INPUT KUALITAS'!S26</f>
        <v>0</v>
      </c>
      <c r="T25" s="69">
        <f>'INPUT KUALITAS'!T26</f>
        <v>0</v>
      </c>
      <c r="U25" s="69">
        <f>'INPUT KUALITAS'!U26</f>
        <v>0</v>
      </c>
      <c r="V25" s="69">
        <f>'INPUT KUALITAS'!V26</f>
        <v>0</v>
      </c>
      <c r="W25" s="69">
        <f>'INPUT KUALITAS'!W26</f>
        <v>0</v>
      </c>
      <c r="X25" s="69">
        <f>'INPUT KUALITAS'!X26</f>
        <v>0</v>
      </c>
      <c r="Y25" s="69">
        <f>'INPUT KUALITAS'!Y26</f>
        <v>0</v>
      </c>
    </row>
    <row r="26" spans="1:25" ht="18" customHeight="1" x14ac:dyDescent="0.2">
      <c r="A26" s="18" t="s">
        <v>211</v>
      </c>
      <c r="B26" s="55">
        <f>'INPUT KUALITAS'!B27</f>
        <v>0</v>
      </c>
      <c r="C26" s="61">
        <f>'INPUT KUALITAS'!C27</f>
        <v>0</v>
      </c>
      <c r="D26" s="61">
        <f>'INPUT KUALITAS'!D27</f>
        <v>0</v>
      </c>
      <c r="E26" s="61">
        <f>'INPUT KUALITAS'!E27</f>
        <v>0</v>
      </c>
      <c r="F26" s="61">
        <f>'INPUT KUALITAS'!F27</f>
        <v>0</v>
      </c>
      <c r="G26" s="61">
        <f>'INPUT KUALITAS'!G27</f>
        <v>0</v>
      </c>
      <c r="H26" s="61">
        <f>'INPUT KUALITAS'!H27</f>
        <v>0</v>
      </c>
      <c r="I26" s="61">
        <f>'INPUT KUALITAS'!I27</f>
        <v>0</v>
      </c>
      <c r="J26" s="55">
        <f>'INPUT KUALITAS'!J27</f>
        <v>0</v>
      </c>
      <c r="K26" s="61">
        <f>'INPUT KUALITAS'!K27</f>
        <v>0</v>
      </c>
      <c r="L26" s="61">
        <f>'INPUT KUALITAS'!L27</f>
        <v>0</v>
      </c>
      <c r="M26" s="61">
        <f>'INPUT KUALITAS'!M27</f>
        <v>0</v>
      </c>
      <c r="N26" s="61">
        <f>'INPUT KUALITAS'!N27</f>
        <v>0</v>
      </c>
      <c r="O26" s="61">
        <f>'INPUT KUALITAS'!O27</f>
        <v>0</v>
      </c>
      <c r="P26" s="61">
        <f>'INPUT KUALITAS'!P27</f>
        <v>0</v>
      </c>
      <c r="Q26" s="61">
        <f>'INPUT KUALITAS'!Q27</f>
        <v>0</v>
      </c>
      <c r="R26" s="55">
        <f>'INPUT KUALITAS'!R27</f>
        <v>0</v>
      </c>
      <c r="S26" s="61">
        <f>'INPUT KUALITAS'!S27</f>
        <v>0</v>
      </c>
      <c r="T26" s="61">
        <f>'INPUT KUALITAS'!T27</f>
        <v>0</v>
      </c>
      <c r="U26" s="61">
        <f>'INPUT KUALITAS'!U27</f>
        <v>0</v>
      </c>
      <c r="V26" s="61">
        <f>'INPUT KUALITAS'!V27</f>
        <v>0</v>
      </c>
      <c r="W26" s="61">
        <f>'INPUT KUALITAS'!W27</f>
        <v>0</v>
      </c>
      <c r="X26" s="61">
        <f>'INPUT KUALITAS'!X27</f>
        <v>0</v>
      </c>
      <c r="Y26" s="61">
        <f>'INPUT KUALITAS'!Y27</f>
        <v>0</v>
      </c>
    </row>
    <row r="27" spans="1:25" ht="18" customHeight="1" x14ac:dyDescent="0.2">
      <c r="A27" s="20" t="s">
        <v>212</v>
      </c>
      <c r="B27" s="68">
        <f>'INPUT KUALITAS'!B28</f>
        <v>0</v>
      </c>
      <c r="C27" s="69">
        <f>'INPUT KUALITAS'!C28</f>
        <v>0</v>
      </c>
      <c r="D27" s="69">
        <f>'INPUT KUALITAS'!D28</f>
        <v>0</v>
      </c>
      <c r="E27" s="69">
        <f>'INPUT KUALITAS'!E28</f>
        <v>0</v>
      </c>
      <c r="F27" s="69">
        <f>'INPUT KUALITAS'!F28</f>
        <v>0</v>
      </c>
      <c r="G27" s="69">
        <f>'INPUT KUALITAS'!G28</f>
        <v>0</v>
      </c>
      <c r="H27" s="69">
        <f>'INPUT KUALITAS'!H28</f>
        <v>0</v>
      </c>
      <c r="I27" s="69">
        <f>'INPUT KUALITAS'!I28</f>
        <v>0</v>
      </c>
      <c r="J27" s="68">
        <f>'INPUT KUALITAS'!J28</f>
        <v>0</v>
      </c>
      <c r="K27" s="69">
        <f>'INPUT KUALITAS'!K28</f>
        <v>0</v>
      </c>
      <c r="L27" s="69">
        <f>'INPUT KUALITAS'!L28</f>
        <v>0</v>
      </c>
      <c r="M27" s="69">
        <f>'INPUT KUALITAS'!M28</f>
        <v>0</v>
      </c>
      <c r="N27" s="69">
        <f>'INPUT KUALITAS'!N28</f>
        <v>0</v>
      </c>
      <c r="O27" s="69">
        <f>'INPUT KUALITAS'!O28</f>
        <v>0</v>
      </c>
      <c r="P27" s="69">
        <f>'INPUT KUALITAS'!P28</f>
        <v>0</v>
      </c>
      <c r="Q27" s="69">
        <f>'INPUT KUALITAS'!Q28</f>
        <v>0</v>
      </c>
      <c r="R27" s="68">
        <f>'INPUT KUALITAS'!R28</f>
        <v>0</v>
      </c>
      <c r="S27" s="69">
        <f>'INPUT KUALITAS'!S28</f>
        <v>0</v>
      </c>
      <c r="T27" s="69">
        <f>'INPUT KUALITAS'!T28</f>
        <v>0</v>
      </c>
      <c r="U27" s="69">
        <f>'INPUT KUALITAS'!U28</f>
        <v>0</v>
      </c>
      <c r="V27" s="69">
        <f>'INPUT KUALITAS'!V28</f>
        <v>0</v>
      </c>
      <c r="W27" s="69">
        <f>'INPUT KUALITAS'!W28</f>
        <v>0</v>
      </c>
      <c r="X27" s="69">
        <f>'INPUT KUALITAS'!X28</f>
        <v>0</v>
      </c>
      <c r="Y27" s="69">
        <f>'INPUT KUALITAS'!Y28</f>
        <v>0</v>
      </c>
    </row>
    <row r="28" spans="1:25" ht="18" customHeight="1" x14ac:dyDescent="0.2">
      <c r="A28" s="19" t="s">
        <v>213</v>
      </c>
      <c r="B28" s="55">
        <f>'INPUT KUALITAS'!B29</f>
        <v>0</v>
      </c>
      <c r="C28" s="61">
        <f>'INPUT KUALITAS'!C29</f>
        <v>0</v>
      </c>
      <c r="D28" s="61">
        <f>'INPUT KUALITAS'!D29</f>
        <v>0</v>
      </c>
      <c r="E28" s="61">
        <f>'INPUT KUALITAS'!E29</f>
        <v>0</v>
      </c>
      <c r="F28" s="61">
        <f>'INPUT KUALITAS'!F29</f>
        <v>0</v>
      </c>
      <c r="G28" s="61">
        <f>'INPUT KUALITAS'!G29</f>
        <v>0</v>
      </c>
      <c r="H28" s="61">
        <f>'INPUT KUALITAS'!H29</f>
        <v>0</v>
      </c>
      <c r="I28" s="61">
        <f>'INPUT KUALITAS'!I29</f>
        <v>0</v>
      </c>
      <c r="J28" s="55">
        <f>'INPUT KUALITAS'!J29</f>
        <v>0</v>
      </c>
      <c r="K28" s="61">
        <f>'INPUT KUALITAS'!K29</f>
        <v>0</v>
      </c>
      <c r="L28" s="61">
        <f>'INPUT KUALITAS'!L29</f>
        <v>0</v>
      </c>
      <c r="M28" s="61">
        <f>'INPUT KUALITAS'!M29</f>
        <v>0</v>
      </c>
      <c r="N28" s="61">
        <f>'INPUT KUALITAS'!N29</f>
        <v>0</v>
      </c>
      <c r="O28" s="61">
        <f>'INPUT KUALITAS'!O29</f>
        <v>0</v>
      </c>
      <c r="P28" s="61">
        <f>'INPUT KUALITAS'!P29</f>
        <v>0</v>
      </c>
      <c r="Q28" s="61">
        <f>'INPUT KUALITAS'!Q29</f>
        <v>0</v>
      </c>
      <c r="R28" s="55">
        <f>'INPUT KUALITAS'!R29</f>
        <v>0</v>
      </c>
      <c r="S28" s="61">
        <f>'INPUT KUALITAS'!S29</f>
        <v>0</v>
      </c>
      <c r="T28" s="61">
        <f>'INPUT KUALITAS'!T29</f>
        <v>0</v>
      </c>
      <c r="U28" s="61">
        <f>'INPUT KUALITAS'!U29</f>
        <v>0</v>
      </c>
      <c r="V28" s="61">
        <f>'INPUT KUALITAS'!V29</f>
        <v>0</v>
      </c>
      <c r="W28" s="61">
        <f>'INPUT KUALITAS'!W29</f>
        <v>0</v>
      </c>
      <c r="X28" s="61">
        <f>'INPUT KUALITAS'!X29</f>
        <v>0</v>
      </c>
      <c r="Y28" s="61">
        <f>'INPUT KUALITAS'!Y29</f>
        <v>0</v>
      </c>
    </row>
    <row r="29" spans="1:25" ht="18" customHeight="1" x14ac:dyDescent="0.2">
      <c r="A29" s="20" t="s">
        <v>214</v>
      </c>
      <c r="B29" s="68">
        <f>'INPUT KUALITAS'!B30</f>
        <v>0</v>
      </c>
      <c r="C29" s="69">
        <f>'INPUT KUALITAS'!C30</f>
        <v>0</v>
      </c>
      <c r="D29" s="69">
        <f>'INPUT KUALITAS'!D30</f>
        <v>0</v>
      </c>
      <c r="E29" s="69">
        <f>'INPUT KUALITAS'!E30</f>
        <v>0</v>
      </c>
      <c r="F29" s="69">
        <f>'INPUT KUALITAS'!F30</f>
        <v>0</v>
      </c>
      <c r="G29" s="69">
        <f>'INPUT KUALITAS'!G30</f>
        <v>0</v>
      </c>
      <c r="H29" s="69">
        <f>'INPUT KUALITAS'!H30</f>
        <v>0</v>
      </c>
      <c r="I29" s="69">
        <f>'INPUT KUALITAS'!I30</f>
        <v>0</v>
      </c>
      <c r="J29" s="68">
        <f>'INPUT KUALITAS'!J30</f>
        <v>0</v>
      </c>
      <c r="K29" s="69">
        <f>'INPUT KUALITAS'!K30</f>
        <v>0</v>
      </c>
      <c r="L29" s="69">
        <f>'INPUT KUALITAS'!L30</f>
        <v>0</v>
      </c>
      <c r="M29" s="69">
        <f>'INPUT KUALITAS'!M30</f>
        <v>0</v>
      </c>
      <c r="N29" s="69">
        <f>'INPUT KUALITAS'!N30</f>
        <v>0</v>
      </c>
      <c r="O29" s="69">
        <f>'INPUT KUALITAS'!O30</f>
        <v>0</v>
      </c>
      <c r="P29" s="69">
        <f>'INPUT KUALITAS'!P30</f>
        <v>0</v>
      </c>
      <c r="Q29" s="69">
        <f>'INPUT KUALITAS'!Q30</f>
        <v>0</v>
      </c>
      <c r="R29" s="68">
        <f>'INPUT KUALITAS'!R30</f>
        <v>0</v>
      </c>
      <c r="S29" s="69">
        <f>'INPUT KUALITAS'!S30</f>
        <v>0</v>
      </c>
      <c r="T29" s="69">
        <f>'INPUT KUALITAS'!T30</f>
        <v>0</v>
      </c>
      <c r="U29" s="69">
        <f>'INPUT KUALITAS'!U30</f>
        <v>0</v>
      </c>
      <c r="V29" s="69">
        <f>'INPUT KUALITAS'!V30</f>
        <v>0</v>
      </c>
      <c r="W29" s="69">
        <f>'INPUT KUALITAS'!W30</f>
        <v>0</v>
      </c>
      <c r="X29" s="69">
        <f>'INPUT KUALITAS'!X30</f>
        <v>0</v>
      </c>
      <c r="Y29" s="69">
        <f>'INPUT KUALITAS'!Y30</f>
        <v>0</v>
      </c>
    </row>
    <row r="30" spans="1:25" ht="18" customHeight="1" x14ac:dyDescent="0.2">
      <c r="A30" s="19" t="s">
        <v>215</v>
      </c>
      <c r="B30" s="55">
        <f>'INPUT KUALITAS'!B31</f>
        <v>0</v>
      </c>
      <c r="C30" s="61">
        <f>'INPUT KUALITAS'!C31</f>
        <v>0</v>
      </c>
      <c r="D30" s="61">
        <f>'INPUT KUALITAS'!D31</f>
        <v>0</v>
      </c>
      <c r="E30" s="61">
        <f>'INPUT KUALITAS'!E31</f>
        <v>0</v>
      </c>
      <c r="F30" s="61">
        <f>'INPUT KUALITAS'!F31</f>
        <v>0</v>
      </c>
      <c r="G30" s="61">
        <f>'INPUT KUALITAS'!G31</f>
        <v>0</v>
      </c>
      <c r="H30" s="61">
        <f>'INPUT KUALITAS'!H31</f>
        <v>0</v>
      </c>
      <c r="I30" s="61">
        <f>'INPUT KUALITAS'!I31</f>
        <v>0</v>
      </c>
      <c r="J30" s="55">
        <f>'INPUT KUALITAS'!J31</f>
        <v>0</v>
      </c>
      <c r="K30" s="61">
        <f>'INPUT KUALITAS'!K31</f>
        <v>0</v>
      </c>
      <c r="L30" s="61">
        <f>'INPUT KUALITAS'!L31</f>
        <v>0</v>
      </c>
      <c r="M30" s="61">
        <f>'INPUT KUALITAS'!M31</f>
        <v>0</v>
      </c>
      <c r="N30" s="61">
        <f>'INPUT KUALITAS'!N31</f>
        <v>0</v>
      </c>
      <c r="O30" s="61">
        <f>'INPUT KUALITAS'!O31</f>
        <v>0</v>
      </c>
      <c r="P30" s="61">
        <f>'INPUT KUALITAS'!P31</f>
        <v>0</v>
      </c>
      <c r="Q30" s="61">
        <f>'INPUT KUALITAS'!Q31</f>
        <v>0</v>
      </c>
      <c r="R30" s="55">
        <f>'INPUT KUALITAS'!R31</f>
        <v>0</v>
      </c>
      <c r="S30" s="61">
        <f>'INPUT KUALITAS'!S31</f>
        <v>0</v>
      </c>
      <c r="T30" s="61">
        <f>'INPUT KUALITAS'!T31</f>
        <v>0</v>
      </c>
      <c r="U30" s="61">
        <f>'INPUT KUALITAS'!U31</f>
        <v>0</v>
      </c>
      <c r="V30" s="61">
        <f>'INPUT KUALITAS'!V31</f>
        <v>0</v>
      </c>
      <c r="W30" s="61">
        <f>'INPUT KUALITAS'!W31</f>
        <v>0</v>
      </c>
      <c r="X30" s="61">
        <f>'INPUT KUALITAS'!X31</f>
        <v>0</v>
      </c>
      <c r="Y30" s="61">
        <f>'INPUT KUALITAS'!Y31</f>
        <v>0</v>
      </c>
    </row>
    <row r="31" spans="1:25" ht="18" customHeight="1" x14ac:dyDescent="0.2">
      <c r="A31" s="20" t="s">
        <v>216</v>
      </c>
      <c r="B31" s="68">
        <f>'INPUT KUALITAS'!B32</f>
        <v>0</v>
      </c>
      <c r="C31" s="69">
        <f>'INPUT KUALITAS'!C32</f>
        <v>0</v>
      </c>
      <c r="D31" s="69">
        <f>'INPUT KUALITAS'!D32</f>
        <v>0</v>
      </c>
      <c r="E31" s="69">
        <f>'INPUT KUALITAS'!E32</f>
        <v>0</v>
      </c>
      <c r="F31" s="69">
        <f>'INPUT KUALITAS'!F32</f>
        <v>0</v>
      </c>
      <c r="G31" s="69">
        <f>'INPUT KUALITAS'!G32</f>
        <v>0</v>
      </c>
      <c r="H31" s="69">
        <f>'INPUT KUALITAS'!H32</f>
        <v>0</v>
      </c>
      <c r="I31" s="69">
        <f>'INPUT KUALITAS'!I32</f>
        <v>0</v>
      </c>
      <c r="J31" s="68">
        <f>'INPUT KUALITAS'!J32</f>
        <v>0</v>
      </c>
      <c r="K31" s="69">
        <f>'INPUT KUALITAS'!K32</f>
        <v>0</v>
      </c>
      <c r="L31" s="69">
        <f>'INPUT KUALITAS'!L32</f>
        <v>0</v>
      </c>
      <c r="M31" s="69">
        <f>'INPUT KUALITAS'!M32</f>
        <v>0</v>
      </c>
      <c r="N31" s="69">
        <f>'INPUT KUALITAS'!N32</f>
        <v>0</v>
      </c>
      <c r="O31" s="69">
        <f>'INPUT KUALITAS'!O32</f>
        <v>0</v>
      </c>
      <c r="P31" s="69">
        <f>'INPUT KUALITAS'!P32</f>
        <v>0</v>
      </c>
      <c r="Q31" s="69">
        <f>'INPUT KUALITAS'!Q32</f>
        <v>0</v>
      </c>
      <c r="R31" s="68">
        <f>'INPUT KUALITAS'!R32</f>
        <v>0</v>
      </c>
      <c r="S31" s="69">
        <f>'INPUT KUALITAS'!S32</f>
        <v>0</v>
      </c>
      <c r="T31" s="69">
        <f>'INPUT KUALITAS'!T32</f>
        <v>0</v>
      </c>
      <c r="U31" s="69">
        <f>'INPUT KUALITAS'!U32</f>
        <v>0</v>
      </c>
      <c r="V31" s="69">
        <f>'INPUT KUALITAS'!V32</f>
        <v>0</v>
      </c>
      <c r="W31" s="69">
        <f>'INPUT KUALITAS'!W32</f>
        <v>0</v>
      </c>
      <c r="X31" s="69">
        <f>'INPUT KUALITAS'!X32</f>
        <v>0</v>
      </c>
      <c r="Y31" s="69">
        <f>'INPUT KUALITAS'!Y32</f>
        <v>0</v>
      </c>
    </row>
    <row r="32" spans="1:25" ht="18" customHeight="1" x14ac:dyDescent="0.2">
      <c r="A32" s="18" t="s">
        <v>217</v>
      </c>
      <c r="B32" s="55">
        <f>'INPUT KUALITAS'!B33</f>
        <v>0</v>
      </c>
      <c r="C32" s="61">
        <f>'INPUT KUALITAS'!C33</f>
        <v>0</v>
      </c>
      <c r="D32" s="61">
        <f>'INPUT KUALITAS'!D33</f>
        <v>0</v>
      </c>
      <c r="E32" s="61">
        <f>'INPUT KUALITAS'!E33</f>
        <v>0</v>
      </c>
      <c r="F32" s="61">
        <f>'INPUT KUALITAS'!F33</f>
        <v>0</v>
      </c>
      <c r="G32" s="61">
        <f>'INPUT KUALITAS'!G33</f>
        <v>0</v>
      </c>
      <c r="H32" s="61">
        <f>'INPUT KUALITAS'!H33</f>
        <v>0</v>
      </c>
      <c r="I32" s="61">
        <f>'INPUT KUALITAS'!I33</f>
        <v>0</v>
      </c>
      <c r="J32" s="55">
        <f>'INPUT KUALITAS'!J33</f>
        <v>0</v>
      </c>
      <c r="K32" s="61">
        <f>'INPUT KUALITAS'!K33</f>
        <v>0</v>
      </c>
      <c r="L32" s="61">
        <f>'INPUT KUALITAS'!L33</f>
        <v>0</v>
      </c>
      <c r="M32" s="61">
        <f>'INPUT KUALITAS'!M33</f>
        <v>0</v>
      </c>
      <c r="N32" s="61">
        <f>'INPUT KUALITAS'!N33</f>
        <v>0</v>
      </c>
      <c r="O32" s="61">
        <f>'INPUT KUALITAS'!O33</f>
        <v>0</v>
      </c>
      <c r="P32" s="61">
        <f>'INPUT KUALITAS'!P33</f>
        <v>0</v>
      </c>
      <c r="Q32" s="61">
        <f>'INPUT KUALITAS'!Q33</f>
        <v>0</v>
      </c>
      <c r="R32" s="55">
        <f>'INPUT KUALITAS'!R33</f>
        <v>0</v>
      </c>
      <c r="S32" s="61">
        <f>'INPUT KUALITAS'!S33</f>
        <v>0</v>
      </c>
      <c r="T32" s="61">
        <f>'INPUT KUALITAS'!T33</f>
        <v>0</v>
      </c>
      <c r="U32" s="61">
        <f>'INPUT KUALITAS'!U33</f>
        <v>0</v>
      </c>
      <c r="V32" s="61">
        <f>'INPUT KUALITAS'!V33</f>
        <v>0</v>
      </c>
      <c r="W32" s="61">
        <f>'INPUT KUALITAS'!W33</f>
        <v>0</v>
      </c>
      <c r="X32" s="61">
        <f>'INPUT KUALITAS'!X33</f>
        <v>0</v>
      </c>
      <c r="Y32" s="61">
        <f>'INPUT KUALITAS'!Y33</f>
        <v>0</v>
      </c>
    </row>
    <row r="33" spans="1:25" ht="18" customHeight="1" x14ac:dyDescent="0.2">
      <c r="A33" s="18" t="s">
        <v>218</v>
      </c>
      <c r="B33" s="68">
        <f>'INPUT KUALITAS'!B34</f>
        <v>0</v>
      </c>
      <c r="C33" s="69">
        <f>'INPUT KUALITAS'!C34</f>
        <v>0</v>
      </c>
      <c r="D33" s="69">
        <f>'INPUT KUALITAS'!D34</f>
        <v>0</v>
      </c>
      <c r="E33" s="69">
        <f>'INPUT KUALITAS'!E34</f>
        <v>0</v>
      </c>
      <c r="F33" s="69">
        <f>'INPUT KUALITAS'!F34</f>
        <v>0</v>
      </c>
      <c r="G33" s="69">
        <f>'INPUT KUALITAS'!G34</f>
        <v>0</v>
      </c>
      <c r="H33" s="69">
        <f>'INPUT KUALITAS'!H34</f>
        <v>0</v>
      </c>
      <c r="I33" s="69">
        <f>'INPUT KUALITAS'!I34</f>
        <v>0</v>
      </c>
      <c r="J33" s="68">
        <f>'INPUT KUALITAS'!J34</f>
        <v>0</v>
      </c>
      <c r="K33" s="69">
        <f>'INPUT KUALITAS'!K34</f>
        <v>0</v>
      </c>
      <c r="L33" s="69">
        <f>'INPUT KUALITAS'!L34</f>
        <v>0</v>
      </c>
      <c r="M33" s="69">
        <f>'INPUT KUALITAS'!M34</f>
        <v>0</v>
      </c>
      <c r="N33" s="69">
        <f>'INPUT KUALITAS'!N34</f>
        <v>0</v>
      </c>
      <c r="O33" s="69">
        <f>'INPUT KUALITAS'!O34</f>
        <v>0</v>
      </c>
      <c r="P33" s="69">
        <f>'INPUT KUALITAS'!P34</f>
        <v>0</v>
      </c>
      <c r="Q33" s="69">
        <f>'INPUT KUALITAS'!Q34</f>
        <v>0</v>
      </c>
      <c r="R33" s="68">
        <f>'INPUT KUALITAS'!R34</f>
        <v>0</v>
      </c>
      <c r="S33" s="69">
        <f>'INPUT KUALITAS'!S34</f>
        <v>0</v>
      </c>
      <c r="T33" s="69">
        <f>'INPUT KUALITAS'!T34</f>
        <v>0</v>
      </c>
      <c r="U33" s="69">
        <f>'INPUT KUALITAS'!U34</f>
        <v>0</v>
      </c>
      <c r="V33" s="69">
        <f>'INPUT KUALITAS'!V34</f>
        <v>0</v>
      </c>
      <c r="W33" s="69">
        <f>'INPUT KUALITAS'!W34</f>
        <v>0</v>
      </c>
      <c r="X33" s="69">
        <f>'INPUT KUALITAS'!X34</f>
        <v>0</v>
      </c>
      <c r="Y33" s="69">
        <f>'INPUT KUALITAS'!Y34</f>
        <v>0</v>
      </c>
    </row>
    <row r="34" spans="1:25" ht="18" customHeight="1" x14ac:dyDescent="0.2">
      <c r="A34" s="19" t="s">
        <v>219</v>
      </c>
      <c r="B34" s="55">
        <f>'INPUT KUALITAS'!B35</f>
        <v>0</v>
      </c>
      <c r="C34" s="61">
        <f>'INPUT KUALITAS'!C35</f>
        <v>0</v>
      </c>
      <c r="D34" s="61">
        <f>'INPUT KUALITAS'!D35</f>
        <v>0</v>
      </c>
      <c r="E34" s="61">
        <f>'INPUT KUALITAS'!E35</f>
        <v>0</v>
      </c>
      <c r="F34" s="61">
        <f>'INPUT KUALITAS'!F35</f>
        <v>0</v>
      </c>
      <c r="G34" s="61">
        <f>'INPUT KUALITAS'!G35</f>
        <v>0</v>
      </c>
      <c r="H34" s="61">
        <f>'INPUT KUALITAS'!H35</f>
        <v>0</v>
      </c>
      <c r="I34" s="61">
        <f>'INPUT KUALITAS'!I35</f>
        <v>0</v>
      </c>
      <c r="J34" s="55">
        <f>'INPUT KUALITAS'!J35</f>
        <v>0</v>
      </c>
      <c r="K34" s="61">
        <f>'INPUT KUALITAS'!K35</f>
        <v>0</v>
      </c>
      <c r="L34" s="61">
        <f>'INPUT KUALITAS'!L35</f>
        <v>0</v>
      </c>
      <c r="M34" s="61">
        <f>'INPUT KUALITAS'!M35</f>
        <v>0</v>
      </c>
      <c r="N34" s="61">
        <f>'INPUT KUALITAS'!N35</f>
        <v>0</v>
      </c>
      <c r="O34" s="61">
        <f>'INPUT KUALITAS'!O35</f>
        <v>0</v>
      </c>
      <c r="P34" s="61">
        <f>'INPUT KUALITAS'!P35</f>
        <v>0</v>
      </c>
      <c r="Q34" s="61">
        <f>'INPUT KUALITAS'!Q35</f>
        <v>0</v>
      </c>
      <c r="R34" s="55">
        <f>'INPUT KUALITAS'!R35</f>
        <v>0</v>
      </c>
      <c r="S34" s="61">
        <f>'INPUT KUALITAS'!S35</f>
        <v>0</v>
      </c>
      <c r="T34" s="61">
        <f>'INPUT KUALITAS'!T35</f>
        <v>0</v>
      </c>
      <c r="U34" s="61">
        <f>'INPUT KUALITAS'!U35</f>
        <v>0</v>
      </c>
      <c r="V34" s="61">
        <f>'INPUT KUALITAS'!V35</f>
        <v>0</v>
      </c>
      <c r="W34" s="61">
        <f>'INPUT KUALITAS'!W35</f>
        <v>0</v>
      </c>
      <c r="X34" s="61">
        <f>'INPUT KUALITAS'!X35</f>
        <v>0</v>
      </c>
      <c r="Y34" s="61">
        <f>'INPUT KUALITAS'!Y35</f>
        <v>0</v>
      </c>
    </row>
    <row r="38" spans="1:25" x14ac:dyDescent="0.2">
      <c r="C38" s="120" t="s">
        <v>126</v>
      </c>
      <c r="D38" s="121" t="s">
        <v>189</v>
      </c>
      <c r="E38" s="121" t="s">
        <v>121</v>
      </c>
    </row>
    <row r="39" spans="1:25" x14ac:dyDescent="0.2">
      <c r="C39" s="120">
        <v>5</v>
      </c>
      <c r="D39" s="120">
        <v>0.5</v>
      </c>
      <c r="E39" s="120">
        <v>2</v>
      </c>
    </row>
    <row r="40" spans="1:25" x14ac:dyDescent="0.2">
      <c r="C40" s="120" t="s">
        <v>301</v>
      </c>
      <c r="D40" s="120" t="s">
        <v>301</v>
      </c>
      <c r="E40" s="120" t="s">
        <v>301</v>
      </c>
    </row>
  </sheetData>
  <mergeCells count="4">
    <mergeCell ref="R2:Y2"/>
    <mergeCell ref="J2:Q2"/>
    <mergeCell ref="B2:I2"/>
    <mergeCell ref="A1:Y1"/>
  </mergeCells>
  <conditionalFormatting sqref="C5:C34">
    <cfRule type="expression" dxfId="147" priority="1">
      <formula>AND(C5&gt;0,C5&gt;5)</formula>
    </cfRule>
    <cfRule type="expression" dxfId="146" priority="2">
      <formula>AND(C5&gt;0,C5&gt;4.5,C5&lt;=5)</formula>
    </cfRule>
    <cfRule type="expression" dxfId="145" priority="3">
      <formula>AND(C5&gt;0,C5&lt;=4.5)</formula>
    </cfRule>
  </conditionalFormatting>
  <conditionalFormatting sqref="D5:D34">
    <cfRule type="expression" dxfId="144" priority="4">
      <formula>AND(D5&gt;0,D5&gt;0.35)</formula>
    </cfRule>
    <cfRule type="expression" dxfId="143" priority="5">
      <formula>AND(D5&gt;0,D5&gt;0.3,D5&lt;=0.35)</formula>
    </cfRule>
    <cfRule type="expression" dxfId="142" priority="6">
      <formula>AND(D5&gt;0,D5&lt;=0.3)</formula>
    </cfRule>
  </conditionalFormatting>
  <conditionalFormatting sqref="E5:E34">
    <cfRule type="expression" dxfId="141" priority="7">
      <formula>AND(E5&gt;0,E5&lt;2.31)</formula>
    </cfRule>
    <cfRule type="expression" dxfId="140" priority="8">
      <formula>AND(E5&gt;0,E5&gt;=2.31,E5&lt;2.55)</formula>
    </cfRule>
    <cfRule type="expression" dxfId="139" priority="9">
      <formula>AND(E5&gt;0,E5&gt;=2.55)</formula>
    </cfRule>
  </conditionalFormatting>
  <conditionalFormatting sqref="F5:F34">
    <cfRule type="expression" dxfId="138" priority="10">
      <formula>AND(F5&gt;0,F5&lt;50)</formula>
    </cfRule>
    <cfRule type="expression" dxfId="137" priority="11">
      <formula>AND(F5&gt;0,F5&gt;=50,F5&lt;51)</formula>
    </cfRule>
    <cfRule type="expression" dxfId="136" priority="12">
      <formula>AND(F5&gt;0,F5&gt;=51)</formula>
    </cfRule>
  </conditionalFormatting>
  <conditionalFormatting sqref="G5:G34">
    <cfRule type="expression" dxfId="135" priority="13">
      <formula>AND(G5&gt;0,G5&gt;5)</formula>
    </cfRule>
    <cfRule type="expression" dxfId="134" priority="14">
      <formula>AND(G5&gt;0,G5&gt;4,G5&lt;=5)</formula>
    </cfRule>
    <cfRule type="expression" dxfId="133" priority="15">
      <formula>AND(G5&gt;0,G5&lt;=4)</formula>
    </cfRule>
  </conditionalFormatting>
  <conditionalFormatting sqref="H5:H34">
    <cfRule type="expression" dxfId="132" priority="16">
      <formula>AND(H5&gt;0,H5&gt;3)</formula>
    </cfRule>
    <cfRule type="expression" dxfId="131" priority="17">
      <formula>AND(H5&gt;0,H5&gt;2.5,H5&lt;=3)</formula>
    </cfRule>
    <cfRule type="expression" dxfId="130" priority="18">
      <formula>AND(H5&gt;0,H5&lt;=2.5)</formula>
    </cfRule>
  </conditionalFormatting>
  <conditionalFormatting sqref="I5:I34">
    <cfRule type="expression" dxfId="129" priority="19">
      <formula>AND(I5&gt;0,I5&gt;10)</formula>
    </cfRule>
    <cfRule type="expression" dxfId="128" priority="20">
      <formula>AND(I5&gt;0,I5&gt;8.5,I5&lt;=10)</formula>
    </cfRule>
    <cfRule type="expression" dxfId="127" priority="21">
      <formula>AND(I5&gt;0,I5&lt;=8.5)</formula>
    </cfRule>
  </conditionalFormatting>
  <conditionalFormatting sqref="K5:K34">
    <cfRule type="expression" dxfId="126" priority="22">
      <formula>AND(K5&gt;0,K5&gt;5)</formula>
    </cfRule>
    <cfRule type="expression" dxfId="125" priority="23">
      <formula>AND(K5&gt;0,K5&gt;4.5,K5&lt;=5)</formula>
    </cfRule>
    <cfRule type="expression" dxfId="124" priority="24">
      <formula>AND(K5&gt;0,K5&lt;=4.5)</formula>
    </cfRule>
  </conditionalFormatting>
  <conditionalFormatting sqref="L5:L34">
    <cfRule type="expression" dxfId="123" priority="25">
      <formula>AND(L5&gt;0,L5&gt;0.35)</formula>
    </cfRule>
    <cfRule type="expression" dxfId="122" priority="26">
      <formula>AND(L5&gt;0,L5&gt;0.3,L5&lt;=0.35)</formula>
    </cfRule>
    <cfRule type="expression" dxfId="121" priority="27">
      <formula>AND(L5&gt;0,L5&lt;=0.3)</formula>
    </cfRule>
  </conditionalFormatting>
  <conditionalFormatting sqref="M5:M34">
    <cfRule type="expression" dxfId="120" priority="28">
      <formula>AND(M5&gt;0,M5&lt;2.31)</formula>
    </cfRule>
    <cfRule type="expression" dxfId="119" priority="29">
      <formula>AND(M5&gt;0,M5&gt;=2.31,M5&lt;2.55)</formula>
    </cfRule>
    <cfRule type="expression" dxfId="118" priority="30">
      <formula>AND(M5&gt;0,M5&gt;=2.55)</formula>
    </cfRule>
  </conditionalFormatting>
  <conditionalFormatting sqref="N5:N34">
    <cfRule type="expression" dxfId="117" priority="32">
      <formula>AND(N5&gt;0,N5&gt;=50,N5&lt;51)</formula>
    </cfRule>
    <cfRule type="expression" dxfId="116" priority="31">
      <formula>AND(N5&gt;0,N5&lt;50)</formula>
    </cfRule>
    <cfRule type="expression" dxfId="115" priority="33">
      <formula>AND(N5&gt;0,N5&gt;=51)</formula>
    </cfRule>
  </conditionalFormatting>
  <conditionalFormatting sqref="O5:O34">
    <cfRule type="expression" dxfId="114" priority="34">
      <formula>AND(O5&gt;0,O5&gt;5)</formula>
    </cfRule>
    <cfRule type="expression" dxfId="113" priority="35">
      <formula>AND(O5&gt;0,O5&gt;4,O5&lt;=5)</formula>
    </cfRule>
    <cfRule type="expression" dxfId="112" priority="36">
      <formula>AND(O5&gt;0,O5&lt;=4)</formula>
    </cfRule>
  </conditionalFormatting>
  <conditionalFormatting sqref="P5:P34">
    <cfRule type="expression" dxfId="111" priority="37">
      <formula>AND(P5&gt;0,P5&gt;3)</formula>
    </cfRule>
    <cfRule type="expression" dxfId="110" priority="38">
      <formula>AND(P5&gt;0,P5&gt;2.5,P5&lt;=3)</formula>
    </cfRule>
    <cfRule type="expression" dxfId="109" priority="39">
      <formula>AND(P5&gt;0,P5&lt;=2.5)</formula>
    </cfRule>
  </conditionalFormatting>
  <conditionalFormatting sqref="Q5:Q34">
    <cfRule type="expression" dxfId="108" priority="40">
      <formula>AND(Q5&gt;0,Q5&gt;10)</formula>
    </cfRule>
    <cfRule type="expression" dxfId="107" priority="41">
      <formula>AND(Q5&gt;0,Q5&gt;8.5,Q5&lt;=10)</formula>
    </cfRule>
    <cfRule type="expression" dxfId="106" priority="42">
      <formula>AND(Q5&gt;0,Q5&lt;=8.5)</formula>
    </cfRule>
  </conditionalFormatting>
  <conditionalFormatting sqref="S5:S34">
    <cfRule type="expression" dxfId="105" priority="43">
      <formula>AND(S5&gt;0,S5&gt;5)</formula>
    </cfRule>
    <cfRule type="expression" dxfId="104" priority="44">
      <formula>AND(S5&gt;0,S5&gt;4.5,S5&lt;=5)</formula>
    </cfRule>
    <cfRule type="expression" dxfId="103" priority="45">
      <formula>AND(S5&gt;0,S5&lt;=4.5)</formula>
    </cfRule>
  </conditionalFormatting>
  <conditionalFormatting sqref="T5:T34">
    <cfRule type="expression" dxfId="102" priority="48">
      <formula>AND(T5&gt;0,T5&lt;=0.3)</formula>
    </cfRule>
    <cfRule type="expression" dxfId="101" priority="47">
      <formula>AND(T5&gt;0,T5&gt;0.3,T5&lt;=0.35)</formula>
    </cfRule>
    <cfRule type="expression" dxfId="100" priority="46">
      <formula>AND(T5&gt;0,T5&gt;0.35)</formula>
    </cfRule>
  </conditionalFormatting>
  <conditionalFormatting sqref="U5:U34">
    <cfRule type="expression" dxfId="99" priority="49">
      <formula>AND(U5&gt;0,U5&lt;2.31)</formula>
    </cfRule>
    <cfRule type="expression" dxfId="98" priority="50">
      <formula>AND(U5&gt;0,U5&gt;=2.31,U5&lt;2.55)</formula>
    </cfRule>
    <cfRule type="expression" dxfId="97" priority="51">
      <formula>AND(U5&gt;0,U5&gt;=2.55)</formula>
    </cfRule>
  </conditionalFormatting>
  <conditionalFormatting sqref="V5:V34">
    <cfRule type="expression" dxfId="96" priority="52">
      <formula>AND(V5&gt;0,V5&lt;50)</formula>
    </cfRule>
    <cfRule type="expression" dxfId="95" priority="53">
      <formula>AND(V5&gt;0,V5&gt;=50,V5&lt;51)</formula>
    </cfRule>
    <cfRule type="expression" dxfId="94" priority="54">
      <formula>AND(V5&gt;0,V5&gt;=51)</formula>
    </cfRule>
  </conditionalFormatting>
  <conditionalFormatting sqref="W5:W34">
    <cfRule type="expression" dxfId="93" priority="55">
      <formula>AND(W5&gt;0,W5&gt;5)</formula>
    </cfRule>
    <cfRule type="expression" dxfId="92" priority="56">
      <formula>AND(W5&gt;0,W5&gt;4,W5&lt;=5)</formula>
    </cfRule>
    <cfRule type="expression" dxfId="91" priority="57">
      <formula>AND(W5&gt;0,W5&lt;=4)</formula>
    </cfRule>
  </conditionalFormatting>
  <conditionalFormatting sqref="X5:X34">
    <cfRule type="expression" dxfId="90" priority="58">
      <formula>AND(X5&gt;0,X5&gt;3)</formula>
    </cfRule>
    <cfRule type="expression" dxfId="89" priority="59">
      <formula>AND(X5&gt;0,X5&gt;2.5,X5&lt;=3)</formula>
    </cfRule>
    <cfRule type="expression" dxfId="88" priority="60">
      <formula>AND(X5&gt;0,X5&lt;=2.5)</formula>
    </cfRule>
  </conditionalFormatting>
  <conditionalFormatting sqref="Y5:Y34">
    <cfRule type="expression" dxfId="87" priority="61">
      <formula>AND(Y5&gt;0,Y5&gt;10)</formula>
    </cfRule>
    <cfRule type="expression" dxfId="86" priority="62">
      <formula>AND(Y5&gt;0,Y5&gt;8.5,Y5&lt;=10)</formula>
    </cfRule>
    <cfRule type="expression" dxfId="85" priority="63">
      <formula>AND(Y5&gt;0,Y5&lt;=8.5)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15DA-399A-FB47-BFA0-1FBBFBEF32E2}">
  <dimension ref="A1:AF37"/>
  <sheetViews>
    <sheetView showGridLines="0" tabSelected="1" zoomScale="118" workbookViewId="0">
      <pane ySplit="5" topLeftCell="A6" activePane="bottomLeft" state="frozen"/>
      <selection activeCell="S1" sqref="S1"/>
      <selection pane="bottomLeft" activeCell="K6" sqref="K6"/>
    </sheetView>
  </sheetViews>
  <sheetFormatPr baseColWidth="10" defaultRowHeight="15" x14ac:dyDescent="0.2"/>
  <cols>
    <col min="1" max="1" width="10.33203125" customWidth="1"/>
    <col min="2" max="3" width="8.6640625" customWidth="1"/>
    <col min="4" max="4" width="7.6640625" customWidth="1"/>
    <col min="5" max="10" width="8.6640625" customWidth="1"/>
    <col min="11" max="11" width="11.6640625" customWidth="1"/>
    <col min="12" max="13" width="8.6640625" customWidth="1"/>
    <col min="14" max="14" width="7.6640625" customWidth="1"/>
    <col min="15" max="20" width="8.6640625" customWidth="1"/>
    <col min="21" max="21" width="11.6640625" customWidth="1"/>
    <col min="22" max="23" width="8.6640625" customWidth="1"/>
    <col min="24" max="24" width="7.6640625" customWidth="1"/>
    <col min="25" max="30" width="8.6640625" customWidth="1"/>
    <col min="31" max="31" width="11.6640625" customWidth="1"/>
    <col min="32" max="32" width="27.5" customWidth="1"/>
  </cols>
  <sheetData>
    <row r="1" spans="1:32" ht="24" customHeight="1" x14ac:dyDescent="0.2">
      <c r="A1" s="126" t="s">
        <v>283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</row>
    <row r="2" spans="1:32" ht="14" customHeight="1" x14ac:dyDescent="0.2">
      <c r="A2" s="127" t="s">
        <v>306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</row>
    <row r="3" spans="1:32" ht="18" customHeight="1" x14ac:dyDescent="0.2">
      <c r="A3" s="107"/>
      <c r="B3" s="128" t="s">
        <v>297</v>
      </c>
      <c r="C3" s="125"/>
      <c r="D3" s="125"/>
      <c r="E3" s="125"/>
      <c r="F3" s="125"/>
      <c r="G3" s="125"/>
      <c r="H3" s="125"/>
      <c r="I3" s="125"/>
      <c r="J3" s="125"/>
      <c r="K3" s="125"/>
      <c r="L3" s="129" t="s">
        <v>298</v>
      </c>
      <c r="M3" s="125"/>
      <c r="N3" s="125"/>
      <c r="O3" s="125"/>
      <c r="P3" s="125"/>
      <c r="Q3" s="125"/>
      <c r="R3" s="125"/>
      <c r="S3" s="125"/>
      <c r="T3" s="125"/>
      <c r="U3" s="125"/>
      <c r="V3" s="124" t="s">
        <v>299</v>
      </c>
      <c r="W3" s="125"/>
      <c r="X3" s="125"/>
      <c r="Y3" s="125"/>
      <c r="Z3" s="125"/>
      <c r="AA3" s="125"/>
      <c r="AB3" s="125"/>
      <c r="AC3" s="125"/>
      <c r="AD3" s="125"/>
      <c r="AE3" s="125"/>
      <c r="AF3" s="108"/>
    </row>
    <row r="4" spans="1:32" ht="16" customHeight="1" x14ac:dyDescent="0.2">
      <c r="A4" s="107"/>
      <c r="B4" s="128" t="s">
        <v>297</v>
      </c>
      <c r="C4" s="125"/>
      <c r="D4" s="125"/>
      <c r="E4" s="125"/>
      <c r="F4" s="125"/>
      <c r="G4" s="125"/>
      <c r="H4" s="125"/>
      <c r="I4" s="125"/>
      <c r="J4" s="125"/>
      <c r="K4" s="125"/>
      <c r="L4" s="129" t="s">
        <v>298</v>
      </c>
      <c r="M4" s="125"/>
      <c r="N4" s="125"/>
      <c r="O4" s="125"/>
      <c r="P4" s="125"/>
      <c r="Q4" s="125"/>
      <c r="R4" s="125"/>
      <c r="S4" s="125"/>
      <c r="T4" s="125"/>
      <c r="U4" s="125"/>
      <c r="V4" s="124" t="s">
        <v>299</v>
      </c>
      <c r="W4" s="125"/>
      <c r="X4" s="125"/>
      <c r="Y4" s="125"/>
      <c r="Z4" s="125"/>
      <c r="AA4" s="125"/>
      <c r="AB4" s="125"/>
      <c r="AC4" s="125"/>
      <c r="AD4" s="125"/>
      <c r="AE4" s="125"/>
      <c r="AF4" s="108"/>
    </row>
    <row r="5" spans="1:32" ht="18" customHeight="1" x14ac:dyDescent="0.2">
      <c r="A5" s="91" t="s">
        <v>114</v>
      </c>
      <c r="B5" s="92" t="s">
        <v>8</v>
      </c>
      <c r="C5" s="92" t="s">
        <v>126</v>
      </c>
      <c r="D5" s="92" t="s">
        <v>285</v>
      </c>
      <c r="E5" s="92" t="s">
        <v>189</v>
      </c>
      <c r="F5" s="92" t="s">
        <v>121</v>
      </c>
      <c r="G5" s="92" t="s">
        <v>53</v>
      </c>
      <c r="H5" s="92" t="s">
        <v>122</v>
      </c>
      <c r="I5" s="92" t="s">
        <v>123</v>
      </c>
      <c r="J5" s="92" t="s">
        <v>124</v>
      </c>
      <c r="K5" s="93" t="s">
        <v>286</v>
      </c>
      <c r="L5" s="94" t="s">
        <v>8</v>
      </c>
      <c r="M5" s="94" t="s">
        <v>126</v>
      </c>
      <c r="N5" s="94" t="s">
        <v>285</v>
      </c>
      <c r="O5" s="94" t="s">
        <v>189</v>
      </c>
      <c r="P5" s="94" t="s">
        <v>121</v>
      </c>
      <c r="Q5" s="94" t="s">
        <v>53</v>
      </c>
      <c r="R5" s="94" t="s">
        <v>122</v>
      </c>
      <c r="S5" s="94" t="s">
        <v>123</v>
      </c>
      <c r="T5" s="94" t="s">
        <v>124</v>
      </c>
      <c r="U5" s="95" t="s">
        <v>287</v>
      </c>
      <c r="V5" s="96" t="s">
        <v>8</v>
      </c>
      <c r="W5" s="96" t="s">
        <v>126</v>
      </c>
      <c r="X5" s="96" t="s">
        <v>285</v>
      </c>
      <c r="Y5" s="96" t="s">
        <v>189</v>
      </c>
      <c r="Z5" s="96" t="s">
        <v>121</v>
      </c>
      <c r="AA5" s="96" t="s">
        <v>53</v>
      </c>
      <c r="AB5" s="96" t="s">
        <v>122</v>
      </c>
      <c r="AC5" s="96" t="s">
        <v>123</v>
      </c>
      <c r="AD5" s="96" t="s">
        <v>124</v>
      </c>
      <c r="AE5" s="97" t="s">
        <v>288</v>
      </c>
      <c r="AF5" s="98" t="s">
        <v>289</v>
      </c>
    </row>
    <row r="6" spans="1:32" ht="15" customHeight="1" x14ac:dyDescent="0.2">
      <c r="A6" s="99" t="s">
        <v>284</v>
      </c>
      <c r="B6" s="100" t="s">
        <v>290</v>
      </c>
      <c r="C6" s="101" t="s">
        <v>291</v>
      </c>
      <c r="D6" s="100" t="s">
        <v>290</v>
      </c>
      <c r="E6" s="101" t="s">
        <v>307</v>
      </c>
      <c r="F6" s="101" t="s">
        <v>308</v>
      </c>
      <c r="G6" s="99" t="s">
        <v>292</v>
      </c>
      <c r="H6" s="99" t="s">
        <v>293</v>
      </c>
      <c r="I6" s="100" t="s">
        <v>294</v>
      </c>
      <c r="J6" s="100" t="s">
        <v>295</v>
      </c>
      <c r="K6" s="102" t="s">
        <v>296</v>
      </c>
      <c r="L6" s="100" t="s">
        <v>290</v>
      </c>
      <c r="M6" s="101" t="s">
        <v>291</v>
      </c>
      <c r="N6" s="100" t="s">
        <v>290</v>
      </c>
      <c r="O6" s="101" t="s">
        <v>307</v>
      </c>
      <c r="P6" s="101" t="s">
        <v>308</v>
      </c>
      <c r="Q6" s="99" t="s">
        <v>292</v>
      </c>
      <c r="R6" s="99" t="s">
        <v>293</v>
      </c>
      <c r="S6" s="100" t="s">
        <v>294</v>
      </c>
      <c r="T6" s="100" t="s">
        <v>295</v>
      </c>
      <c r="U6" s="102" t="s">
        <v>296</v>
      </c>
      <c r="V6" s="100" t="s">
        <v>290</v>
      </c>
      <c r="W6" s="101" t="s">
        <v>291</v>
      </c>
      <c r="X6" s="100" t="s">
        <v>290</v>
      </c>
      <c r="Y6" s="101" t="s">
        <v>307</v>
      </c>
      <c r="Z6" s="101" t="s">
        <v>308</v>
      </c>
      <c r="AA6" s="99" t="s">
        <v>292</v>
      </c>
      <c r="AB6" s="99" t="s">
        <v>293</v>
      </c>
      <c r="AC6" s="100" t="s">
        <v>294</v>
      </c>
      <c r="AD6" s="100" t="s">
        <v>295</v>
      </c>
      <c r="AE6" s="102" t="s">
        <v>296</v>
      </c>
      <c r="AF6" s="100" t="s">
        <v>290</v>
      </c>
    </row>
    <row r="7" spans="1:32" x14ac:dyDescent="0.2">
      <c r="A7" s="103" t="str">
        <f>'REKAP KUALITAS CPO'!A5</f>
        <v>01 Mar</v>
      </c>
      <c r="B7" s="104">
        <f>IF('REKAP KUALITAS CPO'!B5=0,"-",'REKAP KUALITAS CPO'!B5)</f>
        <v>2506149</v>
      </c>
      <c r="C7" s="103">
        <f>IF('REKAP KUALITAS CPO'!C5=0,"-",'REKAP KUALITAS CPO'!C5)</f>
        <v>4.87</v>
      </c>
      <c r="D7" s="104" t="str" cm="1">
        <f t="array" ref="D7">IF(OR('REKAP KUALITAS CPO'!C5=0,COUNTIF('REKAP KUALITAS CPO'!C$5:C5,"&gt;0")&lt;2),"-",TEXT('REKAP KUALITAS CPO'!C5-LOOKUP(2,1/('REKAP KUALITAS CPO'!C4:C$5&gt;0),'REKAP KUALITAS CPO'!C4:C$5),"+0.00;-0.00;\u2192"))</f>
        <v>-</v>
      </c>
      <c r="E7" s="103">
        <f>IF('REKAP KUALITAS CPO'!D5=0,"-",'REKAP KUALITAS CPO'!D5)</f>
        <v>0.27</v>
      </c>
      <c r="F7" s="103">
        <f>IF('REKAP KUALITAS CPO'!E5=0,"-",'REKAP KUALITAS CPO'!E5)</f>
        <v>1.87</v>
      </c>
      <c r="G7" s="104">
        <f>IF('REKAP KUALITAS CPO'!F5=0,"-",'REKAP KUALITAS CPO'!F5)</f>
        <v>51.72</v>
      </c>
      <c r="H7" s="104">
        <f>IF('REKAP KUALITAS CPO'!G5=0,"-",'REKAP KUALITAS CPO'!G5)</f>
        <v>2.4500000000000002</v>
      </c>
      <c r="I7" s="104">
        <f>IF('REKAP KUALITAS CPO'!H5=0,"-",'REKAP KUALITAS CPO'!H5)</f>
        <v>2.2200000000000002</v>
      </c>
      <c r="J7" s="104">
        <f>IF('REKAP KUALITAS CPO'!I5=0,"-",'REKAP KUALITAS CPO'!I5)</f>
        <v>7.12</v>
      </c>
      <c r="K7" s="105" t="str">
        <f>IF('REKAP KUALITAS CPO'!C5=0,"NO DATA",IF('REKAP KUALITAS CPO'!C5&gt;5,"OVER SPEC",IF(OR('REKAP KUALITAS CPO'!C5&gt;4.5,'REKAP KUALITAS CPO'!D5&gt;0.45,'REKAP KUALITAS CPO'!E5&lt;2.2),"MENDEKATI","AMAN")))</f>
        <v>MENDEKATI</v>
      </c>
      <c r="L7" s="104">
        <f>IF('REKAP KUALITAS CPO'!J5=0,"-",'REKAP KUALITAS CPO'!J5)</f>
        <v>2577692</v>
      </c>
      <c r="M7" s="103">
        <f>IF('REKAP KUALITAS CPO'!K5=0,"-",'REKAP KUALITAS CPO'!K5)</f>
        <v>4.99</v>
      </c>
      <c r="N7" s="104" t="str" cm="1">
        <f t="array" ref="N7">IF(OR('REKAP KUALITAS CPO'!K5=0,COUNTIF('REKAP KUALITAS CPO'!K$5:K5,"&gt;0")&lt;2),"-",TEXT('REKAP KUALITAS CPO'!K5-LOOKUP(2,1/('REKAP KUALITAS CPO'!K4:K$5&gt;0),'REKAP KUALITAS CPO'!K4:K$5),"+0.00;-0.00;\u2192"))</f>
        <v>-</v>
      </c>
      <c r="O7" s="103">
        <f>IF('REKAP KUALITAS CPO'!L5=0,"-",'REKAP KUALITAS CPO'!L5)</f>
        <v>0.27</v>
      </c>
      <c r="P7" s="103">
        <f>IF('REKAP KUALITAS CPO'!M5=0,"-",'REKAP KUALITAS CPO'!M5)</f>
        <v>1.85</v>
      </c>
      <c r="Q7" s="104">
        <f>IF('REKAP KUALITAS CPO'!N5=0,"-",'REKAP KUALITAS CPO'!N5)</f>
        <v>51.9</v>
      </c>
      <c r="R7" s="104">
        <f>IF('REKAP KUALITAS CPO'!O5=0,"-",'REKAP KUALITAS CPO'!O5)</f>
        <v>2.48</v>
      </c>
      <c r="S7" s="104">
        <f>IF('REKAP KUALITAS CPO'!P5=0,"-",'REKAP KUALITAS CPO'!P5)</f>
        <v>2.25</v>
      </c>
      <c r="T7" s="104">
        <f>IF('REKAP KUALITAS CPO'!Q5=0,"-",'REKAP KUALITAS CPO'!Q5)</f>
        <v>7.21</v>
      </c>
      <c r="U7" s="105" t="str">
        <f>IF('REKAP KUALITAS CPO'!K5=0,"NO DATA",IF('REKAP KUALITAS CPO'!K5&gt;5,"OVER SPEC",IF(OR('REKAP KUALITAS CPO'!K5&gt;4.5,'REKAP KUALITAS CPO'!L5&gt;0.45,'REKAP KUALITAS CPO'!M5&lt;2.2),"MENDEKATI","AMAN")))</f>
        <v>MENDEKATI</v>
      </c>
      <c r="V7" s="104">
        <f>IF('REKAP KUALITAS CPO'!R5=0,"-",'REKAP KUALITAS CPO'!R5)</f>
        <v>1885466</v>
      </c>
      <c r="W7" s="103">
        <f>IF('REKAP KUALITAS CPO'!S5=0,"-",'REKAP KUALITAS CPO'!S5)</f>
        <v>5.42</v>
      </c>
      <c r="X7" s="104" t="str" cm="1">
        <f t="array" ref="X7">IF(OR('REKAP KUALITAS CPO'!S5=0,COUNTIF('REKAP KUALITAS CPO'!S$5:S5,"&gt;0")&lt;2),"-",TEXT('REKAP KUALITAS CPO'!S5-LOOKUP(2,1/('REKAP KUALITAS CPO'!S4:S$5&gt;0),'REKAP KUALITAS CPO'!S4:S$5),"+0.00;-0.00;\u2192"))</f>
        <v>-</v>
      </c>
      <c r="Y7" s="103">
        <f>IF('REKAP KUALITAS CPO'!T5=0,"-",'REKAP KUALITAS CPO'!T5)</f>
        <v>0.26</v>
      </c>
      <c r="Z7" s="103">
        <f>IF('REKAP KUALITAS CPO'!U5=0,"-",'REKAP KUALITAS CPO'!U5)</f>
        <v>1.81</v>
      </c>
      <c r="AA7" s="104">
        <f>IF('REKAP KUALITAS CPO'!V5=0,"-",'REKAP KUALITAS CPO'!V5)</f>
        <v>51.9</v>
      </c>
      <c r="AB7" s="104">
        <f>IF('REKAP KUALITAS CPO'!W5=0,"-",'REKAP KUALITAS CPO'!W5)</f>
        <v>2.48</v>
      </c>
      <c r="AC7" s="104">
        <f>IF('REKAP KUALITAS CPO'!X5=0,"-",'REKAP KUALITAS CPO'!X5)</f>
        <v>2.23</v>
      </c>
      <c r="AD7" s="104">
        <f>IF('REKAP KUALITAS CPO'!Y5=0,"-",'REKAP KUALITAS CPO'!Y5)</f>
        <v>7.19</v>
      </c>
      <c r="AE7" s="105" t="str">
        <f>IF('REKAP KUALITAS CPO'!S5=0,"NO DATA",IF('REKAP KUALITAS CPO'!S5&gt;5,"OVER SPEC",IF(OR('REKAP KUALITAS CPO'!S5&gt;4.5,'REKAP KUALITAS CPO'!T5&gt;0.45,'REKAP KUALITAS CPO'!U5&lt;2.2),"MENDEKATI","AMAN")))</f>
        <v>OVER SPEC</v>
      </c>
      <c r="AF7" s="106" t="str">
        <f>IF(AND(K7="NO DATA",U7="NO DATA",AE7="NO DATA"),"Tidak ada data",IF(OR(K7="OVER SPEC",U7="OVER SPEC",AE7="OVER SPEC"),"⚠ "&amp;_xlfn.TEXTJOIN(" | ",TRUE,IF(K7="OVER SPEC","ST01 OVER",""),IF(U7="OVER SPEC","ST02 OVER",""),IF(AE7="OVER SPEC","ST03 OVER","")),IF(OR(K7="MENDEKATI",U7="MENDEKATI",AE7="MENDEKATI"),"⚡ "&amp;_xlfn.TEXTJOIN(" | ",TRUE,IF(K7="MENDEKATI","ST01 MENDEKATI",""),IF(U7="MENDEKATI","ST02 MENDEKATI",""),IF(AE7="MENDEKATI","ST03 MENDEKATI","")),"✓ Semua ST Aman")))</f>
        <v>⚠ ST03 OVER</v>
      </c>
    </row>
    <row r="8" spans="1:32" x14ac:dyDescent="0.2">
      <c r="A8" s="103" t="str">
        <f>'REKAP KUALITAS CPO'!A6</f>
        <v>02 Mar</v>
      </c>
      <c r="B8" s="104">
        <f>IF('REKAP KUALITAS CPO'!B6=0,"-",'REKAP KUALITAS CPO'!B6)</f>
        <v>2506149</v>
      </c>
      <c r="C8" s="103">
        <f>IF('REKAP KUALITAS CPO'!C6=0,"-",'REKAP KUALITAS CPO'!C6)</f>
        <v>4.93</v>
      </c>
      <c r="D8" s="104" t="str" cm="1">
        <f t="array" ref="D8">IF(OR('REKAP KUALITAS CPO'!C6=0,COUNTIF('REKAP KUALITAS CPO'!C$5:C6,"&gt;0")&lt;2),"-",TEXT('REKAP KUALITAS CPO'!C6-LOOKUP(2,1/('REKAP KUALITAS CPO'!C5:C$5&gt;0),'REKAP KUALITAS CPO'!C5:C$5),"+0.00;-0.00;\u2192"))</f>
        <v>+000</v>
      </c>
      <c r="E8" s="103">
        <f>IF('REKAP KUALITAS CPO'!D6=0,"-",'REKAP KUALITAS CPO'!D6)</f>
        <v>0.27</v>
      </c>
      <c r="F8" s="103">
        <f>IF('REKAP KUALITAS CPO'!E6=0,"-",'REKAP KUALITAS CPO'!E6)</f>
        <v>1.87</v>
      </c>
      <c r="G8" s="104">
        <f>IF('REKAP KUALITAS CPO'!F6=0,"-",'REKAP KUALITAS CPO'!F6)</f>
        <v>51.72</v>
      </c>
      <c r="H8" s="104">
        <f>IF('REKAP KUALITAS CPO'!G6=0,"-",'REKAP KUALITAS CPO'!G6)</f>
        <v>2.4500000000000002</v>
      </c>
      <c r="I8" s="104">
        <f>IF('REKAP KUALITAS CPO'!H6=0,"-",'REKAP KUALITAS CPO'!H6)</f>
        <v>2.2200000000000002</v>
      </c>
      <c r="J8" s="104">
        <f>IF('REKAP KUALITAS CPO'!I6=0,"-",'REKAP KUALITAS CPO'!I6)</f>
        <v>7.12</v>
      </c>
      <c r="K8" s="105" t="str">
        <f>IF('REKAP KUALITAS CPO'!C6=0,"NO DATA",IF('REKAP KUALITAS CPO'!C6&gt;5,"OVER SPEC",IF(OR('REKAP KUALITAS CPO'!C6&gt;4.5,'REKAP KUALITAS CPO'!D6&gt;0.45,'REKAP KUALITAS CPO'!E6&lt;2.2),"MENDEKATI","AMAN")))</f>
        <v>MENDEKATI</v>
      </c>
      <c r="L8" s="104">
        <f>IF('REKAP KUALITAS CPO'!J6=0,"-",'REKAP KUALITAS CPO'!J6)</f>
        <v>2577692</v>
      </c>
      <c r="M8" s="103">
        <f>IF('REKAP KUALITAS CPO'!K6=0,"-",'REKAP KUALITAS CPO'!K6)</f>
        <v>5.03</v>
      </c>
      <c r="N8" s="104" t="str" cm="1">
        <f t="array" ref="N8">IF(OR('REKAP KUALITAS CPO'!K6=0,COUNTIF('REKAP KUALITAS CPO'!K$5:K6,"&gt;0")&lt;2),"-",TEXT('REKAP KUALITAS CPO'!K6-LOOKUP(2,1/('REKAP KUALITAS CPO'!K5:K$5&gt;0),'REKAP KUALITAS CPO'!K5:K$5),"+0.00;-0.00;\u2192"))</f>
        <v>+000</v>
      </c>
      <c r="O8" s="103">
        <f>IF('REKAP KUALITAS CPO'!L6=0,"-",'REKAP KUALITAS CPO'!L6)</f>
        <v>0.27</v>
      </c>
      <c r="P8" s="103">
        <f>IF('REKAP KUALITAS CPO'!M6=0,"-",'REKAP KUALITAS CPO'!M6)</f>
        <v>1.85</v>
      </c>
      <c r="Q8" s="104">
        <f>IF('REKAP KUALITAS CPO'!N6=0,"-",'REKAP KUALITAS CPO'!N6)</f>
        <v>51.9</v>
      </c>
      <c r="R8" s="104">
        <f>IF('REKAP KUALITAS CPO'!O6=0,"-",'REKAP KUALITAS CPO'!O6)</f>
        <v>2.48</v>
      </c>
      <c r="S8" s="104">
        <f>IF('REKAP KUALITAS CPO'!P6=0,"-",'REKAP KUALITAS CPO'!P6)</f>
        <v>2.25</v>
      </c>
      <c r="T8" s="104">
        <f>IF('REKAP KUALITAS CPO'!Q6=0,"-",'REKAP KUALITAS CPO'!Q6)</f>
        <v>7.21</v>
      </c>
      <c r="U8" s="105" t="str">
        <f>IF('REKAP KUALITAS CPO'!K6=0,"NO DATA",IF('REKAP KUALITAS CPO'!K6&gt;5,"OVER SPEC",IF(OR('REKAP KUALITAS CPO'!K6&gt;4.5,'REKAP KUALITAS CPO'!L6&gt;0.45,'REKAP KUALITAS CPO'!M6&lt;2.2),"MENDEKATI","AMAN")))</f>
        <v>OVER SPEC</v>
      </c>
      <c r="V8" s="104">
        <f>IF('REKAP KUALITAS CPO'!R6=0,"-",'REKAP KUALITAS CPO'!R6)</f>
        <v>2042706</v>
      </c>
      <c r="W8" s="103">
        <f>IF('REKAP KUALITAS CPO'!S6=0,"-",'REKAP KUALITAS CPO'!S6)</f>
        <v>5.4</v>
      </c>
      <c r="X8" s="104" t="str" cm="1">
        <f t="array" ref="X8">IF(OR('REKAP KUALITAS CPO'!S6=0,COUNTIF('REKAP KUALITAS CPO'!S$5:S6,"&gt;0")&lt;2),"-",TEXT('REKAP KUALITAS CPO'!S6-LOOKUP(2,1/('REKAP KUALITAS CPO'!S5:S$5&gt;0),'REKAP KUALITAS CPO'!S5:S$5),"+0.00;-0.00;\u2192"))</f>
        <v>-000</v>
      </c>
      <c r="Y8" s="103">
        <f>IF('REKAP KUALITAS CPO'!T6=0,"-",'REKAP KUALITAS CPO'!T6)</f>
        <v>0.24</v>
      </c>
      <c r="Z8" s="103">
        <f>IF('REKAP KUALITAS CPO'!U6=0,"-",'REKAP KUALITAS CPO'!U6)</f>
        <v>1.81</v>
      </c>
      <c r="AA8" s="104">
        <f>IF('REKAP KUALITAS CPO'!V6=0,"-",'REKAP KUALITAS CPO'!V6)</f>
        <v>51.9</v>
      </c>
      <c r="AB8" s="104">
        <f>IF('REKAP KUALITAS CPO'!W6=0,"-",'REKAP KUALITAS CPO'!W6)</f>
        <v>2.5</v>
      </c>
      <c r="AC8" s="104">
        <f>IF('REKAP KUALITAS CPO'!X6=0,"-",'REKAP KUALITAS CPO'!X6)</f>
        <v>2.25</v>
      </c>
      <c r="AD8" s="104">
        <f>IF('REKAP KUALITAS CPO'!Y6=0,"-",'REKAP KUALITAS CPO'!Y6)</f>
        <v>7.25</v>
      </c>
      <c r="AE8" s="105" t="str">
        <f>IF('REKAP KUALITAS CPO'!S6=0,"NO DATA",IF('REKAP KUALITAS CPO'!S6&gt;5,"OVER SPEC",IF(OR('REKAP KUALITAS CPO'!S6&gt;4.5,'REKAP KUALITAS CPO'!T6&gt;0.45,'REKAP KUALITAS CPO'!U6&lt;2.2),"MENDEKATI","AMAN")))</f>
        <v>OVER SPEC</v>
      </c>
      <c r="AF8" s="106" t="str">
        <f t="shared" ref="AF8:AF37" si="0">IF(AND(K8="NO DATA",U8="NO DATA",AE8="NO DATA"),"Tidak ada data",IF(OR(K8="OVER SPEC",U8="OVER SPEC",AE8="OVER SPEC"),"⚠ "&amp;_xlfn.TEXTJOIN(" | ",TRUE,IF(K8="OVER SPEC","ST01 OVER",""),IF(U8="OVER SPEC","ST02 OVER",""),IF(AE8="OVER SPEC","ST03 OVER","")),IF(OR(K8="MENDEKATI",U8="MENDEKATI",AE8="MENDEKATI"),"⚡ "&amp;_xlfn.TEXTJOIN(" | ",TRUE,IF(K8="MENDEKATI","ST01 MENDEKATI",""),IF(U8="MENDEKATI","ST02 MENDEKATI",""),IF(AE8="MENDEKATI","ST03 MENDEKATI","")),"✓ Semua ST Aman")))</f>
        <v>⚠ ST02 OVER | ST03 OVER</v>
      </c>
    </row>
    <row r="9" spans="1:32" x14ac:dyDescent="0.2">
      <c r="A9" s="103" t="str">
        <f>'REKAP KUALITAS CPO'!A7</f>
        <v>03 Mar</v>
      </c>
      <c r="B9" s="104">
        <f>IF('REKAP KUALITAS CPO'!B7=0,"-",'REKAP KUALITAS CPO'!B7)</f>
        <v>2506149</v>
      </c>
      <c r="C9" s="103">
        <f>IF('REKAP KUALITAS CPO'!C7=0,"-",'REKAP KUALITAS CPO'!C7)</f>
        <v>4.9400000000000004</v>
      </c>
      <c r="D9" s="104" t="str" cm="1">
        <f t="array" ref="D9">IF(OR('REKAP KUALITAS CPO'!C7=0,COUNTIF('REKAP KUALITAS CPO'!C$5:C7,"&gt;0")&lt;2),"-",TEXT('REKAP KUALITAS CPO'!C7-LOOKUP(2,1/('REKAP KUALITAS CPO'!C$5:C6&gt;0),'REKAP KUALITAS CPO'!C$5:C6),"+0.00;-0.00;\u2192"))</f>
        <v>+000</v>
      </c>
      <c r="E9" s="103">
        <f>IF('REKAP KUALITAS CPO'!D7=0,"-",'REKAP KUALITAS CPO'!D7)</f>
        <v>0.27</v>
      </c>
      <c r="F9" s="103">
        <f>IF('REKAP KUALITAS CPO'!E7=0,"-",'REKAP KUALITAS CPO'!E7)</f>
        <v>1.87</v>
      </c>
      <c r="G9" s="104">
        <f>IF('REKAP KUALITAS CPO'!F7=0,"-",'REKAP KUALITAS CPO'!F7)</f>
        <v>51.72</v>
      </c>
      <c r="H9" s="104">
        <f>IF('REKAP KUALITAS CPO'!G7=0,"-",'REKAP KUALITAS CPO'!G7)</f>
        <v>2.4700000000000002</v>
      </c>
      <c r="I9" s="104">
        <f>IF('REKAP KUALITAS CPO'!H7=0,"-",'REKAP KUALITAS CPO'!H7)</f>
        <v>2.2200000000000002</v>
      </c>
      <c r="J9" s="104">
        <f>IF('REKAP KUALITAS CPO'!I7=0,"-",'REKAP KUALITAS CPO'!I7)</f>
        <v>7.16</v>
      </c>
      <c r="K9" s="105" t="str">
        <f>IF('REKAP KUALITAS CPO'!C7=0,"NO DATA",IF('REKAP KUALITAS CPO'!C7&gt;5,"OVER SPEC",IF(OR('REKAP KUALITAS CPO'!C7&gt;4.5,'REKAP KUALITAS CPO'!D7&gt;0.45,'REKAP KUALITAS CPO'!E7&lt;2.2),"MENDEKATI","AMAN")))</f>
        <v>MENDEKATI</v>
      </c>
      <c r="L9" s="104">
        <f>IF('REKAP KUALITAS CPO'!J7=0,"-",'REKAP KUALITAS CPO'!J7)</f>
        <v>2577692</v>
      </c>
      <c r="M9" s="103">
        <f>IF('REKAP KUALITAS CPO'!K7=0,"-",'REKAP KUALITAS CPO'!K7)</f>
        <v>5.05</v>
      </c>
      <c r="N9" s="104" t="str" cm="1">
        <f t="array" ref="N9">IF(OR('REKAP KUALITAS CPO'!K7=0,COUNTIF('REKAP KUALITAS CPO'!K$5:K7,"&gt;0")&lt;2),"-",TEXT('REKAP KUALITAS CPO'!K7-LOOKUP(2,1/('REKAP KUALITAS CPO'!K$5:K6&gt;0),'REKAP KUALITAS CPO'!K$5:K6),"+0.00;-0.00;\u2192"))</f>
        <v>+000</v>
      </c>
      <c r="O9" s="103">
        <f>IF('REKAP KUALITAS CPO'!L7=0,"-",'REKAP KUALITAS CPO'!L7)</f>
        <v>0.27</v>
      </c>
      <c r="P9" s="103">
        <f>IF('REKAP KUALITAS CPO'!M7=0,"-",'REKAP KUALITAS CPO'!M7)</f>
        <v>1.85</v>
      </c>
      <c r="Q9" s="104">
        <f>IF('REKAP KUALITAS CPO'!N7=0,"-",'REKAP KUALITAS CPO'!N7)</f>
        <v>51.9</v>
      </c>
      <c r="R9" s="104">
        <f>IF('REKAP KUALITAS CPO'!O7=0,"-",'REKAP KUALITAS CPO'!O7)</f>
        <v>2.48</v>
      </c>
      <c r="S9" s="104">
        <f>IF('REKAP KUALITAS CPO'!P7=0,"-",'REKAP KUALITAS CPO'!P7)</f>
        <v>2.25</v>
      </c>
      <c r="T9" s="104">
        <f>IF('REKAP KUALITAS CPO'!Q7=0,"-",'REKAP KUALITAS CPO'!Q7)</f>
        <v>7.21</v>
      </c>
      <c r="U9" s="105" t="str">
        <f>IF('REKAP KUALITAS CPO'!K7=0,"NO DATA",IF('REKAP KUALITAS CPO'!K7&gt;5,"OVER SPEC",IF(OR('REKAP KUALITAS CPO'!K7&gt;4.5,'REKAP KUALITAS CPO'!L7&gt;0.45,'REKAP KUALITAS CPO'!M7&lt;2.2),"MENDEKATI","AMAN")))</f>
        <v>OVER SPEC</v>
      </c>
      <c r="V9" s="104">
        <f>IF('REKAP KUALITAS CPO'!R7=0,"-",'REKAP KUALITAS CPO'!R7)</f>
        <v>2142966</v>
      </c>
      <c r="W9" s="103">
        <f>IF('REKAP KUALITAS CPO'!S7=0,"-",'REKAP KUALITAS CPO'!S7)</f>
        <v>5.38</v>
      </c>
      <c r="X9" s="104" t="str" cm="1">
        <f t="array" ref="X9">IF(OR('REKAP KUALITAS CPO'!S7=0,COUNTIF('REKAP KUALITAS CPO'!S$5:S7,"&gt;0")&lt;2),"-",TEXT('REKAP KUALITAS CPO'!S7-LOOKUP(2,1/('REKAP KUALITAS CPO'!S$5:S6&gt;0),'REKAP KUALITAS CPO'!S$5:S6),"+0.00;-0.00;\u2192"))</f>
        <v>-000</v>
      </c>
      <c r="Y9" s="103">
        <f>IF('REKAP KUALITAS CPO'!T7=0,"-",'REKAP KUALITAS CPO'!T7)</f>
        <v>0.24</v>
      </c>
      <c r="Z9" s="103">
        <f>IF('REKAP KUALITAS CPO'!U7=0,"-",'REKAP KUALITAS CPO'!U7)</f>
        <v>1.81</v>
      </c>
      <c r="AA9" s="104">
        <f>IF('REKAP KUALITAS CPO'!V7=0,"-",'REKAP KUALITAS CPO'!V7)</f>
        <v>51.9</v>
      </c>
      <c r="AB9" s="104">
        <f>IF('REKAP KUALITAS CPO'!W7=0,"-",'REKAP KUALITAS CPO'!W7)</f>
        <v>2.5</v>
      </c>
      <c r="AC9" s="104">
        <f>IF('REKAP KUALITAS CPO'!X7=0,"-",'REKAP KUALITAS CPO'!X7)</f>
        <v>2.25</v>
      </c>
      <c r="AD9" s="104">
        <f>IF('REKAP KUALITAS CPO'!Y7=0,"-",'REKAP KUALITAS CPO'!Y7)</f>
        <v>7.25</v>
      </c>
      <c r="AE9" s="105" t="str">
        <f>IF('REKAP KUALITAS CPO'!S7=0,"NO DATA",IF('REKAP KUALITAS CPO'!S7&gt;5,"OVER SPEC",IF(OR('REKAP KUALITAS CPO'!S7&gt;4.5,'REKAP KUALITAS CPO'!T7&gt;0.45,'REKAP KUALITAS CPO'!U7&lt;2.2),"MENDEKATI","AMAN")))</f>
        <v>OVER SPEC</v>
      </c>
      <c r="AF9" s="106" t="str">
        <f t="shared" si="0"/>
        <v>⚠ ST02 OVER | ST03 OVER</v>
      </c>
    </row>
    <row r="10" spans="1:32" x14ac:dyDescent="0.2">
      <c r="A10" s="103" t="str">
        <f>'REKAP KUALITAS CPO'!A8</f>
        <v>04 Mar</v>
      </c>
      <c r="B10" s="104" t="str">
        <f>IF('REKAP KUALITAS CPO'!B8=0,"-",'REKAP KUALITAS CPO'!B8)</f>
        <v>-</v>
      </c>
      <c r="C10" s="103" t="str">
        <f>IF('REKAP KUALITAS CPO'!C8=0,"-",'REKAP KUALITAS CPO'!C8)</f>
        <v>-</v>
      </c>
      <c r="D10" s="104" t="str" cm="1">
        <f t="array" ref="D10">IF(OR('REKAP KUALITAS CPO'!C8=0,COUNTIF('REKAP KUALITAS CPO'!C$5:C8,"&gt;0")&lt;2),"-",TEXT('REKAP KUALITAS CPO'!C8-LOOKUP(2,1/('REKAP KUALITAS CPO'!C$5:C7&gt;0),'REKAP KUALITAS CPO'!C$5:C7),"+0.00;-0.00;\u2192"))</f>
        <v>-</v>
      </c>
      <c r="E10" s="103" t="str">
        <f>IF('REKAP KUALITAS CPO'!D8=0,"-",'REKAP KUALITAS CPO'!D8)</f>
        <v>-</v>
      </c>
      <c r="F10" s="103" t="str">
        <f>IF('REKAP KUALITAS CPO'!E8=0,"-",'REKAP KUALITAS CPO'!E8)</f>
        <v>-</v>
      </c>
      <c r="G10" s="104" t="str">
        <f>IF('REKAP KUALITAS CPO'!F8=0,"-",'REKAP KUALITAS CPO'!F8)</f>
        <v>-</v>
      </c>
      <c r="H10" s="104" t="str">
        <f>IF('REKAP KUALITAS CPO'!G8=0,"-",'REKAP KUALITAS CPO'!G8)</f>
        <v>-</v>
      </c>
      <c r="I10" s="104" t="str">
        <f>IF('REKAP KUALITAS CPO'!H8=0,"-",'REKAP KUALITAS CPO'!H8)</f>
        <v>-</v>
      </c>
      <c r="J10" s="104" t="str">
        <f>IF('REKAP KUALITAS CPO'!I8=0,"-",'REKAP KUALITAS CPO'!I8)</f>
        <v>-</v>
      </c>
      <c r="K10" s="105" t="str">
        <f>IF('REKAP KUALITAS CPO'!C8=0,"NO DATA",IF('REKAP KUALITAS CPO'!C8&gt;5,"OVER SPEC",IF(OR('REKAP KUALITAS CPO'!C8&gt;4.5,'REKAP KUALITAS CPO'!D8&gt;0.45,'REKAP KUALITAS CPO'!E8&lt;2.2),"MENDEKATI","AMAN")))</f>
        <v>NO DATA</v>
      </c>
      <c r="L10" s="104" t="str">
        <f>IF('REKAP KUALITAS CPO'!J8=0,"-",'REKAP KUALITAS CPO'!J8)</f>
        <v>-</v>
      </c>
      <c r="M10" s="103" t="str">
        <f>IF('REKAP KUALITAS CPO'!K8=0,"-",'REKAP KUALITAS CPO'!K8)</f>
        <v>-</v>
      </c>
      <c r="N10" s="104" t="str" cm="1">
        <f t="array" ref="N10">IF(OR('REKAP KUALITAS CPO'!K8=0,COUNTIF('REKAP KUALITAS CPO'!K$5:K8,"&gt;0")&lt;2),"-",TEXT('REKAP KUALITAS CPO'!K8-LOOKUP(2,1/('REKAP KUALITAS CPO'!K$5:K7&gt;0),'REKAP KUALITAS CPO'!K$5:K7),"+0.00;-0.00;\u2192"))</f>
        <v>-</v>
      </c>
      <c r="O10" s="103" t="str">
        <f>IF('REKAP KUALITAS CPO'!L8=0,"-",'REKAP KUALITAS CPO'!L8)</f>
        <v>-</v>
      </c>
      <c r="P10" s="103" t="str">
        <f>IF('REKAP KUALITAS CPO'!M8=0,"-",'REKAP KUALITAS CPO'!M8)</f>
        <v>-</v>
      </c>
      <c r="Q10" s="104" t="str">
        <f>IF('REKAP KUALITAS CPO'!N8=0,"-",'REKAP KUALITAS CPO'!N8)</f>
        <v>-</v>
      </c>
      <c r="R10" s="104" t="str">
        <f>IF('REKAP KUALITAS CPO'!O8=0,"-",'REKAP KUALITAS CPO'!O8)</f>
        <v>-</v>
      </c>
      <c r="S10" s="104" t="str">
        <f>IF('REKAP KUALITAS CPO'!P8=0,"-",'REKAP KUALITAS CPO'!P8)</f>
        <v>-</v>
      </c>
      <c r="T10" s="104" t="str">
        <f>IF('REKAP KUALITAS CPO'!Q8=0,"-",'REKAP KUALITAS CPO'!Q8)</f>
        <v>-</v>
      </c>
      <c r="U10" s="105" t="str">
        <f>IF('REKAP KUALITAS CPO'!K8=0,"NO DATA",IF('REKAP KUALITAS CPO'!K8&gt;5,"OVER SPEC",IF(OR('REKAP KUALITAS CPO'!K8&gt;4.5,'REKAP KUALITAS CPO'!L8&gt;0.45,'REKAP KUALITAS CPO'!M8&lt;2.2),"MENDEKATI","AMAN")))</f>
        <v>NO DATA</v>
      </c>
      <c r="V10" s="104" t="str">
        <f>IF('REKAP KUALITAS CPO'!R8=0,"-",'REKAP KUALITAS CPO'!R8)</f>
        <v>-</v>
      </c>
      <c r="W10" s="103" t="str">
        <f>IF('REKAP KUALITAS CPO'!S8=0,"-",'REKAP KUALITAS CPO'!S8)</f>
        <v>-</v>
      </c>
      <c r="X10" s="104" t="str" cm="1">
        <f t="array" ref="X10">IF(OR('REKAP KUALITAS CPO'!S8=0,COUNTIF('REKAP KUALITAS CPO'!S$5:S8,"&gt;0")&lt;2),"-",TEXT('REKAP KUALITAS CPO'!S8-LOOKUP(2,1/('REKAP KUALITAS CPO'!S$5:S7&gt;0),'REKAP KUALITAS CPO'!S$5:S7),"+0.00;-0.00;\u2192"))</f>
        <v>-</v>
      </c>
      <c r="Y10" s="103" t="str">
        <f>IF('REKAP KUALITAS CPO'!T8=0,"-",'REKAP KUALITAS CPO'!T8)</f>
        <v>-</v>
      </c>
      <c r="Z10" s="103" t="str">
        <f>IF('REKAP KUALITAS CPO'!U8=0,"-",'REKAP KUALITAS CPO'!U8)</f>
        <v>-</v>
      </c>
      <c r="AA10" s="104" t="str">
        <f>IF('REKAP KUALITAS CPO'!V8=0,"-",'REKAP KUALITAS CPO'!V8)</f>
        <v>-</v>
      </c>
      <c r="AB10" s="104" t="str">
        <f>IF('REKAP KUALITAS CPO'!W8=0,"-",'REKAP KUALITAS CPO'!W8)</f>
        <v>-</v>
      </c>
      <c r="AC10" s="104" t="str">
        <f>IF('REKAP KUALITAS CPO'!X8=0,"-",'REKAP KUALITAS CPO'!X8)</f>
        <v>-</v>
      </c>
      <c r="AD10" s="104" t="str">
        <f>IF('REKAP KUALITAS CPO'!Y8=0,"-",'REKAP KUALITAS CPO'!Y8)</f>
        <v>-</v>
      </c>
      <c r="AE10" s="105" t="str">
        <f>IF('REKAP KUALITAS CPO'!S8=0,"NO DATA",IF('REKAP KUALITAS CPO'!S8&gt;5,"OVER SPEC",IF(OR('REKAP KUALITAS CPO'!S8&gt;4.5,'REKAP KUALITAS CPO'!T8&gt;0.45,'REKAP KUALITAS CPO'!U8&lt;2.2),"MENDEKATI","AMAN")))</f>
        <v>NO DATA</v>
      </c>
      <c r="AF10" s="106" t="str">
        <f t="shared" si="0"/>
        <v>Tidak ada data</v>
      </c>
    </row>
    <row r="11" spans="1:32" x14ac:dyDescent="0.2">
      <c r="A11" s="103" t="str">
        <f>'REKAP KUALITAS CPO'!A9</f>
        <v>05 Mar</v>
      </c>
      <c r="B11" s="104">
        <f>IF('REKAP KUALITAS CPO'!B9=0,"-",'REKAP KUALITAS CPO'!B9)</f>
        <v>2506149</v>
      </c>
      <c r="C11" s="103">
        <f>IF('REKAP KUALITAS CPO'!C9=0,"-",'REKAP KUALITAS CPO'!C9)</f>
        <v>4.9800000000000004</v>
      </c>
      <c r="D11" s="104" t="str" cm="1">
        <f t="array" ref="D11">IF(OR('REKAP KUALITAS CPO'!C9=0,COUNTIF('REKAP KUALITAS CPO'!C$5:C9,"&gt;0")&lt;2),"-",TEXT('REKAP KUALITAS CPO'!C9-LOOKUP(2,1/('REKAP KUALITAS CPO'!C$5:C8&gt;0),'REKAP KUALITAS CPO'!C$5:C8),"+0.00;-0.00;\u2192"))</f>
        <v>+000</v>
      </c>
      <c r="E11" s="103">
        <f>IF('REKAP KUALITAS CPO'!D9=0,"-",'REKAP KUALITAS CPO'!D9)</f>
        <v>0.27</v>
      </c>
      <c r="F11" s="103">
        <f>IF('REKAP KUALITAS CPO'!E9=0,"-",'REKAP KUALITAS CPO'!E9)</f>
        <v>1.87</v>
      </c>
      <c r="G11" s="104">
        <f>IF('REKAP KUALITAS CPO'!F9=0,"-",'REKAP KUALITAS CPO'!F9)</f>
        <v>51.72</v>
      </c>
      <c r="H11" s="104">
        <f>IF('REKAP KUALITAS CPO'!G9=0,"-",'REKAP KUALITAS CPO'!G9)</f>
        <v>2.5</v>
      </c>
      <c r="I11" s="104">
        <f>IF('REKAP KUALITAS CPO'!H9=0,"-",'REKAP KUALITAS CPO'!H9)</f>
        <v>2.2999999999999998</v>
      </c>
      <c r="J11" s="104">
        <f>IF('REKAP KUALITAS CPO'!I9=0,"-",'REKAP KUALITAS CPO'!I9)</f>
        <v>7.3</v>
      </c>
      <c r="K11" s="105" t="str">
        <f>IF('REKAP KUALITAS CPO'!C9=0,"NO DATA",IF('REKAP KUALITAS CPO'!C9&gt;5,"OVER SPEC",IF(OR('REKAP KUALITAS CPO'!C9&gt;4.5,'REKAP KUALITAS CPO'!D9&gt;0.45,'REKAP KUALITAS CPO'!E9&lt;2.2),"MENDEKATI","AMAN")))</f>
        <v>MENDEKATI</v>
      </c>
      <c r="L11" s="104">
        <f>IF('REKAP KUALITAS CPO'!J9=0,"-",'REKAP KUALITAS CPO'!J9)</f>
        <v>2577692</v>
      </c>
      <c r="M11" s="103">
        <f>IF('REKAP KUALITAS CPO'!K9=0,"-",'REKAP KUALITAS CPO'!K9)</f>
        <v>5.09</v>
      </c>
      <c r="N11" s="104" t="str" cm="1">
        <f t="array" ref="N11">IF(OR('REKAP KUALITAS CPO'!K9=0,COUNTIF('REKAP KUALITAS CPO'!K$5:K9,"&gt;0")&lt;2),"-",TEXT('REKAP KUALITAS CPO'!K9-LOOKUP(2,1/('REKAP KUALITAS CPO'!K$5:K8&gt;0),'REKAP KUALITAS CPO'!K$5:K8),"+0.00;-0.00;\u2192"))</f>
        <v>+000</v>
      </c>
      <c r="O11" s="103">
        <f>IF('REKAP KUALITAS CPO'!L9=0,"-",'REKAP KUALITAS CPO'!L9)</f>
        <v>0.27</v>
      </c>
      <c r="P11" s="103">
        <f>IF('REKAP KUALITAS CPO'!M9=0,"-",'REKAP KUALITAS CPO'!M9)</f>
        <v>1.85</v>
      </c>
      <c r="Q11" s="104">
        <f>IF('REKAP KUALITAS CPO'!N9=0,"-",'REKAP KUALITAS CPO'!N9)</f>
        <v>51.9</v>
      </c>
      <c r="R11" s="104">
        <f>IF('REKAP KUALITAS CPO'!O9=0,"-",'REKAP KUALITAS CPO'!O9)</f>
        <v>2.4900000000000002</v>
      </c>
      <c r="S11" s="104">
        <f>IF('REKAP KUALITAS CPO'!P9=0,"-",'REKAP KUALITAS CPO'!P9)</f>
        <v>2.35</v>
      </c>
      <c r="T11" s="104">
        <f>IF('REKAP KUALITAS CPO'!Q9=0,"-",'REKAP KUALITAS CPO'!Q9)</f>
        <v>7.33</v>
      </c>
      <c r="U11" s="105" t="str">
        <f>IF('REKAP KUALITAS CPO'!K9=0,"NO DATA",IF('REKAP KUALITAS CPO'!K9&gt;5,"OVER SPEC",IF(OR('REKAP KUALITAS CPO'!K9&gt;4.5,'REKAP KUALITAS CPO'!L9&gt;0.45,'REKAP KUALITAS CPO'!M9&lt;2.2),"MENDEKATI","AMAN")))</f>
        <v>OVER SPEC</v>
      </c>
      <c r="V11" s="104">
        <f>IF('REKAP KUALITAS CPO'!R9=0,"-",'REKAP KUALITAS CPO'!R9)</f>
        <v>2342896</v>
      </c>
      <c r="W11" s="103">
        <f>IF('REKAP KUALITAS CPO'!S9=0,"-",'REKAP KUALITAS CPO'!S9)</f>
        <v>5.34</v>
      </c>
      <c r="X11" s="104" t="str" cm="1">
        <f t="array" ref="X11">IF(OR('REKAP KUALITAS CPO'!S9=0,COUNTIF('REKAP KUALITAS CPO'!S$5:S9,"&gt;0")&lt;2),"-",TEXT('REKAP KUALITAS CPO'!S9-LOOKUP(2,1/('REKAP KUALITAS CPO'!S$5:S8&gt;0),'REKAP KUALITAS CPO'!S$5:S8),"+0.00;-0.00;\u2192"))</f>
        <v>-000</v>
      </c>
      <c r="Y11" s="103">
        <f>IF('REKAP KUALITAS CPO'!T9=0,"-",'REKAP KUALITAS CPO'!T9)</f>
        <v>0.24</v>
      </c>
      <c r="Z11" s="103">
        <f>IF('REKAP KUALITAS CPO'!U9=0,"-",'REKAP KUALITAS CPO'!U9)</f>
        <v>1.81</v>
      </c>
      <c r="AA11" s="104">
        <f>IF('REKAP KUALITAS CPO'!V9=0,"-",'REKAP KUALITAS CPO'!V9)</f>
        <v>51.8</v>
      </c>
      <c r="AB11" s="104">
        <f>IF('REKAP KUALITAS CPO'!W9=0,"-",'REKAP KUALITAS CPO'!W9)</f>
        <v>2.4</v>
      </c>
      <c r="AC11" s="104">
        <f>IF('REKAP KUALITAS CPO'!X9=0,"-",'REKAP KUALITAS CPO'!X9)</f>
        <v>2.15</v>
      </c>
      <c r="AD11" s="104">
        <f>IF('REKAP KUALITAS CPO'!Y9=0,"-",'REKAP KUALITAS CPO'!Y9)</f>
        <v>6.95</v>
      </c>
      <c r="AE11" s="105" t="str">
        <f>IF('REKAP KUALITAS CPO'!S9=0,"NO DATA",IF('REKAP KUALITAS CPO'!S9&gt;5,"OVER SPEC",IF(OR('REKAP KUALITAS CPO'!S9&gt;4.5,'REKAP KUALITAS CPO'!T9&gt;0.45,'REKAP KUALITAS CPO'!U9&lt;2.2),"MENDEKATI","AMAN")))</f>
        <v>OVER SPEC</v>
      </c>
      <c r="AF11" s="106" t="str">
        <f t="shared" si="0"/>
        <v>⚠ ST02 OVER | ST03 OVER</v>
      </c>
    </row>
    <row r="12" spans="1:32" x14ac:dyDescent="0.2">
      <c r="A12" s="103" t="str">
        <f>'REKAP KUALITAS CPO'!A10</f>
        <v>06 Mar</v>
      </c>
      <c r="B12" s="104">
        <f>IF('REKAP KUALITAS CPO'!B10=0,"-",'REKAP KUALITAS CPO'!B10)</f>
        <v>2506149</v>
      </c>
      <c r="C12" s="103">
        <f>IF('REKAP KUALITAS CPO'!C10=0,"-",'REKAP KUALITAS CPO'!C10)</f>
        <v>4.9800000000000004</v>
      </c>
      <c r="D12" s="104" t="str" cm="1">
        <f t="array" ref="D12">IF(OR('REKAP KUALITAS CPO'!C10=0,COUNTIF('REKAP KUALITAS CPO'!C$5:C10,"&gt;0")&lt;2),"-",TEXT('REKAP KUALITAS CPO'!C10-LOOKUP(2,1/('REKAP KUALITAS CPO'!C$5:C9&gt;0),'REKAP KUALITAS CPO'!C$5:C9),"+0.00;-0.00;\u2192"))</f>
        <v>u2192</v>
      </c>
      <c r="E12" s="103">
        <f>IF('REKAP KUALITAS CPO'!D10=0,"-",'REKAP KUALITAS CPO'!D10)</f>
        <v>0.27</v>
      </c>
      <c r="F12" s="103">
        <f>IF('REKAP KUALITAS CPO'!E10=0,"-",'REKAP KUALITAS CPO'!E10)</f>
        <v>1.87</v>
      </c>
      <c r="G12" s="104">
        <f>IF('REKAP KUALITAS CPO'!F10=0,"-",'REKAP KUALITAS CPO'!F10)</f>
        <v>51.72</v>
      </c>
      <c r="H12" s="104">
        <f>IF('REKAP KUALITAS CPO'!G10=0,"-",'REKAP KUALITAS CPO'!G10)</f>
        <v>2.5</v>
      </c>
      <c r="I12" s="104">
        <f>IF('REKAP KUALITAS CPO'!H10=0,"-",'REKAP KUALITAS CPO'!H10)</f>
        <v>2.2999999999999998</v>
      </c>
      <c r="J12" s="104">
        <f>IF('REKAP KUALITAS CPO'!I10=0,"-",'REKAP KUALITAS CPO'!I10)</f>
        <v>7.3</v>
      </c>
      <c r="K12" s="105" t="str">
        <f>IF('REKAP KUALITAS CPO'!C10=0,"NO DATA",IF('REKAP KUALITAS CPO'!C10&gt;5,"OVER SPEC",IF(OR('REKAP KUALITAS CPO'!C10&gt;4.5,'REKAP KUALITAS CPO'!D10&gt;0.45,'REKAP KUALITAS CPO'!E10&lt;2.2),"MENDEKATI","AMAN")))</f>
        <v>MENDEKATI</v>
      </c>
      <c r="L12" s="104">
        <f>IF('REKAP KUALITAS CPO'!J10=0,"-",'REKAP KUALITAS CPO'!J10)</f>
        <v>2577692</v>
      </c>
      <c r="M12" s="103">
        <f>IF('REKAP KUALITAS CPO'!K10=0,"-",'REKAP KUALITAS CPO'!K10)</f>
        <v>5.09</v>
      </c>
      <c r="N12" s="104" t="str" cm="1">
        <f t="array" ref="N12">IF(OR('REKAP KUALITAS CPO'!K10=0,COUNTIF('REKAP KUALITAS CPO'!K$5:K10,"&gt;0")&lt;2),"-",TEXT('REKAP KUALITAS CPO'!K10-LOOKUP(2,1/('REKAP KUALITAS CPO'!K$5:K9&gt;0),'REKAP KUALITAS CPO'!K$5:K9),"+0.00;-0.00;\u2192"))</f>
        <v>u2192</v>
      </c>
      <c r="O12" s="103">
        <f>IF('REKAP KUALITAS CPO'!L10=0,"-",'REKAP KUALITAS CPO'!L10)</f>
        <v>0.27</v>
      </c>
      <c r="P12" s="103">
        <f>IF('REKAP KUALITAS CPO'!M10=0,"-",'REKAP KUALITAS CPO'!M10)</f>
        <v>1.85</v>
      </c>
      <c r="Q12" s="104">
        <f>IF('REKAP KUALITAS CPO'!N10=0,"-",'REKAP KUALITAS CPO'!N10)</f>
        <v>51.9</v>
      </c>
      <c r="R12" s="104">
        <f>IF('REKAP KUALITAS CPO'!O10=0,"-",'REKAP KUALITAS CPO'!O10)</f>
        <v>2.4900000000000002</v>
      </c>
      <c r="S12" s="104">
        <f>IF('REKAP KUALITAS CPO'!P10=0,"-",'REKAP KUALITAS CPO'!P10)</f>
        <v>2.35</v>
      </c>
      <c r="T12" s="104">
        <f>IF('REKAP KUALITAS CPO'!Q10=0,"-",'REKAP KUALITAS CPO'!Q10)</f>
        <v>7.33</v>
      </c>
      <c r="U12" s="105" t="str">
        <f>IF('REKAP KUALITAS CPO'!K10=0,"NO DATA",IF('REKAP KUALITAS CPO'!K10&gt;5,"OVER SPEC",IF(OR('REKAP KUALITAS CPO'!K10&gt;4.5,'REKAP KUALITAS CPO'!L10&gt;0.45,'REKAP KUALITAS CPO'!M10&lt;2.2),"MENDEKATI","AMAN")))</f>
        <v>OVER SPEC</v>
      </c>
      <c r="V12" s="104">
        <f>IF('REKAP KUALITAS CPO'!R10=0,"-",'REKAP KUALITAS CPO'!R10)</f>
        <v>2443036</v>
      </c>
      <c r="W12" s="103">
        <f>IF('REKAP KUALITAS CPO'!S10=0,"-",'REKAP KUALITAS CPO'!S10)</f>
        <v>5.3</v>
      </c>
      <c r="X12" s="104" t="str" cm="1">
        <f t="array" ref="X12">IF(OR('REKAP KUALITAS CPO'!S10=0,COUNTIF('REKAP KUALITAS CPO'!S$5:S10,"&gt;0")&lt;2),"-",TEXT('REKAP KUALITAS CPO'!S10-LOOKUP(2,1/('REKAP KUALITAS CPO'!S$5:S9&gt;0),'REKAP KUALITAS CPO'!S$5:S9),"+0.00;-0.00;\u2192"))</f>
        <v>-000</v>
      </c>
      <c r="Y12" s="103">
        <f>IF('REKAP KUALITAS CPO'!T10=0,"-",'REKAP KUALITAS CPO'!T10)</f>
        <v>0.32</v>
      </c>
      <c r="Z12" s="103">
        <f>IF('REKAP KUALITAS CPO'!U10=0,"-",'REKAP KUALITAS CPO'!U10)</f>
        <v>1.81</v>
      </c>
      <c r="AA12" s="104">
        <f>IF('REKAP KUALITAS CPO'!V10=0,"-",'REKAP KUALITAS CPO'!V10)</f>
        <v>51.81</v>
      </c>
      <c r="AB12" s="104">
        <f>IF('REKAP KUALITAS CPO'!W10=0,"-",'REKAP KUALITAS CPO'!W10)</f>
        <v>2.37</v>
      </c>
      <c r="AC12" s="104">
        <f>IF('REKAP KUALITAS CPO'!X10=0,"-",'REKAP KUALITAS CPO'!X10)</f>
        <v>2.12</v>
      </c>
      <c r="AD12" s="104">
        <f>IF('REKAP KUALITAS CPO'!Y10=0,"-",'REKAP KUALITAS CPO'!Y10)</f>
        <v>6.86</v>
      </c>
      <c r="AE12" s="105" t="str">
        <f>IF('REKAP KUALITAS CPO'!S10=0,"NO DATA",IF('REKAP KUALITAS CPO'!S10&gt;5,"OVER SPEC",IF(OR('REKAP KUALITAS CPO'!S10&gt;4.5,'REKAP KUALITAS CPO'!T10&gt;0.45,'REKAP KUALITAS CPO'!U10&lt;2.2),"MENDEKATI","AMAN")))</f>
        <v>OVER SPEC</v>
      </c>
      <c r="AF12" s="106" t="str">
        <f t="shared" si="0"/>
        <v>⚠ ST02 OVER | ST03 OVER</v>
      </c>
    </row>
    <row r="13" spans="1:32" x14ac:dyDescent="0.2">
      <c r="A13" s="103" t="str">
        <f>'REKAP KUALITAS CPO'!A11</f>
        <v>07 Mar</v>
      </c>
      <c r="B13" s="104">
        <f>IF('REKAP KUALITAS CPO'!B11=0,"-",'REKAP KUALITAS CPO'!B11)</f>
        <v>2506149</v>
      </c>
      <c r="C13" s="103">
        <f>IF('REKAP KUALITAS CPO'!C11=0,"-",'REKAP KUALITAS CPO'!C11)</f>
        <v>4.9800000000000004</v>
      </c>
      <c r="D13" s="104" t="str" cm="1">
        <f t="array" ref="D13">IF(OR('REKAP KUALITAS CPO'!C11=0,COUNTIF('REKAP KUALITAS CPO'!C$5:C11,"&gt;0")&lt;2),"-",TEXT('REKAP KUALITAS CPO'!C11-LOOKUP(2,1/('REKAP KUALITAS CPO'!C$5:C10&gt;0),'REKAP KUALITAS CPO'!C$5:C10),"+0.00;-0.00;\u2192"))</f>
        <v>u2192</v>
      </c>
      <c r="E13" s="103">
        <f>IF('REKAP KUALITAS CPO'!D11=0,"-",'REKAP KUALITAS CPO'!D11)</f>
        <v>0.27</v>
      </c>
      <c r="F13" s="103">
        <f>IF('REKAP KUALITAS CPO'!E11=0,"-",'REKAP KUALITAS CPO'!E11)</f>
        <v>1.87</v>
      </c>
      <c r="G13" s="104">
        <f>IF('REKAP KUALITAS CPO'!F11=0,"-",'REKAP KUALITAS CPO'!F11)</f>
        <v>51.72</v>
      </c>
      <c r="H13" s="104">
        <f>IF('REKAP KUALITAS CPO'!G11=0,"-",'REKAP KUALITAS CPO'!G11)</f>
        <v>2.5</v>
      </c>
      <c r="I13" s="104">
        <f>IF('REKAP KUALITAS CPO'!H11=0,"-",'REKAP KUALITAS CPO'!H11)</f>
        <v>2.2999999999999998</v>
      </c>
      <c r="J13" s="104">
        <f>IF('REKAP KUALITAS CPO'!I11=0,"-",'REKAP KUALITAS CPO'!I11)</f>
        <v>7.3</v>
      </c>
      <c r="K13" s="105" t="str">
        <f>IF('REKAP KUALITAS CPO'!C11=0,"NO DATA",IF('REKAP KUALITAS CPO'!C11&gt;5,"OVER SPEC",IF(OR('REKAP KUALITAS CPO'!C11&gt;4.5,'REKAP KUALITAS CPO'!D11&gt;0.45,'REKAP KUALITAS CPO'!E11&lt;2.2),"MENDEKATI","AMAN")))</f>
        <v>MENDEKATI</v>
      </c>
      <c r="L13" s="104">
        <f>IF('REKAP KUALITAS CPO'!J11=0,"-",'REKAP KUALITAS CPO'!J11)</f>
        <v>2577692</v>
      </c>
      <c r="M13" s="103">
        <f>IF('REKAP KUALITAS CPO'!K11=0,"-",'REKAP KUALITAS CPO'!K11)</f>
        <v>5.13</v>
      </c>
      <c r="N13" s="104" t="str" cm="1">
        <f t="array" ref="N13">IF(OR('REKAP KUALITAS CPO'!K11=0,COUNTIF('REKAP KUALITAS CPO'!K$5:K11,"&gt;0")&lt;2),"-",TEXT('REKAP KUALITAS CPO'!K11-LOOKUP(2,1/('REKAP KUALITAS CPO'!K$5:K10&gt;0),'REKAP KUALITAS CPO'!K$5:K10),"+0.00;-0.00;\u2192"))</f>
        <v>+000</v>
      </c>
      <c r="O13" s="103">
        <f>IF('REKAP KUALITAS CPO'!L11=0,"-",'REKAP KUALITAS CPO'!L11)</f>
        <v>0.27</v>
      </c>
      <c r="P13" s="103">
        <f>IF('REKAP KUALITAS CPO'!M11=0,"-",'REKAP KUALITAS CPO'!M11)</f>
        <v>1.85</v>
      </c>
      <c r="Q13" s="104">
        <f>IF('REKAP KUALITAS CPO'!N11=0,"-",'REKAP KUALITAS CPO'!N11)</f>
        <v>51.9</v>
      </c>
      <c r="R13" s="104">
        <f>IF('REKAP KUALITAS CPO'!O11=0,"-",'REKAP KUALITAS CPO'!O11)</f>
        <v>2.4900000000000002</v>
      </c>
      <c r="S13" s="104">
        <f>IF('REKAP KUALITAS CPO'!P11=0,"-",'REKAP KUALITAS CPO'!P11)</f>
        <v>2.35</v>
      </c>
      <c r="T13" s="104">
        <f>IF('REKAP KUALITAS CPO'!Q11=0,"-",'REKAP KUALITAS CPO'!Q11)</f>
        <v>7.33</v>
      </c>
      <c r="U13" s="105" t="str">
        <f>IF('REKAP KUALITAS CPO'!K11=0,"NO DATA",IF('REKAP KUALITAS CPO'!K11&gt;5,"OVER SPEC",IF(OR('REKAP KUALITAS CPO'!K11&gt;4.5,'REKAP KUALITAS CPO'!L11&gt;0.45,'REKAP KUALITAS CPO'!M11&lt;2.2),"MENDEKATI","AMAN")))</f>
        <v>OVER SPEC</v>
      </c>
      <c r="V13" s="104">
        <f>IF('REKAP KUALITAS CPO'!R11=0,"-",'REKAP KUALITAS CPO'!R11)</f>
        <v>2529566</v>
      </c>
      <c r="W13" s="103">
        <f>IF('REKAP KUALITAS CPO'!S11=0,"-",'REKAP KUALITAS CPO'!S11)</f>
        <v>5.28</v>
      </c>
      <c r="X13" s="104" t="str" cm="1">
        <f t="array" ref="X13">IF(OR('REKAP KUALITAS CPO'!S11=0,COUNTIF('REKAP KUALITAS CPO'!S$5:S11,"&gt;0")&lt;2),"-",TEXT('REKAP KUALITAS CPO'!S11-LOOKUP(2,1/('REKAP KUALITAS CPO'!S$5:S10&gt;0),'REKAP KUALITAS CPO'!S$5:S10),"+0.00;-0.00;\u2192"))</f>
        <v>-000</v>
      </c>
      <c r="Y13" s="103">
        <f>IF('REKAP KUALITAS CPO'!T11=0,"-",'REKAP KUALITAS CPO'!T11)</f>
        <v>0.32</v>
      </c>
      <c r="Z13" s="103">
        <f>IF('REKAP KUALITAS CPO'!U11=0,"-",'REKAP KUALITAS CPO'!U11)</f>
        <v>1.81</v>
      </c>
      <c r="AA13" s="104">
        <f>IF('REKAP KUALITAS CPO'!V11=0,"-",'REKAP KUALITAS CPO'!V11)</f>
        <v>51.81</v>
      </c>
      <c r="AB13" s="104">
        <f>IF('REKAP KUALITAS CPO'!W11=0,"-",'REKAP KUALITAS CPO'!W11)</f>
        <v>2.2999999999999998</v>
      </c>
      <c r="AC13" s="104">
        <f>IF('REKAP KUALITAS CPO'!X11=0,"-",'REKAP KUALITAS CPO'!X11)</f>
        <v>2.1</v>
      </c>
      <c r="AD13" s="104">
        <f>IF('REKAP KUALITAS CPO'!Y11=0,"-",'REKAP KUALITAS CPO'!Y11)</f>
        <v>6.7</v>
      </c>
      <c r="AE13" s="105" t="str">
        <f>IF('REKAP KUALITAS CPO'!S11=0,"NO DATA",IF('REKAP KUALITAS CPO'!S11&gt;5,"OVER SPEC",IF(OR('REKAP KUALITAS CPO'!S11&gt;4.5,'REKAP KUALITAS CPO'!T11&gt;0.45,'REKAP KUALITAS CPO'!U11&lt;2.2),"MENDEKATI","AMAN")))</f>
        <v>OVER SPEC</v>
      </c>
      <c r="AF13" s="106" t="str">
        <f t="shared" si="0"/>
        <v>⚠ ST02 OVER | ST03 OVER</v>
      </c>
    </row>
    <row r="14" spans="1:32" x14ac:dyDescent="0.2">
      <c r="A14" s="103" t="str">
        <f>'REKAP KUALITAS CPO'!A12</f>
        <v>08 Mar</v>
      </c>
      <c r="B14" s="104" t="str">
        <f>IF('REKAP KUALITAS CPO'!B12=0,"-",'REKAP KUALITAS CPO'!B12)</f>
        <v>-</v>
      </c>
      <c r="C14" s="103" t="str">
        <f>IF('REKAP KUALITAS CPO'!C12=0,"-",'REKAP KUALITAS CPO'!C12)</f>
        <v>-</v>
      </c>
      <c r="D14" s="104" t="str" cm="1">
        <f t="array" ref="D14">IF(OR('REKAP KUALITAS CPO'!C12=0,COUNTIF('REKAP KUALITAS CPO'!C$5:C12,"&gt;0")&lt;2),"-",TEXT('REKAP KUALITAS CPO'!C12-LOOKUP(2,1/('REKAP KUALITAS CPO'!C$5:C11&gt;0),'REKAP KUALITAS CPO'!C$5:C11),"+0.00;-0.00;\u2192"))</f>
        <v>-</v>
      </c>
      <c r="E14" s="103" t="str">
        <f>IF('REKAP KUALITAS CPO'!D12=0,"-",'REKAP KUALITAS CPO'!D12)</f>
        <v>-</v>
      </c>
      <c r="F14" s="103" t="str">
        <f>IF('REKAP KUALITAS CPO'!E12=0,"-",'REKAP KUALITAS CPO'!E12)</f>
        <v>-</v>
      </c>
      <c r="G14" s="104" t="str">
        <f>IF('REKAP KUALITAS CPO'!F12=0,"-",'REKAP KUALITAS CPO'!F12)</f>
        <v>-</v>
      </c>
      <c r="H14" s="104" t="str">
        <f>IF('REKAP KUALITAS CPO'!G12=0,"-",'REKAP KUALITAS CPO'!G12)</f>
        <v>-</v>
      </c>
      <c r="I14" s="104" t="str">
        <f>IF('REKAP KUALITAS CPO'!H12=0,"-",'REKAP KUALITAS CPO'!H12)</f>
        <v>-</v>
      </c>
      <c r="J14" s="104" t="str">
        <f>IF('REKAP KUALITAS CPO'!I12=0,"-",'REKAP KUALITAS CPO'!I12)</f>
        <v>-</v>
      </c>
      <c r="K14" s="105" t="str">
        <f>IF('REKAP KUALITAS CPO'!C12=0,"NO DATA",IF('REKAP KUALITAS CPO'!C12&gt;5,"OVER SPEC",IF(OR('REKAP KUALITAS CPO'!C12&gt;4.5,'REKAP KUALITAS CPO'!D12&gt;0.45,'REKAP KUALITAS CPO'!E12&lt;2.2),"MENDEKATI","AMAN")))</f>
        <v>NO DATA</v>
      </c>
      <c r="L14" s="104" t="str">
        <f>IF('REKAP KUALITAS CPO'!J12=0,"-",'REKAP KUALITAS CPO'!J12)</f>
        <v>-</v>
      </c>
      <c r="M14" s="103" t="str">
        <f>IF('REKAP KUALITAS CPO'!K12=0,"-",'REKAP KUALITAS CPO'!K12)</f>
        <v>-</v>
      </c>
      <c r="N14" s="104" t="str" cm="1">
        <f t="array" ref="N14">IF(OR('REKAP KUALITAS CPO'!K12=0,COUNTIF('REKAP KUALITAS CPO'!K$5:K12,"&gt;0")&lt;2),"-",TEXT('REKAP KUALITAS CPO'!K12-LOOKUP(2,1/('REKAP KUALITAS CPO'!K$5:K11&gt;0),'REKAP KUALITAS CPO'!K$5:K11),"+0.00;-0.00;\u2192"))</f>
        <v>-</v>
      </c>
      <c r="O14" s="103" t="str">
        <f>IF('REKAP KUALITAS CPO'!L12=0,"-",'REKAP KUALITAS CPO'!L12)</f>
        <v>-</v>
      </c>
      <c r="P14" s="103" t="str">
        <f>IF('REKAP KUALITAS CPO'!M12=0,"-",'REKAP KUALITAS CPO'!M12)</f>
        <v>-</v>
      </c>
      <c r="Q14" s="104" t="str">
        <f>IF('REKAP KUALITAS CPO'!N12=0,"-",'REKAP KUALITAS CPO'!N12)</f>
        <v>-</v>
      </c>
      <c r="R14" s="104" t="str">
        <f>IF('REKAP KUALITAS CPO'!O12=0,"-",'REKAP KUALITAS CPO'!O12)</f>
        <v>-</v>
      </c>
      <c r="S14" s="104" t="str">
        <f>IF('REKAP KUALITAS CPO'!P12=0,"-",'REKAP KUALITAS CPO'!P12)</f>
        <v>-</v>
      </c>
      <c r="T14" s="104" t="str">
        <f>IF('REKAP KUALITAS CPO'!Q12=0,"-",'REKAP KUALITAS CPO'!Q12)</f>
        <v>-</v>
      </c>
      <c r="U14" s="105" t="str">
        <f>IF('REKAP KUALITAS CPO'!K12=0,"NO DATA",IF('REKAP KUALITAS CPO'!K12&gt;5,"OVER SPEC",IF(OR('REKAP KUALITAS CPO'!K12&gt;4.5,'REKAP KUALITAS CPO'!L12&gt;0.45,'REKAP KUALITAS CPO'!M12&lt;2.2),"MENDEKATI","AMAN")))</f>
        <v>NO DATA</v>
      </c>
      <c r="V14" s="104" t="str">
        <f>IF('REKAP KUALITAS CPO'!R12=0,"-",'REKAP KUALITAS CPO'!R12)</f>
        <v>-</v>
      </c>
      <c r="W14" s="103" t="str">
        <f>IF('REKAP KUALITAS CPO'!S12=0,"-",'REKAP KUALITAS CPO'!S12)</f>
        <v>-</v>
      </c>
      <c r="X14" s="104" t="str" cm="1">
        <f t="array" ref="X14">IF(OR('REKAP KUALITAS CPO'!S12=0,COUNTIF('REKAP KUALITAS CPO'!S$5:S12,"&gt;0")&lt;2),"-",TEXT('REKAP KUALITAS CPO'!S12-LOOKUP(2,1/('REKAP KUALITAS CPO'!S$5:S11&gt;0),'REKAP KUALITAS CPO'!S$5:S11),"+0.00;-0.00;\u2192"))</f>
        <v>-</v>
      </c>
      <c r="Y14" s="103" t="str">
        <f>IF('REKAP KUALITAS CPO'!T12=0,"-",'REKAP KUALITAS CPO'!T12)</f>
        <v>-</v>
      </c>
      <c r="Z14" s="103" t="str">
        <f>IF('REKAP KUALITAS CPO'!U12=0,"-",'REKAP KUALITAS CPO'!U12)</f>
        <v>-</v>
      </c>
      <c r="AA14" s="104" t="str">
        <f>IF('REKAP KUALITAS CPO'!V12=0,"-",'REKAP KUALITAS CPO'!V12)</f>
        <v>-</v>
      </c>
      <c r="AB14" s="104" t="str">
        <f>IF('REKAP KUALITAS CPO'!W12=0,"-",'REKAP KUALITAS CPO'!W12)</f>
        <v>-</v>
      </c>
      <c r="AC14" s="104" t="str">
        <f>IF('REKAP KUALITAS CPO'!X12=0,"-",'REKAP KUALITAS CPO'!X12)</f>
        <v>-</v>
      </c>
      <c r="AD14" s="104" t="str">
        <f>IF('REKAP KUALITAS CPO'!Y12=0,"-",'REKAP KUALITAS CPO'!Y12)</f>
        <v>-</v>
      </c>
      <c r="AE14" s="105" t="str">
        <f>IF('REKAP KUALITAS CPO'!S12=0,"NO DATA",IF('REKAP KUALITAS CPO'!S12&gt;5,"OVER SPEC",IF(OR('REKAP KUALITAS CPO'!S12&gt;4.5,'REKAP KUALITAS CPO'!T12&gt;0.45,'REKAP KUALITAS CPO'!U12&lt;2.2),"MENDEKATI","AMAN")))</f>
        <v>NO DATA</v>
      </c>
      <c r="AF14" s="106" t="str">
        <f t="shared" si="0"/>
        <v>Tidak ada data</v>
      </c>
    </row>
    <row r="15" spans="1:32" x14ac:dyDescent="0.2">
      <c r="A15" s="103" t="str">
        <f>'REKAP KUALITAS CPO'!A13</f>
        <v>09 Mar</v>
      </c>
      <c r="B15" s="104" t="str">
        <f>IF('REKAP KUALITAS CPO'!B13=0,"-",'REKAP KUALITAS CPO'!B13)</f>
        <v>-</v>
      </c>
      <c r="C15" s="103" t="str">
        <f>IF('REKAP KUALITAS CPO'!C13=0,"-",'REKAP KUALITAS CPO'!C13)</f>
        <v>-</v>
      </c>
      <c r="D15" s="104" t="str" cm="1">
        <f t="array" ref="D15">IF(OR('REKAP KUALITAS CPO'!C13=0,COUNTIF('REKAP KUALITAS CPO'!C$5:C13,"&gt;0")&lt;2),"-",TEXT('REKAP KUALITAS CPO'!C13-LOOKUP(2,1/('REKAP KUALITAS CPO'!C$5:C12&gt;0),'REKAP KUALITAS CPO'!C$5:C12),"+0.00;-0.00;\u2192"))</f>
        <v>-</v>
      </c>
      <c r="E15" s="103" t="str">
        <f>IF('REKAP KUALITAS CPO'!D13=0,"-",'REKAP KUALITAS CPO'!D13)</f>
        <v>-</v>
      </c>
      <c r="F15" s="103" t="str">
        <f>IF('REKAP KUALITAS CPO'!E13=0,"-",'REKAP KUALITAS CPO'!E13)</f>
        <v>-</v>
      </c>
      <c r="G15" s="104" t="str">
        <f>IF('REKAP KUALITAS CPO'!F13=0,"-",'REKAP KUALITAS CPO'!F13)</f>
        <v>-</v>
      </c>
      <c r="H15" s="104" t="str">
        <f>IF('REKAP KUALITAS CPO'!G13=0,"-",'REKAP KUALITAS CPO'!G13)</f>
        <v>-</v>
      </c>
      <c r="I15" s="104" t="str">
        <f>IF('REKAP KUALITAS CPO'!H13=0,"-",'REKAP KUALITAS CPO'!H13)</f>
        <v>-</v>
      </c>
      <c r="J15" s="104" t="str">
        <f>IF('REKAP KUALITAS CPO'!I13=0,"-",'REKAP KUALITAS CPO'!I13)</f>
        <v>-</v>
      </c>
      <c r="K15" s="105" t="str">
        <f>IF('REKAP KUALITAS CPO'!C13=0,"NO DATA",IF('REKAP KUALITAS CPO'!C13&gt;5,"OVER SPEC",IF(OR('REKAP KUALITAS CPO'!C13&gt;4.5,'REKAP KUALITAS CPO'!D13&gt;0.45,'REKAP KUALITAS CPO'!E13&lt;2.2),"MENDEKATI","AMAN")))</f>
        <v>NO DATA</v>
      </c>
      <c r="L15" s="104" t="str">
        <f>IF('REKAP KUALITAS CPO'!J13=0,"-",'REKAP KUALITAS CPO'!J13)</f>
        <v>-</v>
      </c>
      <c r="M15" s="103" t="str">
        <f>IF('REKAP KUALITAS CPO'!K13=0,"-",'REKAP KUALITAS CPO'!K13)</f>
        <v>-</v>
      </c>
      <c r="N15" s="104" t="str" cm="1">
        <f t="array" ref="N15">IF(OR('REKAP KUALITAS CPO'!K13=0,COUNTIF('REKAP KUALITAS CPO'!K$5:K13,"&gt;0")&lt;2),"-",TEXT('REKAP KUALITAS CPO'!K13-LOOKUP(2,1/('REKAP KUALITAS CPO'!K$5:K12&gt;0),'REKAP KUALITAS CPO'!K$5:K12),"+0.00;-0.00;\u2192"))</f>
        <v>-</v>
      </c>
      <c r="O15" s="103" t="str">
        <f>IF('REKAP KUALITAS CPO'!L13=0,"-",'REKAP KUALITAS CPO'!L13)</f>
        <v>-</v>
      </c>
      <c r="P15" s="103" t="str">
        <f>IF('REKAP KUALITAS CPO'!M13=0,"-",'REKAP KUALITAS CPO'!M13)</f>
        <v>-</v>
      </c>
      <c r="Q15" s="104" t="str">
        <f>IF('REKAP KUALITAS CPO'!N13=0,"-",'REKAP KUALITAS CPO'!N13)</f>
        <v>-</v>
      </c>
      <c r="R15" s="104" t="str">
        <f>IF('REKAP KUALITAS CPO'!O13=0,"-",'REKAP KUALITAS CPO'!O13)</f>
        <v>-</v>
      </c>
      <c r="S15" s="104" t="str">
        <f>IF('REKAP KUALITAS CPO'!P13=0,"-",'REKAP KUALITAS CPO'!P13)</f>
        <v>-</v>
      </c>
      <c r="T15" s="104" t="str">
        <f>IF('REKAP KUALITAS CPO'!Q13=0,"-",'REKAP KUALITAS CPO'!Q13)</f>
        <v>-</v>
      </c>
      <c r="U15" s="105" t="str">
        <f>IF('REKAP KUALITAS CPO'!K13=0,"NO DATA",IF('REKAP KUALITAS CPO'!K13&gt;5,"OVER SPEC",IF(OR('REKAP KUALITAS CPO'!K13&gt;4.5,'REKAP KUALITAS CPO'!L13&gt;0.45,'REKAP KUALITAS CPO'!M13&lt;2.2),"MENDEKATI","AMAN")))</f>
        <v>NO DATA</v>
      </c>
      <c r="V15" s="104" t="str">
        <f>IF('REKAP KUALITAS CPO'!R13=0,"-",'REKAP KUALITAS CPO'!R13)</f>
        <v>-</v>
      </c>
      <c r="W15" s="103" t="str">
        <f>IF('REKAP KUALITAS CPO'!S13=0,"-",'REKAP KUALITAS CPO'!S13)</f>
        <v>-</v>
      </c>
      <c r="X15" s="104" t="str" cm="1">
        <f t="array" ref="X15">IF(OR('REKAP KUALITAS CPO'!S13=0,COUNTIF('REKAP KUALITAS CPO'!S$5:S13,"&gt;0")&lt;2),"-",TEXT('REKAP KUALITAS CPO'!S13-LOOKUP(2,1/('REKAP KUALITAS CPO'!S$5:S12&gt;0),'REKAP KUALITAS CPO'!S$5:S12),"+0.00;-0.00;\u2192"))</f>
        <v>-</v>
      </c>
      <c r="Y15" s="103" t="str">
        <f>IF('REKAP KUALITAS CPO'!T13=0,"-",'REKAP KUALITAS CPO'!T13)</f>
        <v>-</v>
      </c>
      <c r="Z15" s="103" t="str">
        <f>IF('REKAP KUALITAS CPO'!U13=0,"-",'REKAP KUALITAS CPO'!U13)</f>
        <v>-</v>
      </c>
      <c r="AA15" s="104" t="str">
        <f>IF('REKAP KUALITAS CPO'!V13=0,"-",'REKAP KUALITAS CPO'!V13)</f>
        <v>-</v>
      </c>
      <c r="AB15" s="104" t="str">
        <f>IF('REKAP KUALITAS CPO'!W13=0,"-",'REKAP KUALITAS CPO'!W13)</f>
        <v>-</v>
      </c>
      <c r="AC15" s="104" t="str">
        <f>IF('REKAP KUALITAS CPO'!X13=0,"-",'REKAP KUALITAS CPO'!X13)</f>
        <v>-</v>
      </c>
      <c r="AD15" s="104" t="str">
        <f>IF('REKAP KUALITAS CPO'!Y13=0,"-",'REKAP KUALITAS CPO'!Y13)</f>
        <v>-</v>
      </c>
      <c r="AE15" s="105" t="str">
        <f>IF('REKAP KUALITAS CPO'!S13=0,"NO DATA",IF('REKAP KUALITAS CPO'!S13&gt;5,"OVER SPEC",IF(OR('REKAP KUALITAS CPO'!S13&gt;4.5,'REKAP KUALITAS CPO'!T13&gt;0.45,'REKAP KUALITAS CPO'!U13&lt;2.2),"MENDEKATI","AMAN")))</f>
        <v>NO DATA</v>
      </c>
      <c r="AF15" s="106" t="str">
        <f t="shared" si="0"/>
        <v>Tidak ada data</v>
      </c>
    </row>
    <row r="16" spans="1:32" x14ac:dyDescent="0.2">
      <c r="A16" s="103" t="str">
        <f>'REKAP KUALITAS CPO'!A14</f>
        <v>10 Mar</v>
      </c>
      <c r="B16" s="104" t="str">
        <f>IF('REKAP KUALITAS CPO'!B14=0,"-",'REKAP KUALITAS CPO'!B14)</f>
        <v>-</v>
      </c>
      <c r="C16" s="103" t="str">
        <f>IF('REKAP KUALITAS CPO'!C14=0,"-",'REKAP KUALITAS CPO'!C14)</f>
        <v>-</v>
      </c>
      <c r="D16" s="104" t="str" cm="1">
        <f t="array" ref="D16">IF(OR('REKAP KUALITAS CPO'!C14=0,COUNTIF('REKAP KUALITAS CPO'!C$5:C14,"&gt;0")&lt;2),"-",TEXT('REKAP KUALITAS CPO'!C14-LOOKUP(2,1/('REKAP KUALITAS CPO'!C$5:C13&gt;0),'REKAP KUALITAS CPO'!C$5:C13),"+0.00;-0.00;\u2192"))</f>
        <v>-</v>
      </c>
      <c r="E16" s="103" t="str">
        <f>IF('REKAP KUALITAS CPO'!D14=0,"-",'REKAP KUALITAS CPO'!D14)</f>
        <v>-</v>
      </c>
      <c r="F16" s="103" t="str">
        <f>IF('REKAP KUALITAS CPO'!E14=0,"-",'REKAP KUALITAS CPO'!E14)</f>
        <v>-</v>
      </c>
      <c r="G16" s="104" t="str">
        <f>IF('REKAP KUALITAS CPO'!F14=0,"-",'REKAP KUALITAS CPO'!F14)</f>
        <v>-</v>
      </c>
      <c r="H16" s="104" t="str">
        <f>IF('REKAP KUALITAS CPO'!G14=0,"-",'REKAP KUALITAS CPO'!G14)</f>
        <v>-</v>
      </c>
      <c r="I16" s="104" t="str">
        <f>IF('REKAP KUALITAS CPO'!H14=0,"-",'REKAP KUALITAS CPO'!H14)</f>
        <v>-</v>
      </c>
      <c r="J16" s="104" t="str">
        <f>IF('REKAP KUALITAS CPO'!I14=0,"-",'REKAP KUALITAS CPO'!I14)</f>
        <v>-</v>
      </c>
      <c r="K16" s="105" t="str">
        <f>IF('REKAP KUALITAS CPO'!C14=0,"NO DATA",IF('REKAP KUALITAS CPO'!C14&gt;5,"OVER SPEC",IF(OR('REKAP KUALITAS CPO'!C14&gt;4.5,'REKAP KUALITAS CPO'!D14&gt;0.45,'REKAP KUALITAS CPO'!E14&lt;2.2),"MENDEKATI","AMAN")))</f>
        <v>NO DATA</v>
      </c>
      <c r="L16" s="104" t="str">
        <f>IF('REKAP KUALITAS CPO'!J14=0,"-",'REKAP KUALITAS CPO'!J14)</f>
        <v>-</v>
      </c>
      <c r="M16" s="103" t="str">
        <f>IF('REKAP KUALITAS CPO'!K14=0,"-",'REKAP KUALITAS CPO'!K14)</f>
        <v>-</v>
      </c>
      <c r="N16" s="104" t="str" cm="1">
        <f t="array" ref="N16">IF(OR('REKAP KUALITAS CPO'!K14=0,COUNTIF('REKAP KUALITAS CPO'!K$5:K14,"&gt;0")&lt;2),"-",TEXT('REKAP KUALITAS CPO'!K14-LOOKUP(2,1/('REKAP KUALITAS CPO'!K$5:K13&gt;0),'REKAP KUALITAS CPO'!K$5:K13),"+0.00;-0.00;\u2192"))</f>
        <v>-</v>
      </c>
      <c r="O16" s="103" t="str">
        <f>IF('REKAP KUALITAS CPO'!L14=0,"-",'REKAP KUALITAS CPO'!L14)</f>
        <v>-</v>
      </c>
      <c r="P16" s="103" t="str">
        <f>IF('REKAP KUALITAS CPO'!M14=0,"-",'REKAP KUALITAS CPO'!M14)</f>
        <v>-</v>
      </c>
      <c r="Q16" s="104" t="str">
        <f>IF('REKAP KUALITAS CPO'!N14=0,"-",'REKAP KUALITAS CPO'!N14)</f>
        <v>-</v>
      </c>
      <c r="R16" s="104" t="str">
        <f>IF('REKAP KUALITAS CPO'!O14=0,"-",'REKAP KUALITAS CPO'!O14)</f>
        <v>-</v>
      </c>
      <c r="S16" s="104" t="str">
        <f>IF('REKAP KUALITAS CPO'!P14=0,"-",'REKAP KUALITAS CPO'!P14)</f>
        <v>-</v>
      </c>
      <c r="T16" s="104" t="str">
        <f>IF('REKAP KUALITAS CPO'!Q14=0,"-",'REKAP KUALITAS CPO'!Q14)</f>
        <v>-</v>
      </c>
      <c r="U16" s="105" t="str">
        <f>IF('REKAP KUALITAS CPO'!K14=0,"NO DATA",IF('REKAP KUALITAS CPO'!K14&gt;5,"OVER SPEC",IF(OR('REKAP KUALITAS CPO'!K14&gt;4.5,'REKAP KUALITAS CPO'!L14&gt;0.45,'REKAP KUALITAS CPO'!M14&lt;2.2),"MENDEKATI","AMAN")))</f>
        <v>NO DATA</v>
      </c>
      <c r="V16" s="104" t="str">
        <f>IF('REKAP KUALITAS CPO'!R14=0,"-",'REKAP KUALITAS CPO'!R14)</f>
        <v>-</v>
      </c>
      <c r="W16" s="103" t="str">
        <f>IF('REKAP KUALITAS CPO'!S14=0,"-",'REKAP KUALITAS CPO'!S14)</f>
        <v>-</v>
      </c>
      <c r="X16" s="104" t="str" cm="1">
        <f t="array" ref="X16">IF(OR('REKAP KUALITAS CPO'!S14=0,COUNTIF('REKAP KUALITAS CPO'!S$5:S14,"&gt;0")&lt;2),"-",TEXT('REKAP KUALITAS CPO'!S14-LOOKUP(2,1/('REKAP KUALITAS CPO'!S$5:S13&gt;0),'REKAP KUALITAS CPO'!S$5:S13),"+0.00;-0.00;\u2192"))</f>
        <v>-</v>
      </c>
      <c r="Y16" s="103" t="str">
        <f>IF('REKAP KUALITAS CPO'!T14=0,"-",'REKAP KUALITAS CPO'!T14)</f>
        <v>-</v>
      </c>
      <c r="Z16" s="103" t="str">
        <f>IF('REKAP KUALITAS CPO'!U14=0,"-",'REKAP KUALITAS CPO'!U14)</f>
        <v>-</v>
      </c>
      <c r="AA16" s="104" t="str">
        <f>IF('REKAP KUALITAS CPO'!V14=0,"-",'REKAP KUALITAS CPO'!V14)</f>
        <v>-</v>
      </c>
      <c r="AB16" s="104" t="str">
        <f>IF('REKAP KUALITAS CPO'!W14=0,"-",'REKAP KUALITAS CPO'!W14)</f>
        <v>-</v>
      </c>
      <c r="AC16" s="104" t="str">
        <f>IF('REKAP KUALITAS CPO'!X14=0,"-",'REKAP KUALITAS CPO'!X14)</f>
        <v>-</v>
      </c>
      <c r="AD16" s="104" t="str">
        <f>IF('REKAP KUALITAS CPO'!Y14=0,"-",'REKAP KUALITAS CPO'!Y14)</f>
        <v>-</v>
      </c>
      <c r="AE16" s="105" t="str">
        <f>IF('REKAP KUALITAS CPO'!S14=0,"NO DATA",IF('REKAP KUALITAS CPO'!S14&gt;5,"OVER SPEC",IF(OR('REKAP KUALITAS CPO'!S14&gt;4.5,'REKAP KUALITAS CPO'!T14&gt;0.45,'REKAP KUALITAS CPO'!U14&lt;2.2),"MENDEKATI","AMAN")))</f>
        <v>NO DATA</v>
      </c>
      <c r="AF16" s="106" t="str">
        <f t="shared" si="0"/>
        <v>Tidak ada data</v>
      </c>
    </row>
    <row r="17" spans="1:32" x14ac:dyDescent="0.2">
      <c r="A17" s="103" t="str">
        <f>'REKAP KUALITAS CPO'!A15</f>
        <v>11 Mar</v>
      </c>
      <c r="B17" s="104" t="str">
        <f>IF('REKAP KUALITAS CPO'!B15=0,"-",'REKAP KUALITAS CPO'!B15)</f>
        <v>-</v>
      </c>
      <c r="C17" s="103" t="str">
        <f>IF('REKAP KUALITAS CPO'!C15=0,"-",'REKAP KUALITAS CPO'!C15)</f>
        <v>-</v>
      </c>
      <c r="D17" s="104" t="str" cm="1">
        <f t="array" ref="D17">IF(OR('REKAP KUALITAS CPO'!C15=0,COUNTIF('REKAP KUALITAS CPO'!C$5:C15,"&gt;0")&lt;2),"-",TEXT('REKAP KUALITAS CPO'!C15-LOOKUP(2,1/('REKAP KUALITAS CPO'!C$5:C14&gt;0),'REKAP KUALITAS CPO'!C$5:C14),"+0.00;-0.00;\u2192"))</f>
        <v>-</v>
      </c>
      <c r="E17" s="103" t="str">
        <f>IF('REKAP KUALITAS CPO'!D15=0,"-",'REKAP KUALITAS CPO'!D15)</f>
        <v>-</v>
      </c>
      <c r="F17" s="103" t="str">
        <f>IF('REKAP KUALITAS CPO'!E15=0,"-",'REKAP KUALITAS CPO'!E15)</f>
        <v>-</v>
      </c>
      <c r="G17" s="104" t="str">
        <f>IF('REKAP KUALITAS CPO'!F15=0,"-",'REKAP KUALITAS CPO'!F15)</f>
        <v>-</v>
      </c>
      <c r="H17" s="104" t="str">
        <f>IF('REKAP KUALITAS CPO'!G15=0,"-",'REKAP KUALITAS CPO'!G15)</f>
        <v>-</v>
      </c>
      <c r="I17" s="104" t="str">
        <f>IF('REKAP KUALITAS CPO'!H15=0,"-",'REKAP KUALITAS CPO'!H15)</f>
        <v>-</v>
      </c>
      <c r="J17" s="104" t="str">
        <f>IF('REKAP KUALITAS CPO'!I15=0,"-",'REKAP KUALITAS CPO'!I15)</f>
        <v>-</v>
      </c>
      <c r="K17" s="105" t="str">
        <f>IF('REKAP KUALITAS CPO'!C15=0,"NO DATA",IF('REKAP KUALITAS CPO'!C15&gt;5,"OVER SPEC",IF(OR('REKAP KUALITAS CPO'!C15&gt;4.5,'REKAP KUALITAS CPO'!D15&gt;0.45,'REKAP KUALITAS CPO'!E15&lt;2.2),"MENDEKATI","AMAN")))</f>
        <v>NO DATA</v>
      </c>
      <c r="L17" s="104" t="str">
        <f>IF('REKAP KUALITAS CPO'!J15=0,"-",'REKAP KUALITAS CPO'!J15)</f>
        <v>-</v>
      </c>
      <c r="M17" s="103" t="str">
        <f>IF('REKAP KUALITAS CPO'!K15=0,"-",'REKAP KUALITAS CPO'!K15)</f>
        <v>-</v>
      </c>
      <c r="N17" s="104" t="str" cm="1">
        <f t="array" ref="N17">IF(OR('REKAP KUALITAS CPO'!K15=0,COUNTIF('REKAP KUALITAS CPO'!K$5:K15,"&gt;0")&lt;2),"-",TEXT('REKAP KUALITAS CPO'!K15-LOOKUP(2,1/('REKAP KUALITAS CPO'!K$5:K14&gt;0),'REKAP KUALITAS CPO'!K$5:K14),"+0.00;-0.00;\u2192"))</f>
        <v>-</v>
      </c>
      <c r="O17" s="103" t="str">
        <f>IF('REKAP KUALITAS CPO'!L15=0,"-",'REKAP KUALITAS CPO'!L15)</f>
        <v>-</v>
      </c>
      <c r="P17" s="103" t="str">
        <f>IF('REKAP KUALITAS CPO'!M15=0,"-",'REKAP KUALITAS CPO'!M15)</f>
        <v>-</v>
      </c>
      <c r="Q17" s="104" t="str">
        <f>IF('REKAP KUALITAS CPO'!N15=0,"-",'REKAP KUALITAS CPO'!N15)</f>
        <v>-</v>
      </c>
      <c r="R17" s="104" t="str">
        <f>IF('REKAP KUALITAS CPO'!O15=0,"-",'REKAP KUALITAS CPO'!O15)</f>
        <v>-</v>
      </c>
      <c r="S17" s="104" t="str">
        <f>IF('REKAP KUALITAS CPO'!P15=0,"-",'REKAP KUALITAS CPO'!P15)</f>
        <v>-</v>
      </c>
      <c r="T17" s="104" t="str">
        <f>IF('REKAP KUALITAS CPO'!Q15=0,"-",'REKAP KUALITAS CPO'!Q15)</f>
        <v>-</v>
      </c>
      <c r="U17" s="105" t="str">
        <f>IF('REKAP KUALITAS CPO'!K15=0,"NO DATA",IF('REKAP KUALITAS CPO'!K15&gt;5,"OVER SPEC",IF(OR('REKAP KUALITAS CPO'!K15&gt;4.5,'REKAP KUALITAS CPO'!L15&gt;0.45,'REKAP KUALITAS CPO'!M15&lt;2.2),"MENDEKATI","AMAN")))</f>
        <v>NO DATA</v>
      </c>
      <c r="V17" s="104" t="str">
        <f>IF('REKAP KUALITAS CPO'!R15=0,"-",'REKAP KUALITAS CPO'!R15)</f>
        <v>-</v>
      </c>
      <c r="W17" s="103" t="str">
        <f>IF('REKAP KUALITAS CPO'!S15=0,"-",'REKAP KUALITAS CPO'!S15)</f>
        <v>-</v>
      </c>
      <c r="X17" s="104" t="str" cm="1">
        <f t="array" ref="X17">IF(OR('REKAP KUALITAS CPO'!S15=0,COUNTIF('REKAP KUALITAS CPO'!S$5:S15,"&gt;0")&lt;2),"-",TEXT('REKAP KUALITAS CPO'!S15-LOOKUP(2,1/('REKAP KUALITAS CPO'!S$5:S14&gt;0),'REKAP KUALITAS CPO'!S$5:S14),"+0.00;-0.00;\u2192"))</f>
        <v>-</v>
      </c>
      <c r="Y17" s="103" t="str">
        <f>IF('REKAP KUALITAS CPO'!T15=0,"-",'REKAP KUALITAS CPO'!T15)</f>
        <v>-</v>
      </c>
      <c r="Z17" s="103" t="str">
        <f>IF('REKAP KUALITAS CPO'!U15=0,"-",'REKAP KUALITAS CPO'!U15)</f>
        <v>-</v>
      </c>
      <c r="AA17" s="104" t="str">
        <f>IF('REKAP KUALITAS CPO'!V15=0,"-",'REKAP KUALITAS CPO'!V15)</f>
        <v>-</v>
      </c>
      <c r="AB17" s="104" t="str">
        <f>IF('REKAP KUALITAS CPO'!W15=0,"-",'REKAP KUALITAS CPO'!W15)</f>
        <v>-</v>
      </c>
      <c r="AC17" s="104" t="str">
        <f>IF('REKAP KUALITAS CPO'!X15=0,"-",'REKAP KUALITAS CPO'!X15)</f>
        <v>-</v>
      </c>
      <c r="AD17" s="104" t="str">
        <f>IF('REKAP KUALITAS CPO'!Y15=0,"-",'REKAP KUALITAS CPO'!Y15)</f>
        <v>-</v>
      </c>
      <c r="AE17" s="105" t="str">
        <f>IF('REKAP KUALITAS CPO'!S15=0,"NO DATA",IF('REKAP KUALITAS CPO'!S15&gt;5,"OVER SPEC",IF(OR('REKAP KUALITAS CPO'!S15&gt;4.5,'REKAP KUALITAS CPO'!T15&gt;0.45,'REKAP KUALITAS CPO'!U15&lt;2.2),"MENDEKATI","AMAN")))</f>
        <v>NO DATA</v>
      </c>
      <c r="AF17" s="106" t="str">
        <f t="shared" si="0"/>
        <v>Tidak ada data</v>
      </c>
    </row>
    <row r="18" spans="1:32" x14ac:dyDescent="0.2">
      <c r="A18" s="103" t="str">
        <f>'REKAP KUALITAS CPO'!A16</f>
        <v>12 Mar</v>
      </c>
      <c r="B18" s="104" t="str">
        <f>IF('REKAP KUALITAS CPO'!B16=0,"-",'REKAP KUALITAS CPO'!B16)</f>
        <v>-</v>
      </c>
      <c r="C18" s="103" t="str">
        <f>IF('REKAP KUALITAS CPO'!C16=0,"-",'REKAP KUALITAS CPO'!C16)</f>
        <v>-</v>
      </c>
      <c r="D18" s="104" t="str" cm="1">
        <f t="array" ref="D18">IF(OR('REKAP KUALITAS CPO'!C16=0,COUNTIF('REKAP KUALITAS CPO'!C$5:C16,"&gt;0")&lt;2),"-",TEXT('REKAP KUALITAS CPO'!C16-LOOKUP(2,1/('REKAP KUALITAS CPO'!C$5:C15&gt;0),'REKAP KUALITAS CPO'!C$5:C15),"+0.00;-0.00;\u2192"))</f>
        <v>-</v>
      </c>
      <c r="E18" s="103" t="str">
        <f>IF('REKAP KUALITAS CPO'!D16=0,"-",'REKAP KUALITAS CPO'!D16)</f>
        <v>-</v>
      </c>
      <c r="F18" s="103" t="str">
        <f>IF('REKAP KUALITAS CPO'!E16=0,"-",'REKAP KUALITAS CPO'!E16)</f>
        <v>-</v>
      </c>
      <c r="G18" s="104" t="str">
        <f>IF('REKAP KUALITAS CPO'!F16=0,"-",'REKAP KUALITAS CPO'!F16)</f>
        <v>-</v>
      </c>
      <c r="H18" s="104" t="str">
        <f>IF('REKAP KUALITAS CPO'!G16=0,"-",'REKAP KUALITAS CPO'!G16)</f>
        <v>-</v>
      </c>
      <c r="I18" s="104" t="str">
        <f>IF('REKAP KUALITAS CPO'!H16=0,"-",'REKAP KUALITAS CPO'!H16)</f>
        <v>-</v>
      </c>
      <c r="J18" s="104" t="str">
        <f>IF('REKAP KUALITAS CPO'!I16=0,"-",'REKAP KUALITAS CPO'!I16)</f>
        <v>-</v>
      </c>
      <c r="K18" s="105" t="str">
        <f>IF('REKAP KUALITAS CPO'!C16=0,"NO DATA",IF('REKAP KUALITAS CPO'!C16&gt;5,"OVER SPEC",IF(OR('REKAP KUALITAS CPO'!C16&gt;4.5,'REKAP KUALITAS CPO'!D16&gt;0.45,'REKAP KUALITAS CPO'!E16&lt;2.2),"MENDEKATI","AMAN")))</f>
        <v>NO DATA</v>
      </c>
      <c r="L18" s="104" t="str">
        <f>IF('REKAP KUALITAS CPO'!J16=0,"-",'REKAP KUALITAS CPO'!J16)</f>
        <v>-</v>
      </c>
      <c r="M18" s="103" t="str">
        <f>IF('REKAP KUALITAS CPO'!K16=0,"-",'REKAP KUALITAS CPO'!K16)</f>
        <v>-</v>
      </c>
      <c r="N18" s="104" t="str" cm="1">
        <f t="array" ref="N18">IF(OR('REKAP KUALITAS CPO'!K16=0,COUNTIF('REKAP KUALITAS CPO'!K$5:K16,"&gt;0")&lt;2),"-",TEXT('REKAP KUALITAS CPO'!K16-LOOKUP(2,1/('REKAP KUALITAS CPO'!K$5:K15&gt;0),'REKAP KUALITAS CPO'!K$5:K15),"+0.00;-0.00;\u2192"))</f>
        <v>-</v>
      </c>
      <c r="O18" s="103" t="str">
        <f>IF('REKAP KUALITAS CPO'!L16=0,"-",'REKAP KUALITAS CPO'!L16)</f>
        <v>-</v>
      </c>
      <c r="P18" s="103" t="str">
        <f>IF('REKAP KUALITAS CPO'!M16=0,"-",'REKAP KUALITAS CPO'!M16)</f>
        <v>-</v>
      </c>
      <c r="Q18" s="104" t="str">
        <f>IF('REKAP KUALITAS CPO'!N16=0,"-",'REKAP KUALITAS CPO'!N16)</f>
        <v>-</v>
      </c>
      <c r="R18" s="104" t="str">
        <f>IF('REKAP KUALITAS CPO'!O16=0,"-",'REKAP KUALITAS CPO'!O16)</f>
        <v>-</v>
      </c>
      <c r="S18" s="104" t="str">
        <f>IF('REKAP KUALITAS CPO'!P16=0,"-",'REKAP KUALITAS CPO'!P16)</f>
        <v>-</v>
      </c>
      <c r="T18" s="104" t="str">
        <f>IF('REKAP KUALITAS CPO'!Q16=0,"-",'REKAP KUALITAS CPO'!Q16)</f>
        <v>-</v>
      </c>
      <c r="U18" s="105" t="str">
        <f>IF('REKAP KUALITAS CPO'!K16=0,"NO DATA",IF('REKAP KUALITAS CPO'!K16&gt;5,"OVER SPEC",IF(OR('REKAP KUALITAS CPO'!K16&gt;4.5,'REKAP KUALITAS CPO'!L16&gt;0.45,'REKAP KUALITAS CPO'!M16&lt;2.2),"MENDEKATI","AMAN")))</f>
        <v>NO DATA</v>
      </c>
      <c r="V18" s="104" t="str">
        <f>IF('REKAP KUALITAS CPO'!R16=0,"-",'REKAP KUALITAS CPO'!R16)</f>
        <v>-</v>
      </c>
      <c r="W18" s="103" t="str">
        <f>IF('REKAP KUALITAS CPO'!S16=0,"-",'REKAP KUALITAS CPO'!S16)</f>
        <v>-</v>
      </c>
      <c r="X18" s="104" t="str" cm="1">
        <f t="array" ref="X18">IF(OR('REKAP KUALITAS CPO'!S16=0,COUNTIF('REKAP KUALITAS CPO'!S$5:S16,"&gt;0")&lt;2),"-",TEXT('REKAP KUALITAS CPO'!S16-LOOKUP(2,1/('REKAP KUALITAS CPO'!S$5:S15&gt;0),'REKAP KUALITAS CPO'!S$5:S15),"+0.00;-0.00;\u2192"))</f>
        <v>-</v>
      </c>
      <c r="Y18" s="103" t="str">
        <f>IF('REKAP KUALITAS CPO'!T16=0,"-",'REKAP KUALITAS CPO'!T16)</f>
        <v>-</v>
      </c>
      <c r="Z18" s="103" t="str">
        <f>IF('REKAP KUALITAS CPO'!U16=0,"-",'REKAP KUALITAS CPO'!U16)</f>
        <v>-</v>
      </c>
      <c r="AA18" s="104" t="str">
        <f>IF('REKAP KUALITAS CPO'!V16=0,"-",'REKAP KUALITAS CPO'!V16)</f>
        <v>-</v>
      </c>
      <c r="AB18" s="104" t="str">
        <f>IF('REKAP KUALITAS CPO'!W16=0,"-",'REKAP KUALITAS CPO'!W16)</f>
        <v>-</v>
      </c>
      <c r="AC18" s="104" t="str">
        <f>IF('REKAP KUALITAS CPO'!X16=0,"-",'REKAP KUALITAS CPO'!X16)</f>
        <v>-</v>
      </c>
      <c r="AD18" s="104" t="str">
        <f>IF('REKAP KUALITAS CPO'!Y16=0,"-",'REKAP KUALITAS CPO'!Y16)</f>
        <v>-</v>
      </c>
      <c r="AE18" s="105" t="str">
        <f>IF('REKAP KUALITAS CPO'!S16=0,"NO DATA",IF('REKAP KUALITAS CPO'!S16&gt;5,"OVER SPEC",IF(OR('REKAP KUALITAS CPO'!S16&gt;4.5,'REKAP KUALITAS CPO'!T16&gt;0.45,'REKAP KUALITAS CPO'!U16&lt;2.2),"MENDEKATI","AMAN")))</f>
        <v>NO DATA</v>
      </c>
      <c r="AF18" s="106" t="str">
        <f t="shared" si="0"/>
        <v>Tidak ada data</v>
      </c>
    </row>
    <row r="19" spans="1:32" x14ac:dyDescent="0.2">
      <c r="A19" s="103" t="str">
        <f>'REKAP KUALITAS CPO'!A17</f>
        <v>13 Mar</v>
      </c>
      <c r="B19" s="104" t="str">
        <f>IF('REKAP KUALITAS CPO'!B17=0,"-",'REKAP KUALITAS CPO'!B17)</f>
        <v>-</v>
      </c>
      <c r="C19" s="103" t="str">
        <f>IF('REKAP KUALITAS CPO'!C17=0,"-",'REKAP KUALITAS CPO'!C17)</f>
        <v>-</v>
      </c>
      <c r="D19" s="104" t="str" cm="1">
        <f t="array" ref="D19">IF(OR('REKAP KUALITAS CPO'!C17=0,COUNTIF('REKAP KUALITAS CPO'!C$5:C17,"&gt;0")&lt;2),"-",TEXT('REKAP KUALITAS CPO'!C17-LOOKUP(2,1/('REKAP KUALITAS CPO'!C$5:C16&gt;0),'REKAP KUALITAS CPO'!C$5:C16),"+0.00;-0.00;\u2192"))</f>
        <v>-</v>
      </c>
      <c r="E19" s="103" t="str">
        <f>IF('REKAP KUALITAS CPO'!D17=0,"-",'REKAP KUALITAS CPO'!D17)</f>
        <v>-</v>
      </c>
      <c r="F19" s="103" t="str">
        <f>IF('REKAP KUALITAS CPO'!E17=0,"-",'REKAP KUALITAS CPO'!E17)</f>
        <v>-</v>
      </c>
      <c r="G19" s="104" t="str">
        <f>IF('REKAP KUALITAS CPO'!F17=0,"-",'REKAP KUALITAS CPO'!F17)</f>
        <v>-</v>
      </c>
      <c r="H19" s="104" t="str">
        <f>IF('REKAP KUALITAS CPO'!G17=0,"-",'REKAP KUALITAS CPO'!G17)</f>
        <v>-</v>
      </c>
      <c r="I19" s="104" t="str">
        <f>IF('REKAP KUALITAS CPO'!H17=0,"-",'REKAP KUALITAS CPO'!H17)</f>
        <v>-</v>
      </c>
      <c r="J19" s="104" t="str">
        <f>IF('REKAP KUALITAS CPO'!I17=0,"-",'REKAP KUALITAS CPO'!I17)</f>
        <v>-</v>
      </c>
      <c r="K19" s="105" t="str">
        <f>IF('REKAP KUALITAS CPO'!C17=0,"NO DATA",IF('REKAP KUALITAS CPO'!C17&gt;5,"OVER SPEC",IF(OR('REKAP KUALITAS CPO'!C17&gt;4.5,'REKAP KUALITAS CPO'!D17&gt;0.45,'REKAP KUALITAS CPO'!E17&lt;2.2),"MENDEKATI","AMAN")))</f>
        <v>NO DATA</v>
      </c>
      <c r="L19" s="104" t="str">
        <f>IF('REKAP KUALITAS CPO'!J17=0,"-",'REKAP KUALITAS CPO'!J17)</f>
        <v>-</v>
      </c>
      <c r="M19" s="103" t="str">
        <f>IF('REKAP KUALITAS CPO'!K17=0,"-",'REKAP KUALITAS CPO'!K17)</f>
        <v>-</v>
      </c>
      <c r="N19" s="104" t="str" cm="1">
        <f t="array" ref="N19">IF(OR('REKAP KUALITAS CPO'!K17=0,COUNTIF('REKAP KUALITAS CPO'!K$5:K17,"&gt;0")&lt;2),"-",TEXT('REKAP KUALITAS CPO'!K17-LOOKUP(2,1/('REKAP KUALITAS CPO'!K$5:K16&gt;0),'REKAP KUALITAS CPO'!K$5:K16),"+0.00;-0.00;\u2192"))</f>
        <v>-</v>
      </c>
      <c r="O19" s="103" t="str">
        <f>IF('REKAP KUALITAS CPO'!L17=0,"-",'REKAP KUALITAS CPO'!L17)</f>
        <v>-</v>
      </c>
      <c r="P19" s="103" t="str">
        <f>IF('REKAP KUALITAS CPO'!M17=0,"-",'REKAP KUALITAS CPO'!M17)</f>
        <v>-</v>
      </c>
      <c r="Q19" s="104" t="str">
        <f>IF('REKAP KUALITAS CPO'!N17=0,"-",'REKAP KUALITAS CPO'!N17)</f>
        <v>-</v>
      </c>
      <c r="R19" s="104" t="str">
        <f>IF('REKAP KUALITAS CPO'!O17=0,"-",'REKAP KUALITAS CPO'!O17)</f>
        <v>-</v>
      </c>
      <c r="S19" s="104" t="str">
        <f>IF('REKAP KUALITAS CPO'!P17=0,"-",'REKAP KUALITAS CPO'!P17)</f>
        <v>-</v>
      </c>
      <c r="T19" s="104" t="str">
        <f>IF('REKAP KUALITAS CPO'!Q17=0,"-",'REKAP KUALITAS CPO'!Q17)</f>
        <v>-</v>
      </c>
      <c r="U19" s="105" t="str">
        <f>IF('REKAP KUALITAS CPO'!K17=0,"NO DATA",IF('REKAP KUALITAS CPO'!K17&gt;5,"OVER SPEC",IF(OR('REKAP KUALITAS CPO'!K17&gt;4.5,'REKAP KUALITAS CPO'!L17&gt;0.45,'REKAP KUALITAS CPO'!M17&lt;2.2),"MENDEKATI","AMAN")))</f>
        <v>NO DATA</v>
      </c>
      <c r="V19" s="104" t="str">
        <f>IF('REKAP KUALITAS CPO'!R17=0,"-",'REKAP KUALITAS CPO'!R17)</f>
        <v>-</v>
      </c>
      <c r="W19" s="103" t="str">
        <f>IF('REKAP KUALITAS CPO'!S17=0,"-",'REKAP KUALITAS CPO'!S17)</f>
        <v>-</v>
      </c>
      <c r="X19" s="104" t="str" cm="1">
        <f t="array" ref="X19">IF(OR('REKAP KUALITAS CPO'!S17=0,COUNTIF('REKAP KUALITAS CPO'!S$5:S17,"&gt;0")&lt;2),"-",TEXT('REKAP KUALITAS CPO'!S17-LOOKUP(2,1/('REKAP KUALITAS CPO'!S$5:S16&gt;0),'REKAP KUALITAS CPO'!S$5:S16),"+0.00;-0.00;\u2192"))</f>
        <v>-</v>
      </c>
      <c r="Y19" s="103" t="str">
        <f>IF('REKAP KUALITAS CPO'!T17=0,"-",'REKAP KUALITAS CPO'!T17)</f>
        <v>-</v>
      </c>
      <c r="Z19" s="103" t="str">
        <f>IF('REKAP KUALITAS CPO'!U17=0,"-",'REKAP KUALITAS CPO'!U17)</f>
        <v>-</v>
      </c>
      <c r="AA19" s="104" t="str">
        <f>IF('REKAP KUALITAS CPO'!V17=0,"-",'REKAP KUALITAS CPO'!V17)</f>
        <v>-</v>
      </c>
      <c r="AB19" s="104" t="str">
        <f>IF('REKAP KUALITAS CPO'!W17=0,"-",'REKAP KUALITAS CPO'!W17)</f>
        <v>-</v>
      </c>
      <c r="AC19" s="104" t="str">
        <f>IF('REKAP KUALITAS CPO'!X17=0,"-",'REKAP KUALITAS CPO'!X17)</f>
        <v>-</v>
      </c>
      <c r="AD19" s="104" t="str">
        <f>IF('REKAP KUALITAS CPO'!Y17=0,"-",'REKAP KUALITAS CPO'!Y17)</f>
        <v>-</v>
      </c>
      <c r="AE19" s="105" t="str">
        <f>IF('REKAP KUALITAS CPO'!S17=0,"NO DATA",IF('REKAP KUALITAS CPO'!S17&gt;5,"OVER SPEC",IF(OR('REKAP KUALITAS CPO'!S17&gt;4.5,'REKAP KUALITAS CPO'!T17&gt;0.45,'REKAP KUALITAS CPO'!U17&lt;2.2),"MENDEKATI","AMAN")))</f>
        <v>NO DATA</v>
      </c>
      <c r="AF19" s="106" t="str">
        <f t="shared" si="0"/>
        <v>Tidak ada data</v>
      </c>
    </row>
    <row r="20" spans="1:32" x14ac:dyDescent="0.2">
      <c r="A20" s="103" t="str">
        <f>'REKAP KUALITAS CPO'!A18</f>
        <v>14 Mar</v>
      </c>
      <c r="B20" s="104" t="str">
        <f>IF('REKAP KUALITAS CPO'!B18=0,"-",'REKAP KUALITAS CPO'!B18)</f>
        <v>-</v>
      </c>
      <c r="C20" s="103" t="str">
        <f>IF('REKAP KUALITAS CPO'!C18=0,"-",'REKAP KUALITAS CPO'!C18)</f>
        <v>-</v>
      </c>
      <c r="D20" s="104" t="str" cm="1">
        <f t="array" ref="D20">IF(OR('REKAP KUALITAS CPO'!C18=0,COUNTIF('REKAP KUALITAS CPO'!C$5:C18,"&gt;0")&lt;2),"-",TEXT('REKAP KUALITAS CPO'!C18-LOOKUP(2,1/('REKAP KUALITAS CPO'!C$5:C17&gt;0),'REKAP KUALITAS CPO'!C$5:C17),"+0.00;-0.00;\u2192"))</f>
        <v>-</v>
      </c>
      <c r="E20" s="103" t="str">
        <f>IF('REKAP KUALITAS CPO'!D18=0,"-",'REKAP KUALITAS CPO'!D18)</f>
        <v>-</v>
      </c>
      <c r="F20" s="103" t="str">
        <f>IF('REKAP KUALITAS CPO'!E18=0,"-",'REKAP KUALITAS CPO'!E18)</f>
        <v>-</v>
      </c>
      <c r="G20" s="104" t="str">
        <f>IF('REKAP KUALITAS CPO'!F18=0,"-",'REKAP KUALITAS CPO'!F18)</f>
        <v>-</v>
      </c>
      <c r="H20" s="104" t="str">
        <f>IF('REKAP KUALITAS CPO'!G18=0,"-",'REKAP KUALITAS CPO'!G18)</f>
        <v>-</v>
      </c>
      <c r="I20" s="104" t="str">
        <f>IF('REKAP KUALITAS CPO'!H18=0,"-",'REKAP KUALITAS CPO'!H18)</f>
        <v>-</v>
      </c>
      <c r="J20" s="104" t="str">
        <f>IF('REKAP KUALITAS CPO'!I18=0,"-",'REKAP KUALITAS CPO'!I18)</f>
        <v>-</v>
      </c>
      <c r="K20" s="105" t="str">
        <f>IF('REKAP KUALITAS CPO'!C18=0,"NO DATA",IF('REKAP KUALITAS CPO'!C18&gt;5,"OVER SPEC",IF(OR('REKAP KUALITAS CPO'!C18&gt;4.5,'REKAP KUALITAS CPO'!D18&gt;0.45,'REKAP KUALITAS CPO'!E18&lt;2.2),"MENDEKATI","AMAN")))</f>
        <v>NO DATA</v>
      </c>
      <c r="L20" s="104" t="str">
        <f>IF('REKAP KUALITAS CPO'!J18=0,"-",'REKAP KUALITAS CPO'!J18)</f>
        <v>-</v>
      </c>
      <c r="M20" s="103" t="str">
        <f>IF('REKAP KUALITAS CPO'!K18=0,"-",'REKAP KUALITAS CPO'!K18)</f>
        <v>-</v>
      </c>
      <c r="N20" s="104" t="str" cm="1">
        <f t="array" ref="N20">IF(OR('REKAP KUALITAS CPO'!K18=0,COUNTIF('REKAP KUALITAS CPO'!K$5:K18,"&gt;0")&lt;2),"-",TEXT('REKAP KUALITAS CPO'!K18-LOOKUP(2,1/('REKAP KUALITAS CPO'!K$5:K17&gt;0),'REKAP KUALITAS CPO'!K$5:K17),"+0.00;-0.00;\u2192"))</f>
        <v>-</v>
      </c>
      <c r="O20" s="103" t="str">
        <f>IF('REKAP KUALITAS CPO'!L18=0,"-",'REKAP KUALITAS CPO'!L18)</f>
        <v>-</v>
      </c>
      <c r="P20" s="103" t="str">
        <f>IF('REKAP KUALITAS CPO'!M18=0,"-",'REKAP KUALITAS CPO'!M18)</f>
        <v>-</v>
      </c>
      <c r="Q20" s="104" t="str">
        <f>IF('REKAP KUALITAS CPO'!N18=0,"-",'REKAP KUALITAS CPO'!N18)</f>
        <v>-</v>
      </c>
      <c r="R20" s="104" t="str">
        <f>IF('REKAP KUALITAS CPO'!O18=0,"-",'REKAP KUALITAS CPO'!O18)</f>
        <v>-</v>
      </c>
      <c r="S20" s="104" t="str">
        <f>IF('REKAP KUALITAS CPO'!P18=0,"-",'REKAP KUALITAS CPO'!P18)</f>
        <v>-</v>
      </c>
      <c r="T20" s="104" t="str">
        <f>IF('REKAP KUALITAS CPO'!Q18=0,"-",'REKAP KUALITAS CPO'!Q18)</f>
        <v>-</v>
      </c>
      <c r="U20" s="105" t="str">
        <f>IF('REKAP KUALITAS CPO'!K18=0,"NO DATA",IF('REKAP KUALITAS CPO'!K18&gt;5,"OVER SPEC",IF(OR('REKAP KUALITAS CPO'!K18&gt;4.5,'REKAP KUALITAS CPO'!L18&gt;0.45,'REKAP KUALITAS CPO'!M18&lt;2.2),"MENDEKATI","AMAN")))</f>
        <v>NO DATA</v>
      </c>
      <c r="V20" s="104" t="str">
        <f>IF('REKAP KUALITAS CPO'!R18=0,"-",'REKAP KUALITAS CPO'!R18)</f>
        <v>-</v>
      </c>
      <c r="W20" s="103" t="str">
        <f>IF('REKAP KUALITAS CPO'!S18=0,"-",'REKAP KUALITAS CPO'!S18)</f>
        <v>-</v>
      </c>
      <c r="X20" s="104" t="str" cm="1">
        <f t="array" ref="X20">IF(OR('REKAP KUALITAS CPO'!S18=0,COUNTIF('REKAP KUALITAS CPO'!S$5:S18,"&gt;0")&lt;2),"-",TEXT('REKAP KUALITAS CPO'!S18-LOOKUP(2,1/('REKAP KUALITAS CPO'!S$5:S17&gt;0),'REKAP KUALITAS CPO'!S$5:S17),"+0.00;-0.00;\u2192"))</f>
        <v>-</v>
      </c>
      <c r="Y20" s="103" t="str">
        <f>IF('REKAP KUALITAS CPO'!T18=0,"-",'REKAP KUALITAS CPO'!T18)</f>
        <v>-</v>
      </c>
      <c r="Z20" s="103" t="str">
        <f>IF('REKAP KUALITAS CPO'!U18=0,"-",'REKAP KUALITAS CPO'!U18)</f>
        <v>-</v>
      </c>
      <c r="AA20" s="104" t="str">
        <f>IF('REKAP KUALITAS CPO'!V18=0,"-",'REKAP KUALITAS CPO'!V18)</f>
        <v>-</v>
      </c>
      <c r="AB20" s="104" t="str">
        <f>IF('REKAP KUALITAS CPO'!W18=0,"-",'REKAP KUALITAS CPO'!W18)</f>
        <v>-</v>
      </c>
      <c r="AC20" s="104" t="str">
        <f>IF('REKAP KUALITAS CPO'!X18=0,"-",'REKAP KUALITAS CPO'!X18)</f>
        <v>-</v>
      </c>
      <c r="AD20" s="104" t="str">
        <f>IF('REKAP KUALITAS CPO'!Y18=0,"-",'REKAP KUALITAS CPO'!Y18)</f>
        <v>-</v>
      </c>
      <c r="AE20" s="105" t="str">
        <f>IF('REKAP KUALITAS CPO'!S18=0,"NO DATA",IF('REKAP KUALITAS CPO'!S18&gt;5,"OVER SPEC",IF(OR('REKAP KUALITAS CPO'!S18&gt;4.5,'REKAP KUALITAS CPO'!T18&gt;0.45,'REKAP KUALITAS CPO'!U18&lt;2.2),"MENDEKATI","AMAN")))</f>
        <v>NO DATA</v>
      </c>
      <c r="AF20" s="106" t="str">
        <f t="shared" si="0"/>
        <v>Tidak ada data</v>
      </c>
    </row>
    <row r="21" spans="1:32" x14ac:dyDescent="0.2">
      <c r="A21" s="103" t="str">
        <f>'REKAP KUALITAS CPO'!A19</f>
        <v>15 Mar</v>
      </c>
      <c r="B21" s="104" t="str">
        <f>IF('REKAP KUALITAS CPO'!B19=0,"-",'REKAP KUALITAS CPO'!B19)</f>
        <v>-</v>
      </c>
      <c r="C21" s="103" t="str">
        <f>IF('REKAP KUALITAS CPO'!C19=0,"-",'REKAP KUALITAS CPO'!C19)</f>
        <v>-</v>
      </c>
      <c r="D21" s="104" t="str" cm="1">
        <f t="array" ref="D21">IF(OR('REKAP KUALITAS CPO'!C19=0,COUNTIF('REKAP KUALITAS CPO'!C$5:C19,"&gt;0")&lt;2),"-",TEXT('REKAP KUALITAS CPO'!C19-LOOKUP(2,1/('REKAP KUALITAS CPO'!C$5:C18&gt;0),'REKAP KUALITAS CPO'!C$5:C18),"+0.00;-0.00;\u2192"))</f>
        <v>-</v>
      </c>
      <c r="E21" s="103" t="str">
        <f>IF('REKAP KUALITAS CPO'!D19=0,"-",'REKAP KUALITAS CPO'!D19)</f>
        <v>-</v>
      </c>
      <c r="F21" s="103" t="str">
        <f>IF('REKAP KUALITAS CPO'!E19=0,"-",'REKAP KUALITAS CPO'!E19)</f>
        <v>-</v>
      </c>
      <c r="G21" s="104" t="str">
        <f>IF('REKAP KUALITAS CPO'!F19=0,"-",'REKAP KUALITAS CPO'!F19)</f>
        <v>-</v>
      </c>
      <c r="H21" s="104" t="str">
        <f>IF('REKAP KUALITAS CPO'!G19=0,"-",'REKAP KUALITAS CPO'!G19)</f>
        <v>-</v>
      </c>
      <c r="I21" s="104" t="str">
        <f>IF('REKAP KUALITAS CPO'!H19=0,"-",'REKAP KUALITAS CPO'!H19)</f>
        <v>-</v>
      </c>
      <c r="J21" s="104" t="str">
        <f>IF('REKAP KUALITAS CPO'!I19=0,"-",'REKAP KUALITAS CPO'!I19)</f>
        <v>-</v>
      </c>
      <c r="K21" s="105" t="str">
        <f>IF('REKAP KUALITAS CPO'!C19=0,"NO DATA",IF('REKAP KUALITAS CPO'!C19&gt;5,"OVER SPEC",IF(OR('REKAP KUALITAS CPO'!C19&gt;4.5,'REKAP KUALITAS CPO'!D19&gt;0.45,'REKAP KUALITAS CPO'!E19&lt;2.2),"MENDEKATI","AMAN")))</f>
        <v>NO DATA</v>
      </c>
      <c r="L21" s="104" t="str">
        <f>IF('REKAP KUALITAS CPO'!J19=0,"-",'REKAP KUALITAS CPO'!J19)</f>
        <v>-</v>
      </c>
      <c r="M21" s="103" t="str">
        <f>IF('REKAP KUALITAS CPO'!K19=0,"-",'REKAP KUALITAS CPO'!K19)</f>
        <v>-</v>
      </c>
      <c r="N21" s="104" t="str" cm="1">
        <f t="array" ref="N21">IF(OR('REKAP KUALITAS CPO'!K19=0,COUNTIF('REKAP KUALITAS CPO'!K$5:K19,"&gt;0")&lt;2),"-",TEXT('REKAP KUALITAS CPO'!K19-LOOKUP(2,1/('REKAP KUALITAS CPO'!K$5:K18&gt;0),'REKAP KUALITAS CPO'!K$5:K18),"+0.00;-0.00;\u2192"))</f>
        <v>-</v>
      </c>
      <c r="O21" s="103" t="str">
        <f>IF('REKAP KUALITAS CPO'!L19=0,"-",'REKAP KUALITAS CPO'!L19)</f>
        <v>-</v>
      </c>
      <c r="P21" s="103" t="str">
        <f>IF('REKAP KUALITAS CPO'!M19=0,"-",'REKAP KUALITAS CPO'!M19)</f>
        <v>-</v>
      </c>
      <c r="Q21" s="104" t="str">
        <f>IF('REKAP KUALITAS CPO'!N19=0,"-",'REKAP KUALITAS CPO'!N19)</f>
        <v>-</v>
      </c>
      <c r="R21" s="104" t="str">
        <f>IF('REKAP KUALITAS CPO'!O19=0,"-",'REKAP KUALITAS CPO'!O19)</f>
        <v>-</v>
      </c>
      <c r="S21" s="104" t="str">
        <f>IF('REKAP KUALITAS CPO'!P19=0,"-",'REKAP KUALITAS CPO'!P19)</f>
        <v>-</v>
      </c>
      <c r="T21" s="104" t="str">
        <f>IF('REKAP KUALITAS CPO'!Q19=0,"-",'REKAP KUALITAS CPO'!Q19)</f>
        <v>-</v>
      </c>
      <c r="U21" s="105" t="str">
        <f>IF('REKAP KUALITAS CPO'!K19=0,"NO DATA",IF('REKAP KUALITAS CPO'!K19&gt;5,"OVER SPEC",IF(OR('REKAP KUALITAS CPO'!K19&gt;4.5,'REKAP KUALITAS CPO'!L19&gt;0.45,'REKAP KUALITAS CPO'!M19&lt;2.2),"MENDEKATI","AMAN")))</f>
        <v>NO DATA</v>
      </c>
      <c r="V21" s="104" t="str">
        <f>IF('REKAP KUALITAS CPO'!R19=0,"-",'REKAP KUALITAS CPO'!R19)</f>
        <v>-</v>
      </c>
      <c r="W21" s="103" t="str">
        <f>IF('REKAP KUALITAS CPO'!S19=0,"-",'REKAP KUALITAS CPO'!S19)</f>
        <v>-</v>
      </c>
      <c r="X21" s="104" t="str" cm="1">
        <f t="array" ref="X21">IF(OR('REKAP KUALITAS CPO'!S19=0,COUNTIF('REKAP KUALITAS CPO'!S$5:S19,"&gt;0")&lt;2),"-",TEXT('REKAP KUALITAS CPO'!S19-LOOKUP(2,1/('REKAP KUALITAS CPO'!S$5:S18&gt;0),'REKAP KUALITAS CPO'!S$5:S18),"+0.00;-0.00;\u2192"))</f>
        <v>-</v>
      </c>
      <c r="Y21" s="103" t="str">
        <f>IF('REKAP KUALITAS CPO'!T19=0,"-",'REKAP KUALITAS CPO'!T19)</f>
        <v>-</v>
      </c>
      <c r="Z21" s="103" t="str">
        <f>IF('REKAP KUALITAS CPO'!U19=0,"-",'REKAP KUALITAS CPO'!U19)</f>
        <v>-</v>
      </c>
      <c r="AA21" s="104" t="str">
        <f>IF('REKAP KUALITAS CPO'!V19=0,"-",'REKAP KUALITAS CPO'!V19)</f>
        <v>-</v>
      </c>
      <c r="AB21" s="104" t="str">
        <f>IF('REKAP KUALITAS CPO'!W19=0,"-",'REKAP KUALITAS CPO'!W19)</f>
        <v>-</v>
      </c>
      <c r="AC21" s="104" t="str">
        <f>IF('REKAP KUALITAS CPO'!X19=0,"-",'REKAP KUALITAS CPO'!X19)</f>
        <v>-</v>
      </c>
      <c r="AD21" s="104" t="str">
        <f>IF('REKAP KUALITAS CPO'!Y19=0,"-",'REKAP KUALITAS CPO'!Y19)</f>
        <v>-</v>
      </c>
      <c r="AE21" s="105" t="str">
        <f>IF('REKAP KUALITAS CPO'!S19=0,"NO DATA",IF('REKAP KUALITAS CPO'!S19&gt;5,"OVER SPEC",IF(OR('REKAP KUALITAS CPO'!S19&gt;4.5,'REKAP KUALITAS CPO'!T19&gt;0.45,'REKAP KUALITAS CPO'!U19&lt;2.2),"MENDEKATI","AMAN")))</f>
        <v>NO DATA</v>
      </c>
      <c r="AF21" s="106" t="str">
        <f t="shared" si="0"/>
        <v>Tidak ada data</v>
      </c>
    </row>
    <row r="22" spans="1:32" x14ac:dyDescent="0.2">
      <c r="A22" s="103" t="str">
        <f>'REKAP KUALITAS CPO'!A20</f>
        <v>16 Mar</v>
      </c>
      <c r="B22" s="104" t="str">
        <f>IF('REKAP KUALITAS CPO'!B20=0,"-",'REKAP KUALITAS CPO'!B20)</f>
        <v>-</v>
      </c>
      <c r="C22" s="103" t="str">
        <f>IF('REKAP KUALITAS CPO'!C20=0,"-",'REKAP KUALITAS CPO'!C20)</f>
        <v>-</v>
      </c>
      <c r="D22" s="104" t="str" cm="1">
        <f t="array" ref="D22">IF(OR('REKAP KUALITAS CPO'!C20=0,COUNTIF('REKAP KUALITAS CPO'!C$5:C20,"&gt;0")&lt;2),"-",TEXT('REKAP KUALITAS CPO'!C20-LOOKUP(2,1/('REKAP KUALITAS CPO'!C$5:C19&gt;0),'REKAP KUALITAS CPO'!C$5:C19),"+0.00;-0.00;\u2192"))</f>
        <v>-</v>
      </c>
      <c r="E22" s="103" t="str">
        <f>IF('REKAP KUALITAS CPO'!D20=0,"-",'REKAP KUALITAS CPO'!D20)</f>
        <v>-</v>
      </c>
      <c r="F22" s="103" t="str">
        <f>IF('REKAP KUALITAS CPO'!E20=0,"-",'REKAP KUALITAS CPO'!E20)</f>
        <v>-</v>
      </c>
      <c r="G22" s="104" t="str">
        <f>IF('REKAP KUALITAS CPO'!F20=0,"-",'REKAP KUALITAS CPO'!F20)</f>
        <v>-</v>
      </c>
      <c r="H22" s="104" t="str">
        <f>IF('REKAP KUALITAS CPO'!G20=0,"-",'REKAP KUALITAS CPO'!G20)</f>
        <v>-</v>
      </c>
      <c r="I22" s="104" t="str">
        <f>IF('REKAP KUALITAS CPO'!H20=0,"-",'REKAP KUALITAS CPO'!H20)</f>
        <v>-</v>
      </c>
      <c r="J22" s="104" t="str">
        <f>IF('REKAP KUALITAS CPO'!I20=0,"-",'REKAP KUALITAS CPO'!I20)</f>
        <v>-</v>
      </c>
      <c r="K22" s="105" t="str">
        <f>IF('REKAP KUALITAS CPO'!C20=0,"NO DATA",IF('REKAP KUALITAS CPO'!C20&gt;5,"OVER SPEC",IF(OR('REKAP KUALITAS CPO'!C20&gt;4.5,'REKAP KUALITAS CPO'!D20&gt;0.45,'REKAP KUALITAS CPO'!E20&lt;2.2),"MENDEKATI","AMAN")))</f>
        <v>NO DATA</v>
      </c>
      <c r="L22" s="104" t="str">
        <f>IF('REKAP KUALITAS CPO'!J20=0,"-",'REKAP KUALITAS CPO'!J20)</f>
        <v>-</v>
      </c>
      <c r="M22" s="103" t="str">
        <f>IF('REKAP KUALITAS CPO'!K20=0,"-",'REKAP KUALITAS CPO'!K20)</f>
        <v>-</v>
      </c>
      <c r="N22" s="104" t="str" cm="1">
        <f t="array" ref="N22">IF(OR('REKAP KUALITAS CPO'!K20=0,COUNTIF('REKAP KUALITAS CPO'!K$5:K20,"&gt;0")&lt;2),"-",TEXT('REKAP KUALITAS CPO'!K20-LOOKUP(2,1/('REKAP KUALITAS CPO'!K$5:K19&gt;0),'REKAP KUALITAS CPO'!K$5:K19),"+0.00;-0.00;\u2192"))</f>
        <v>-</v>
      </c>
      <c r="O22" s="103" t="str">
        <f>IF('REKAP KUALITAS CPO'!L20=0,"-",'REKAP KUALITAS CPO'!L20)</f>
        <v>-</v>
      </c>
      <c r="P22" s="103" t="str">
        <f>IF('REKAP KUALITAS CPO'!M20=0,"-",'REKAP KUALITAS CPO'!M20)</f>
        <v>-</v>
      </c>
      <c r="Q22" s="104" t="str">
        <f>IF('REKAP KUALITAS CPO'!N20=0,"-",'REKAP KUALITAS CPO'!N20)</f>
        <v>-</v>
      </c>
      <c r="R22" s="104" t="str">
        <f>IF('REKAP KUALITAS CPO'!O20=0,"-",'REKAP KUALITAS CPO'!O20)</f>
        <v>-</v>
      </c>
      <c r="S22" s="104" t="str">
        <f>IF('REKAP KUALITAS CPO'!P20=0,"-",'REKAP KUALITAS CPO'!P20)</f>
        <v>-</v>
      </c>
      <c r="T22" s="104" t="str">
        <f>IF('REKAP KUALITAS CPO'!Q20=0,"-",'REKAP KUALITAS CPO'!Q20)</f>
        <v>-</v>
      </c>
      <c r="U22" s="105" t="str">
        <f>IF('REKAP KUALITAS CPO'!K20=0,"NO DATA",IF('REKAP KUALITAS CPO'!K20&gt;5,"OVER SPEC",IF(OR('REKAP KUALITAS CPO'!K20&gt;4.5,'REKAP KUALITAS CPO'!L20&gt;0.45,'REKAP KUALITAS CPO'!M20&lt;2.2),"MENDEKATI","AMAN")))</f>
        <v>NO DATA</v>
      </c>
      <c r="V22" s="104" t="str">
        <f>IF('REKAP KUALITAS CPO'!R20=0,"-",'REKAP KUALITAS CPO'!R20)</f>
        <v>-</v>
      </c>
      <c r="W22" s="103" t="str">
        <f>IF('REKAP KUALITAS CPO'!S20=0,"-",'REKAP KUALITAS CPO'!S20)</f>
        <v>-</v>
      </c>
      <c r="X22" s="104" t="str" cm="1">
        <f t="array" ref="X22">IF(OR('REKAP KUALITAS CPO'!S20=0,COUNTIF('REKAP KUALITAS CPO'!S$5:S20,"&gt;0")&lt;2),"-",TEXT('REKAP KUALITAS CPO'!S20-LOOKUP(2,1/('REKAP KUALITAS CPO'!S$5:S19&gt;0),'REKAP KUALITAS CPO'!S$5:S19),"+0.00;-0.00;\u2192"))</f>
        <v>-</v>
      </c>
      <c r="Y22" s="103" t="str">
        <f>IF('REKAP KUALITAS CPO'!T20=0,"-",'REKAP KUALITAS CPO'!T20)</f>
        <v>-</v>
      </c>
      <c r="Z22" s="103" t="str">
        <f>IF('REKAP KUALITAS CPO'!U20=0,"-",'REKAP KUALITAS CPO'!U20)</f>
        <v>-</v>
      </c>
      <c r="AA22" s="104" t="str">
        <f>IF('REKAP KUALITAS CPO'!V20=0,"-",'REKAP KUALITAS CPO'!V20)</f>
        <v>-</v>
      </c>
      <c r="AB22" s="104" t="str">
        <f>IF('REKAP KUALITAS CPO'!W20=0,"-",'REKAP KUALITAS CPO'!W20)</f>
        <v>-</v>
      </c>
      <c r="AC22" s="104" t="str">
        <f>IF('REKAP KUALITAS CPO'!X20=0,"-",'REKAP KUALITAS CPO'!X20)</f>
        <v>-</v>
      </c>
      <c r="AD22" s="104" t="str">
        <f>IF('REKAP KUALITAS CPO'!Y20=0,"-",'REKAP KUALITAS CPO'!Y20)</f>
        <v>-</v>
      </c>
      <c r="AE22" s="105" t="str">
        <f>IF('REKAP KUALITAS CPO'!S20=0,"NO DATA",IF('REKAP KUALITAS CPO'!S20&gt;5,"OVER SPEC",IF(OR('REKAP KUALITAS CPO'!S20&gt;4.5,'REKAP KUALITAS CPO'!T20&gt;0.45,'REKAP KUALITAS CPO'!U20&lt;2.2),"MENDEKATI","AMAN")))</f>
        <v>NO DATA</v>
      </c>
      <c r="AF22" s="106" t="str">
        <f t="shared" si="0"/>
        <v>Tidak ada data</v>
      </c>
    </row>
    <row r="23" spans="1:32" x14ac:dyDescent="0.2">
      <c r="A23" s="103" t="str">
        <f>'REKAP KUALITAS CPO'!A21</f>
        <v>17 Mar</v>
      </c>
      <c r="B23" s="104" t="str">
        <f>IF('REKAP KUALITAS CPO'!B21=0,"-",'REKAP KUALITAS CPO'!B21)</f>
        <v>-</v>
      </c>
      <c r="C23" s="103" t="str">
        <f>IF('REKAP KUALITAS CPO'!C21=0,"-",'REKAP KUALITAS CPO'!C21)</f>
        <v>-</v>
      </c>
      <c r="D23" s="104" t="str" cm="1">
        <f t="array" ref="D23">IF(OR('REKAP KUALITAS CPO'!C21=0,COUNTIF('REKAP KUALITAS CPO'!C$5:C21,"&gt;0")&lt;2),"-",TEXT('REKAP KUALITAS CPO'!C21-LOOKUP(2,1/('REKAP KUALITAS CPO'!C$5:C20&gt;0),'REKAP KUALITAS CPO'!C$5:C20),"+0.00;-0.00;\u2192"))</f>
        <v>-</v>
      </c>
      <c r="E23" s="103" t="str">
        <f>IF('REKAP KUALITAS CPO'!D21=0,"-",'REKAP KUALITAS CPO'!D21)</f>
        <v>-</v>
      </c>
      <c r="F23" s="103" t="str">
        <f>IF('REKAP KUALITAS CPO'!E21=0,"-",'REKAP KUALITAS CPO'!E21)</f>
        <v>-</v>
      </c>
      <c r="G23" s="104" t="str">
        <f>IF('REKAP KUALITAS CPO'!F21=0,"-",'REKAP KUALITAS CPO'!F21)</f>
        <v>-</v>
      </c>
      <c r="H23" s="104" t="str">
        <f>IF('REKAP KUALITAS CPO'!G21=0,"-",'REKAP KUALITAS CPO'!G21)</f>
        <v>-</v>
      </c>
      <c r="I23" s="104" t="str">
        <f>IF('REKAP KUALITAS CPO'!H21=0,"-",'REKAP KUALITAS CPO'!H21)</f>
        <v>-</v>
      </c>
      <c r="J23" s="104" t="str">
        <f>IF('REKAP KUALITAS CPO'!I21=0,"-",'REKAP KUALITAS CPO'!I21)</f>
        <v>-</v>
      </c>
      <c r="K23" s="105" t="str">
        <f>IF('REKAP KUALITAS CPO'!C21=0,"NO DATA",IF('REKAP KUALITAS CPO'!C21&gt;5,"OVER SPEC",IF(OR('REKAP KUALITAS CPO'!C21&gt;4.5,'REKAP KUALITAS CPO'!D21&gt;0.45,'REKAP KUALITAS CPO'!E21&lt;2.2),"MENDEKATI","AMAN")))</f>
        <v>NO DATA</v>
      </c>
      <c r="L23" s="104" t="str">
        <f>IF('REKAP KUALITAS CPO'!J21=0,"-",'REKAP KUALITAS CPO'!J21)</f>
        <v>-</v>
      </c>
      <c r="M23" s="103" t="str">
        <f>IF('REKAP KUALITAS CPO'!K21=0,"-",'REKAP KUALITAS CPO'!K21)</f>
        <v>-</v>
      </c>
      <c r="N23" s="104" t="str" cm="1">
        <f t="array" ref="N23">IF(OR('REKAP KUALITAS CPO'!K21=0,COUNTIF('REKAP KUALITAS CPO'!K$5:K21,"&gt;0")&lt;2),"-",TEXT('REKAP KUALITAS CPO'!K21-LOOKUP(2,1/('REKAP KUALITAS CPO'!K$5:K20&gt;0),'REKAP KUALITAS CPO'!K$5:K20),"+0.00;-0.00;\u2192"))</f>
        <v>-</v>
      </c>
      <c r="O23" s="103" t="str">
        <f>IF('REKAP KUALITAS CPO'!L21=0,"-",'REKAP KUALITAS CPO'!L21)</f>
        <v>-</v>
      </c>
      <c r="P23" s="103" t="str">
        <f>IF('REKAP KUALITAS CPO'!M21=0,"-",'REKAP KUALITAS CPO'!M21)</f>
        <v>-</v>
      </c>
      <c r="Q23" s="104" t="str">
        <f>IF('REKAP KUALITAS CPO'!N21=0,"-",'REKAP KUALITAS CPO'!N21)</f>
        <v>-</v>
      </c>
      <c r="R23" s="104" t="str">
        <f>IF('REKAP KUALITAS CPO'!O21=0,"-",'REKAP KUALITAS CPO'!O21)</f>
        <v>-</v>
      </c>
      <c r="S23" s="104" t="str">
        <f>IF('REKAP KUALITAS CPO'!P21=0,"-",'REKAP KUALITAS CPO'!P21)</f>
        <v>-</v>
      </c>
      <c r="T23" s="104" t="str">
        <f>IF('REKAP KUALITAS CPO'!Q21=0,"-",'REKAP KUALITAS CPO'!Q21)</f>
        <v>-</v>
      </c>
      <c r="U23" s="105" t="str">
        <f>IF('REKAP KUALITAS CPO'!K21=0,"NO DATA",IF('REKAP KUALITAS CPO'!K21&gt;5,"OVER SPEC",IF(OR('REKAP KUALITAS CPO'!K21&gt;4.5,'REKAP KUALITAS CPO'!L21&gt;0.45,'REKAP KUALITAS CPO'!M21&lt;2.2),"MENDEKATI","AMAN")))</f>
        <v>NO DATA</v>
      </c>
      <c r="V23" s="104" t="str">
        <f>IF('REKAP KUALITAS CPO'!R21=0,"-",'REKAP KUALITAS CPO'!R21)</f>
        <v>-</v>
      </c>
      <c r="W23" s="103" t="str">
        <f>IF('REKAP KUALITAS CPO'!S21=0,"-",'REKAP KUALITAS CPO'!S21)</f>
        <v>-</v>
      </c>
      <c r="X23" s="104" t="str" cm="1">
        <f t="array" ref="X23">IF(OR('REKAP KUALITAS CPO'!S21=0,COUNTIF('REKAP KUALITAS CPO'!S$5:S21,"&gt;0")&lt;2),"-",TEXT('REKAP KUALITAS CPO'!S21-LOOKUP(2,1/('REKAP KUALITAS CPO'!S$5:S20&gt;0),'REKAP KUALITAS CPO'!S$5:S20),"+0.00;-0.00;\u2192"))</f>
        <v>-</v>
      </c>
      <c r="Y23" s="103" t="str">
        <f>IF('REKAP KUALITAS CPO'!T21=0,"-",'REKAP KUALITAS CPO'!T21)</f>
        <v>-</v>
      </c>
      <c r="Z23" s="103" t="str">
        <f>IF('REKAP KUALITAS CPO'!U21=0,"-",'REKAP KUALITAS CPO'!U21)</f>
        <v>-</v>
      </c>
      <c r="AA23" s="104" t="str">
        <f>IF('REKAP KUALITAS CPO'!V21=0,"-",'REKAP KUALITAS CPO'!V21)</f>
        <v>-</v>
      </c>
      <c r="AB23" s="104" t="str">
        <f>IF('REKAP KUALITAS CPO'!W21=0,"-",'REKAP KUALITAS CPO'!W21)</f>
        <v>-</v>
      </c>
      <c r="AC23" s="104" t="str">
        <f>IF('REKAP KUALITAS CPO'!X21=0,"-",'REKAP KUALITAS CPO'!X21)</f>
        <v>-</v>
      </c>
      <c r="AD23" s="104" t="str">
        <f>IF('REKAP KUALITAS CPO'!Y21=0,"-",'REKAP KUALITAS CPO'!Y21)</f>
        <v>-</v>
      </c>
      <c r="AE23" s="105" t="str">
        <f>IF('REKAP KUALITAS CPO'!S21=0,"NO DATA",IF('REKAP KUALITAS CPO'!S21&gt;5,"OVER SPEC",IF(OR('REKAP KUALITAS CPO'!S21&gt;4.5,'REKAP KUALITAS CPO'!T21&gt;0.45,'REKAP KUALITAS CPO'!U21&lt;2.2),"MENDEKATI","AMAN")))</f>
        <v>NO DATA</v>
      </c>
      <c r="AF23" s="106" t="str">
        <f t="shared" si="0"/>
        <v>Tidak ada data</v>
      </c>
    </row>
    <row r="24" spans="1:32" x14ac:dyDescent="0.2">
      <c r="A24" s="103" t="str">
        <f>'REKAP KUALITAS CPO'!A22</f>
        <v>18 Mar</v>
      </c>
      <c r="B24" s="104" t="str">
        <f>IF('REKAP KUALITAS CPO'!B22=0,"-",'REKAP KUALITAS CPO'!B22)</f>
        <v>-</v>
      </c>
      <c r="C24" s="103" t="str">
        <f>IF('REKAP KUALITAS CPO'!C22=0,"-",'REKAP KUALITAS CPO'!C22)</f>
        <v>-</v>
      </c>
      <c r="D24" s="104" t="str" cm="1">
        <f t="array" ref="D24">IF(OR('REKAP KUALITAS CPO'!C22=0,COUNTIF('REKAP KUALITAS CPO'!C$5:C22,"&gt;0")&lt;2),"-",TEXT('REKAP KUALITAS CPO'!C22-LOOKUP(2,1/('REKAP KUALITAS CPO'!C$5:C21&gt;0),'REKAP KUALITAS CPO'!C$5:C21),"+0.00;-0.00;\u2192"))</f>
        <v>-</v>
      </c>
      <c r="E24" s="103" t="str">
        <f>IF('REKAP KUALITAS CPO'!D22=0,"-",'REKAP KUALITAS CPO'!D22)</f>
        <v>-</v>
      </c>
      <c r="F24" s="103" t="str">
        <f>IF('REKAP KUALITAS CPO'!E22=0,"-",'REKAP KUALITAS CPO'!E22)</f>
        <v>-</v>
      </c>
      <c r="G24" s="104" t="str">
        <f>IF('REKAP KUALITAS CPO'!F22=0,"-",'REKAP KUALITAS CPO'!F22)</f>
        <v>-</v>
      </c>
      <c r="H24" s="104" t="str">
        <f>IF('REKAP KUALITAS CPO'!G22=0,"-",'REKAP KUALITAS CPO'!G22)</f>
        <v>-</v>
      </c>
      <c r="I24" s="104" t="str">
        <f>IF('REKAP KUALITAS CPO'!H22=0,"-",'REKAP KUALITAS CPO'!H22)</f>
        <v>-</v>
      </c>
      <c r="J24" s="104" t="str">
        <f>IF('REKAP KUALITAS CPO'!I22=0,"-",'REKAP KUALITAS CPO'!I22)</f>
        <v>-</v>
      </c>
      <c r="K24" s="105" t="str">
        <f>IF('REKAP KUALITAS CPO'!C22=0,"NO DATA",IF('REKAP KUALITAS CPO'!C22&gt;5,"OVER SPEC",IF(OR('REKAP KUALITAS CPO'!C22&gt;4.5,'REKAP KUALITAS CPO'!D22&gt;0.45,'REKAP KUALITAS CPO'!E22&lt;2.2),"MENDEKATI","AMAN")))</f>
        <v>NO DATA</v>
      </c>
      <c r="L24" s="104" t="str">
        <f>IF('REKAP KUALITAS CPO'!J22=0,"-",'REKAP KUALITAS CPO'!J22)</f>
        <v>-</v>
      </c>
      <c r="M24" s="103" t="str">
        <f>IF('REKAP KUALITAS CPO'!K22=0,"-",'REKAP KUALITAS CPO'!K22)</f>
        <v>-</v>
      </c>
      <c r="N24" s="104" t="str" cm="1">
        <f t="array" ref="N24">IF(OR('REKAP KUALITAS CPO'!K22=0,COUNTIF('REKAP KUALITAS CPO'!K$5:K22,"&gt;0")&lt;2),"-",TEXT('REKAP KUALITAS CPO'!K22-LOOKUP(2,1/('REKAP KUALITAS CPO'!K$5:K21&gt;0),'REKAP KUALITAS CPO'!K$5:K21),"+0.00;-0.00;\u2192"))</f>
        <v>-</v>
      </c>
      <c r="O24" s="103" t="str">
        <f>IF('REKAP KUALITAS CPO'!L22=0,"-",'REKAP KUALITAS CPO'!L22)</f>
        <v>-</v>
      </c>
      <c r="P24" s="103" t="str">
        <f>IF('REKAP KUALITAS CPO'!M22=0,"-",'REKAP KUALITAS CPO'!M22)</f>
        <v>-</v>
      </c>
      <c r="Q24" s="104" t="str">
        <f>IF('REKAP KUALITAS CPO'!N22=0,"-",'REKAP KUALITAS CPO'!N22)</f>
        <v>-</v>
      </c>
      <c r="R24" s="104" t="str">
        <f>IF('REKAP KUALITAS CPO'!O22=0,"-",'REKAP KUALITAS CPO'!O22)</f>
        <v>-</v>
      </c>
      <c r="S24" s="104" t="str">
        <f>IF('REKAP KUALITAS CPO'!P22=0,"-",'REKAP KUALITAS CPO'!P22)</f>
        <v>-</v>
      </c>
      <c r="T24" s="104" t="str">
        <f>IF('REKAP KUALITAS CPO'!Q22=0,"-",'REKAP KUALITAS CPO'!Q22)</f>
        <v>-</v>
      </c>
      <c r="U24" s="105" t="str">
        <f>IF('REKAP KUALITAS CPO'!K22=0,"NO DATA",IF('REKAP KUALITAS CPO'!K22&gt;5,"OVER SPEC",IF(OR('REKAP KUALITAS CPO'!K22&gt;4.5,'REKAP KUALITAS CPO'!L22&gt;0.45,'REKAP KUALITAS CPO'!M22&lt;2.2),"MENDEKATI","AMAN")))</f>
        <v>NO DATA</v>
      </c>
      <c r="V24" s="104" t="str">
        <f>IF('REKAP KUALITAS CPO'!R22=0,"-",'REKAP KUALITAS CPO'!R22)</f>
        <v>-</v>
      </c>
      <c r="W24" s="103" t="str">
        <f>IF('REKAP KUALITAS CPO'!S22=0,"-",'REKAP KUALITAS CPO'!S22)</f>
        <v>-</v>
      </c>
      <c r="X24" s="104" t="str" cm="1">
        <f t="array" ref="X24">IF(OR('REKAP KUALITAS CPO'!S22=0,COUNTIF('REKAP KUALITAS CPO'!S$5:S22,"&gt;0")&lt;2),"-",TEXT('REKAP KUALITAS CPO'!S22-LOOKUP(2,1/('REKAP KUALITAS CPO'!S$5:S21&gt;0),'REKAP KUALITAS CPO'!S$5:S21),"+0.00;-0.00;\u2192"))</f>
        <v>-</v>
      </c>
      <c r="Y24" s="103" t="str">
        <f>IF('REKAP KUALITAS CPO'!T22=0,"-",'REKAP KUALITAS CPO'!T22)</f>
        <v>-</v>
      </c>
      <c r="Z24" s="103" t="str">
        <f>IF('REKAP KUALITAS CPO'!U22=0,"-",'REKAP KUALITAS CPO'!U22)</f>
        <v>-</v>
      </c>
      <c r="AA24" s="104" t="str">
        <f>IF('REKAP KUALITAS CPO'!V22=0,"-",'REKAP KUALITAS CPO'!V22)</f>
        <v>-</v>
      </c>
      <c r="AB24" s="104" t="str">
        <f>IF('REKAP KUALITAS CPO'!W22=0,"-",'REKAP KUALITAS CPO'!W22)</f>
        <v>-</v>
      </c>
      <c r="AC24" s="104" t="str">
        <f>IF('REKAP KUALITAS CPO'!X22=0,"-",'REKAP KUALITAS CPO'!X22)</f>
        <v>-</v>
      </c>
      <c r="AD24" s="104" t="str">
        <f>IF('REKAP KUALITAS CPO'!Y22=0,"-",'REKAP KUALITAS CPO'!Y22)</f>
        <v>-</v>
      </c>
      <c r="AE24" s="105" t="str">
        <f>IF('REKAP KUALITAS CPO'!S22=0,"NO DATA",IF('REKAP KUALITAS CPO'!S22&gt;5,"OVER SPEC",IF(OR('REKAP KUALITAS CPO'!S22&gt;4.5,'REKAP KUALITAS CPO'!T22&gt;0.45,'REKAP KUALITAS CPO'!U22&lt;2.2),"MENDEKATI","AMAN")))</f>
        <v>NO DATA</v>
      </c>
      <c r="AF24" s="106" t="str">
        <f t="shared" si="0"/>
        <v>Tidak ada data</v>
      </c>
    </row>
    <row r="25" spans="1:32" x14ac:dyDescent="0.2">
      <c r="A25" s="103" t="str">
        <f>'REKAP KUALITAS CPO'!A23</f>
        <v>19 Mar</v>
      </c>
      <c r="B25" s="104" t="str">
        <f>IF('REKAP KUALITAS CPO'!B23=0,"-",'REKAP KUALITAS CPO'!B23)</f>
        <v>-</v>
      </c>
      <c r="C25" s="103" t="str">
        <f>IF('REKAP KUALITAS CPO'!C23=0,"-",'REKAP KUALITAS CPO'!C23)</f>
        <v>-</v>
      </c>
      <c r="D25" s="104" t="str" cm="1">
        <f t="array" ref="D25">IF(OR('REKAP KUALITAS CPO'!C23=0,COUNTIF('REKAP KUALITAS CPO'!C$5:C23,"&gt;0")&lt;2),"-",TEXT('REKAP KUALITAS CPO'!C23-LOOKUP(2,1/('REKAP KUALITAS CPO'!C$5:C22&gt;0),'REKAP KUALITAS CPO'!C$5:C22),"+0.00;-0.00;\u2192"))</f>
        <v>-</v>
      </c>
      <c r="E25" s="103" t="str">
        <f>IF('REKAP KUALITAS CPO'!D23=0,"-",'REKAP KUALITAS CPO'!D23)</f>
        <v>-</v>
      </c>
      <c r="F25" s="103" t="str">
        <f>IF('REKAP KUALITAS CPO'!E23=0,"-",'REKAP KUALITAS CPO'!E23)</f>
        <v>-</v>
      </c>
      <c r="G25" s="104" t="str">
        <f>IF('REKAP KUALITAS CPO'!F23=0,"-",'REKAP KUALITAS CPO'!F23)</f>
        <v>-</v>
      </c>
      <c r="H25" s="104" t="str">
        <f>IF('REKAP KUALITAS CPO'!G23=0,"-",'REKAP KUALITAS CPO'!G23)</f>
        <v>-</v>
      </c>
      <c r="I25" s="104" t="str">
        <f>IF('REKAP KUALITAS CPO'!H23=0,"-",'REKAP KUALITAS CPO'!H23)</f>
        <v>-</v>
      </c>
      <c r="J25" s="104" t="str">
        <f>IF('REKAP KUALITAS CPO'!I23=0,"-",'REKAP KUALITAS CPO'!I23)</f>
        <v>-</v>
      </c>
      <c r="K25" s="105" t="str">
        <f>IF('REKAP KUALITAS CPO'!C23=0,"NO DATA",IF('REKAP KUALITAS CPO'!C23&gt;5,"OVER SPEC",IF(OR('REKAP KUALITAS CPO'!C23&gt;4.5,'REKAP KUALITAS CPO'!D23&gt;0.45,'REKAP KUALITAS CPO'!E23&lt;2.2),"MENDEKATI","AMAN")))</f>
        <v>NO DATA</v>
      </c>
      <c r="L25" s="104" t="str">
        <f>IF('REKAP KUALITAS CPO'!J23=0,"-",'REKAP KUALITAS CPO'!J23)</f>
        <v>-</v>
      </c>
      <c r="M25" s="103" t="str">
        <f>IF('REKAP KUALITAS CPO'!K23=0,"-",'REKAP KUALITAS CPO'!K23)</f>
        <v>-</v>
      </c>
      <c r="N25" s="104" t="str" cm="1">
        <f t="array" ref="N25">IF(OR('REKAP KUALITAS CPO'!K23=0,COUNTIF('REKAP KUALITAS CPO'!K$5:K23,"&gt;0")&lt;2),"-",TEXT('REKAP KUALITAS CPO'!K23-LOOKUP(2,1/('REKAP KUALITAS CPO'!K$5:K22&gt;0),'REKAP KUALITAS CPO'!K$5:K22),"+0.00;-0.00;\u2192"))</f>
        <v>-</v>
      </c>
      <c r="O25" s="103" t="str">
        <f>IF('REKAP KUALITAS CPO'!L23=0,"-",'REKAP KUALITAS CPO'!L23)</f>
        <v>-</v>
      </c>
      <c r="P25" s="103" t="str">
        <f>IF('REKAP KUALITAS CPO'!M23=0,"-",'REKAP KUALITAS CPO'!M23)</f>
        <v>-</v>
      </c>
      <c r="Q25" s="104" t="str">
        <f>IF('REKAP KUALITAS CPO'!N23=0,"-",'REKAP KUALITAS CPO'!N23)</f>
        <v>-</v>
      </c>
      <c r="R25" s="104" t="str">
        <f>IF('REKAP KUALITAS CPO'!O23=0,"-",'REKAP KUALITAS CPO'!O23)</f>
        <v>-</v>
      </c>
      <c r="S25" s="104" t="str">
        <f>IF('REKAP KUALITAS CPO'!P23=0,"-",'REKAP KUALITAS CPO'!P23)</f>
        <v>-</v>
      </c>
      <c r="T25" s="104" t="str">
        <f>IF('REKAP KUALITAS CPO'!Q23=0,"-",'REKAP KUALITAS CPO'!Q23)</f>
        <v>-</v>
      </c>
      <c r="U25" s="105" t="str">
        <f>IF('REKAP KUALITAS CPO'!K23=0,"NO DATA",IF('REKAP KUALITAS CPO'!K23&gt;5,"OVER SPEC",IF(OR('REKAP KUALITAS CPO'!K23&gt;4.5,'REKAP KUALITAS CPO'!L23&gt;0.45,'REKAP KUALITAS CPO'!M23&lt;2.2),"MENDEKATI","AMAN")))</f>
        <v>NO DATA</v>
      </c>
      <c r="V25" s="104" t="str">
        <f>IF('REKAP KUALITAS CPO'!R23=0,"-",'REKAP KUALITAS CPO'!R23)</f>
        <v>-</v>
      </c>
      <c r="W25" s="103" t="str">
        <f>IF('REKAP KUALITAS CPO'!S23=0,"-",'REKAP KUALITAS CPO'!S23)</f>
        <v>-</v>
      </c>
      <c r="X25" s="104" t="str" cm="1">
        <f t="array" ref="X25">IF(OR('REKAP KUALITAS CPO'!S23=0,COUNTIF('REKAP KUALITAS CPO'!S$5:S23,"&gt;0")&lt;2),"-",TEXT('REKAP KUALITAS CPO'!S23-LOOKUP(2,1/('REKAP KUALITAS CPO'!S$5:S22&gt;0),'REKAP KUALITAS CPO'!S$5:S22),"+0.00;-0.00;\u2192"))</f>
        <v>-</v>
      </c>
      <c r="Y25" s="103" t="str">
        <f>IF('REKAP KUALITAS CPO'!T23=0,"-",'REKAP KUALITAS CPO'!T23)</f>
        <v>-</v>
      </c>
      <c r="Z25" s="103" t="str">
        <f>IF('REKAP KUALITAS CPO'!U23=0,"-",'REKAP KUALITAS CPO'!U23)</f>
        <v>-</v>
      </c>
      <c r="AA25" s="104" t="str">
        <f>IF('REKAP KUALITAS CPO'!V23=0,"-",'REKAP KUALITAS CPO'!V23)</f>
        <v>-</v>
      </c>
      <c r="AB25" s="104" t="str">
        <f>IF('REKAP KUALITAS CPO'!W23=0,"-",'REKAP KUALITAS CPO'!W23)</f>
        <v>-</v>
      </c>
      <c r="AC25" s="104" t="str">
        <f>IF('REKAP KUALITAS CPO'!X23=0,"-",'REKAP KUALITAS CPO'!X23)</f>
        <v>-</v>
      </c>
      <c r="AD25" s="104" t="str">
        <f>IF('REKAP KUALITAS CPO'!Y23=0,"-",'REKAP KUALITAS CPO'!Y23)</f>
        <v>-</v>
      </c>
      <c r="AE25" s="105" t="str">
        <f>IF('REKAP KUALITAS CPO'!S23=0,"NO DATA",IF('REKAP KUALITAS CPO'!S23&gt;5,"OVER SPEC",IF(OR('REKAP KUALITAS CPO'!S23&gt;4.5,'REKAP KUALITAS CPO'!T23&gt;0.45,'REKAP KUALITAS CPO'!U23&lt;2.2),"MENDEKATI","AMAN")))</f>
        <v>NO DATA</v>
      </c>
      <c r="AF25" s="106" t="str">
        <f t="shared" si="0"/>
        <v>Tidak ada data</v>
      </c>
    </row>
    <row r="26" spans="1:32" x14ac:dyDescent="0.2">
      <c r="A26" s="103" t="str">
        <f>'REKAP KUALITAS CPO'!A24</f>
        <v>20 Mar</v>
      </c>
      <c r="B26" s="104" t="str">
        <f>IF('REKAP KUALITAS CPO'!B24=0,"-",'REKAP KUALITAS CPO'!B24)</f>
        <v>-</v>
      </c>
      <c r="C26" s="103" t="str">
        <f>IF('REKAP KUALITAS CPO'!C24=0,"-",'REKAP KUALITAS CPO'!C24)</f>
        <v>-</v>
      </c>
      <c r="D26" s="104" t="str" cm="1">
        <f t="array" ref="D26">IF(OR('REKAP KUALITAS CPO'!C24=0,COUNTIF('REKAP KUALITAS CPO'!C$5:C24,"&gt;0")&lt;2),"-",TEXT('REKAP KUALITAS CPO'!C24-LOOKUP(2,1/('REKAP KUALITAS CPO'!C$5:C23&gt;0),'REKAP KUALITAS CPO'!C$5:C23),"+0.00;-0.00;\u2192"))</f>
        <v>-</v>
      </c>
      <c r="E26" s="103" t="str">
        <f>IF('REKAP KUALITAS CPO'!D24=0,"-",'REKAP KUALITAS CPO'!D24)</f>
        <v>-</v>
      </c>
      <c r="F26" s="103" t="str">
        <f>IF('REKAP KUALITAS CPO'!E24=0,"-",'REKAP KUALITAS CPO'!E24)</f>
        <v>-</v>
      </c>
      <c r="G26" s="104" t="str">
        <f>IF('REKAP KUALITAS CPO'!F24=0,"-",'REKAP KUALITAS CPO'!F24)</f>
        <v>-</v>
      </c>
      <c r="H26" s="104" t="str">
        <f>IF('REKAP KUALITAS CPO'!G24=0,"-",'REKAP KUALITAS CPO'!G24)</f>
        <v>-</v>
      </c>
      <c r="I26" s="104" t="str">
        <f>IF('REKAP KUALITAS CPO'!H24=0,"-",'REKAP KUALITAS CPO'!H24)</f>
        <v>-</v>
      </c>
      <c r="J26" s="104" t="str">
        <f>IF('REKAP KUALITAS CPO'!I24=0,"-",'REKAP KUALITAS CPO'!I24)</f>
        <v>-</v>
      </c>
      <c r="K26" s="105" t="str">
        <f>IF('REKAP KUALITAS CPO'!C24=0,"NO DATA",IF('REKAP KUALITAS CPO'!C24&gt;5,"OVER SPEC",IF(OR('REKAP KUALITAS CPO'!C24&gt;4.5,'REKAP KUALITAS CPO'!D24&gt;0.45,'REKAP KUALITAS CPO'!E24&lt;2.2),"MENDEKATI","AMAN")))</f>
        <v>NO DATA</v>
      </c>
      <c r="L26" s="104" t="str">
        <f>IF('REKAP KUALITAS CPO'!J24=0,"-",'REKAP KUALITAS CPO'!J24)</f>
        <v>-</v>
      </c>
      <c r="M26" s="103" t="str">
        <f>IF('REKAP KUALITAS CPO'!K24=0,"-",'REKAP KUALITAS CPO'!K24)</f>
        <v>-</v>
      </c>
      <c r="N26" s="104" t="str" cm="1">
        <f t="array" ref="N26">IF(OR('REKAP KUALITAS CPO'!K24=0,COUNTIF('REKAP KUALITAS CPO'!K$5:K24,"&gt;0")&lt;2),"-",TEXT('REKAP KUALITAS CPO'!K24-LOOKUP(2,1/('REKAP KUALITAS CPO'!K$5:K23&gt;0),'REKAP KUALITAS CPO'!K$5:K23),"+0.00;-0.00;\u2192"))</f>
        <v>-</v>
      </c>
      <c r="O26" s="103" t="str">
        <f>IF('REKAP KUALITAS CPO'!L24=0,"-",'REKAP KUALITAS CPO'!L24)</f>
        <v>-</v>
      </c>
      <c r="P26" s="103" t="str">
        <f>IF('REKAP KUALITAS CPO'!M24=0,"-",'REKAP KUALITAS CPO'!M24)</f>
        <v>-</v>
      </c>
      <c r="Q26" s="104" t="str">
        <f>IF('REKAP KUALITAS CPO'!N24=0,"-",'REKAP KUALITAS CPO'!N24)</f>
        <v>-</v>
      </c>
      <c r="R26" s="104" t="str">
        <f>IF('REKAP KUALITAS CPO'!O24=0,"-",'REKAP KUALITAS CPO'!O24)</f>
        <v>-</v>
      </c>
      <c r="S26" s="104" t="str">
        <f>IF('REKAP KUALITAS CPO'!P24=0,"-",'REKAP KUALITAS CPO'!P24)</f>
        <v>-</v>
      </c>
      <c r="T26" s="104" t="str">
        <f>IF('REKAP KUALITAS CPO'!Q24=0,"-",'REKAP KUALITAS CPO'!Q24)</f>
        <v>-</v>
      </c>
      <c r="U26" s="105" t="str">
        <f>IF('REKAP KUALITAS CPO'!K24=0,"NO DATA",IF('REKAP KUALITAS CPO'!K24&gt;5,"OVER SPEC",IF(OR('REKAP KUALITAS CPO'!K24&gt;4.5,'REKAP KUALITAS CPO'!L24&gt;0.45,'REKAP KUALITAS CPO'!M24&lt;2.2),"MENDEKATI","AMAN")))</f>
        <v>NO DATA</v>
      </c>
      <c r="V26" s="104" t="str">
        <f>IF('REKAP KUALITAS CPO'!R24=0,"-",'REKAP KUALITAS CPO'!R24)</f>
        <v>-</v>
      </c>
      <c r="W26" s="103" t="str">
        <f>IF('REKAP KUALITAS CPO'!S24=0,"-",'REKAP KUALITAS CPO'!S24)</f>
        <v>-</v>
      </c>
      <c r="X26" s="104" t="str" cm="1">
        <f t="array" ref="X26">IF(OR('REKAP KUALITAS CPO'!S24=0,COUNTIF('REKAP KUALITAS CPO'!S$5:S24,"&gt;0")&lt;2),"-",TEXT('REKAP KUALITAS CPO'!S24-LOOKUP(2,1/('REKAP KUALITAS CPO'!S$5:S23&gt;0),'REKAP KUALITAS CPO'!S$5:S23),"+0.00;-0.00;\u2192"))</f>
        <v>-</v>
      </c>
      <c r="Y26" s="103" t="str">
        <f>IF('REKAP KUALITAS CPO'!T24=0,"-",'REKAP KUALITAS CPO'!T24)</f>
        <v>-</v>
      </c>
      <c r="Z26" s="103" t="str">
        <f>IF('REKAP KUALITAS CPO'!U24=0,"-",'REKAP KUALITAS CPO'!U24)</f>
        <v>-</v>
      </c>
      <c r="AA26" s="104" t="str">
        <f>IF('REKAP KUALITAS CPO'!V24=0,"-",'REKAP KUALITAS CPO'!V24)</f>
        <v>-</v>
      </c>
      <c r="AB26" s="104" t="str">
        <f>IF('REKAP KUALITAS CPO'!W24=0,"-",'REKAP KUALITAS CPO'!W24)</f>
        <v>-</v>
      </c>
      <c r="AC26" s="104" t="str">
        <f>IF('REKAP KUALITAS CPO'!X24=0,"-",'REKAP KUALITAS CPO'!X24)</f>
        <v>-</v>
      </c>
      <c r="AD26" s="104" t="str">
        <f>IF('REKAP KUALITAS CPO'!Y24=0,"-",'REKAP KUALITAS CPO'!Y24)</f>
        <v>-</v>
      </c>
      <c r="AE26" s="105" t="str">
        <f>IF('REKAP KUALITAS CPO'!S24=0,"NO DATA",IF('REKAP KUALITAS CPO'!S24&gt;5,"OVER SPEC",IF(OR('REKAP KUALITAS CPO'!S24&gt;4.5,'REKAP KUALITAS CPO'!T24&gt;0.45,'REKAP KUALITAS CPO'!U24&lt;2.2),"MENDEKATI","AMAN")))</f>
        <v>NO DATA</v>
      </c>
      <c r="AF26" s="106" t="str">
        <f t="shared" si="0"/>
        <v>Tidak ada data</v>
      </c>
    </row>
    <row r="27" spans="1:32" x14ac:dyDescent="0.2">
      <c r="A27" s="103" t="str">
        <f>'REKAP KUALITAS CPO'!A25</f>
        <v>21 Mar</v>
      </c>
      <c r="B27" s="104" t="str">
        <f>IF('REKAP KUALITAS CPO'!B25=0,"-",'REKAP KUALITAS CPO'!B25)</f>
        <v>-</v>
      </c>
      <c r="C27" s="103" t="str">
        <f>IF('REKAP KUALITAS CPO'!C25=0,"-",'REKAP KUALITAS CPO'!C25)</f>
        <v>-</v>
      </c>
      <c r="D27" s="104" t="str" cm="1">
        <f t="array" ref="D27">IF(OR('REKAP KUALITAS CPO'!C25=0,COUNTIF('REKAP KUALITAS CPO'!C$5:C25,"&gt;0")&lt;2),"-",TEXT('REKAP KUALITAS CPO'!C25-LOOKUP(2,1/('REKAP KUALITAS CPO'!C$5:C24&gt;0),'REKAP KUALITAS CPO'!C$5:C24),"+0.00;-0.00;\u2192"))</f>
        <v>-</v>
      </c>
      <c r="E27" s="103" t="str">
        <f>IF('REKAP KUALITAS CPO'!D25=0,"-",'REKAP KUALITAS CPO'!D25)</f>
        <v>-</v>
      </c>
      <c r="F27" s="103" t="str">
        <f>IF('REKAP KUALITAS CPO'!E25=0,"-",'REKAP KUALITAS CPO'!E25)</f>
        <v>-</v>
      </c>
      <c r="G27" s="104" t="str">
        <f>IF('REKAP KUALITAS CPO'!F25=0,"-",'REKAP KUALITAS CPO'!F25)</f>
        <v>-</v>
      </c>
      <c r="H27" s="104" t="str">
        <f>IF('REKAP KUALITAS CPO'!G25=0,"-",'REKAP KUALITAS CPO'!G25)</f>
        <v>-</v>
      </c>
      <c r="I27" s="104" t="str">
        <f>IF('REKAP KUALITAS CPO'!H25=0,"-",'REKAP KUALITAS CPO'!H25)</f>
        <v>-</v>
      </c>
      <c r="J27" s="104" t="str">
        <f>IF('REKAP KUALITAS CPO'!I25=0,"-",'REKAP KUALITAS CPO'!I25)</f>
        <v>-</v>
      </c>
      <c r="K27" s="105" t="str">
        <f>IF('REKAP KUALITAS CPO'!C25=0,"NO DATA",IF('REKAP KUALITAS CPO'!C25&gt;5,"OVER SPEC",IF(OR('REKAP KUALITAS CPO'!C25&gt;4.5,'REKAP KUALITAS CPO'!D25&gt;0.45,'REKAP KUALITAS CPO'!E25&lt;2.2),"MENDEKATI","AMAN")))</f>
        <v>NO DATA</v>
      </c>
      <c r="L27" s="104" t="str">
        <f>IF('REKAP KUALITAS CPO'!J25=0,"-",'REKAP KUALITAS CPO'!J25)</f>
        <v>-</v>
      </c>
      <c r="M27" s="103" t="str">
        <f>IF('REKAP KUALITAS CPO'!K25=0,"-",'REKAP KUALITAS CPO'!K25)</f>
        <v>-</v>
      </c>
      <c r="N27" s="104" t="str" cm="1">
        <f t="array" ref="N27">IF(OR('REKAP KUALITAS CPO'!K25=0,COUNTIF('REKAP KUALITAS CPO'!K$5:K25,"&gt;0")&lt;2),"-",TEXT('REKAP KUALITAS CPO'!K25-LOOKUP(2,1/('REKAP KUALITAS CPO'!K$5:K24&gt;0),'REKAP KUALITAS CPO'!K$5:K24),"+0.00;-0.00;\u2192"))</f>
        <v>-</v>
      </c>
      <c r="O27" s="103" t="str">
        <f>IF('REKAP KUALITAS CPO'!L25=0,"-",'REKAP KUALITAS CPO'!L25)</f>
        <v>-</v>
      </c>
      <c r="P27" s="103" t="str">
        <f>IF('REKAP KUALITAS CPO'!M25=0,"-",'REKAP KUALITAS CPO'!M25)</f>
        <v>-</v>
      </c>
      <c r="Q27" s="104" t="str">
        <f>IF('REKAP KUALITAS CPO'!N25=0,"-",'REKAP KUALITAS CPO'!N25)</f>
        <v>-</v>
      </c>
      <c r="R27" s="104" t="str">
        <f>IF('REKAP KUALITAS CPO'!O25=0,"-",'REKAP KUALITAS CPO'!O25)</f>
        <v>-</v>
      </c>
      <c r="S27" s="104" t="str">
        <f>IF('REKAP KUALITAS CPO'!P25=0,"-",'REKAP KUALITAS CPO'!P25)</f>
        <v>-</v>
      </c>
      <c r="T27" s="104" t="str">
        <f>IF('REKAP KUALITAS CPO'!Q25=0,"-",'REKAP KUALITAS CPO'!Q25)</f>
        <v>-</v>
      </c>
      <c r="U27" s="105" t="str">
        <f>IF('REKAP KUALITAS CPO'!K25=0,"NO DATA",IF('REKAP KUALITAS CPO'!K25&gt;5,"OVER SPEC",IF(OR('REKAP KUALITAS CPO'!K25&gt;4.5,'REKAP KUALITAS CPO'!L25&gt;0.45,'REKAP KUALITAS CPO'!M25&lt;2.2),"MENDEKATI","AMAN")))</f>
        <v>NO DATA</v>
      </c>
      <c r="V27" s="104" t="str">
        <f>IF('REKAP KUALITAS CPO'!R25=0,"-",'REKAP KUALITAS CPO'!R25)</f>
        <v>-</v>
      </c>
      <c r="W27" s="103" t="str">
        <f>IF('REKAP KUALITAS CPO'!S25=0,"-",'REKAP KUALITAS CPO'!S25)</f>
        <v>-</v>
      </c>
      <c r="X27" s="104" t="str" cm="1">
        <f t="array" ref="X27">IF(OR('REKAP KUALITAS CPO'!S25=0,COUNTIF('REKAP KUALITAS CPO'!S$5:S25,"&gt;0")&lt;2),"-",TEXT('REKAP KUALITAS CPO'!S25-LOOKUP(2,1/('REKAP KUALITAS CPO'!S$5:S24&gt;0),'REKAP KUALITAS CPO'!S$5:S24),"+0.00;-0.00;\u2192"))</f>
        <v>-</v>
      </c>
      <c r="Y27" s="103" t="str">
        <f>IF('REKAP KUALITAS CPO'!T25=0,"-",'REKAP KUALITAS CPO'!T25)</f>
        <v>-</v>
      </c>
      <c r="Z27" s="103" t="str">
        <f>IF('REKAP KUALITAS CPO'!U25=0,"-",'REKAP KUALITAS CPO'!U25)</f>
        <v>-</v>
      </c>
      <c r="AA27" s="104" t="str">
        <f>IF('REKAP KUALITAS CPO'!V25=0,"-",'REKAP KUALITAS CPO'!V25)</f>
        <v>-</v>
      </c>
      <c r="AB27" s="104" t="str">
        <f>IF('REKAP KUALITAS CPO'!W25=0,"-",'REKAP KUALITAS CPO'!W25)</f>
        <v>-</v>
      </c>
      <c r="AC27" s="104" t="str">
        <f>IF('REKAP KUALITAS CPO'!X25=0,"-",'REKAP KUALITAS CPO'!X25)</f>
        <v>-</v>
      </c>
      <c r="AD27" s="104" t="str">
        <f>IF('REKAP KUALITAS CPO'!Y25=0,"-",'REKAP KUALITAS CPO'!Y25)</f>
        <v>-</v>
      </c>
      <c r="AE27" s="105" t="str">
        <f>IF('REKAP KUALITAS CPO'!S25=0,"NO DATA",IF('REKAP KUALITAS CPO'!S25&gt;5,"OVER SPEC",IF(OR('REKAP KUALITAS CPO'!S25&gt;4.5,'REKAP KUALITAS CPO'!T25&gt;0.45,'REKAP KUALITAS CPO'!U25&lt;2.2),"MENDEKATI","AMAN")))</f>
        <v>NO DATA</v>
      </c>
      <c r="AF27" s="106" t="str">
        <f t="shared" si="0"/>
        <v>Tidak ada data</v>
      </c>
    </row>
    <row r="28" spans="1:32" x14ac:dyDescent="0.2">
      <c r="A28" s="103" t="str">
        <f>'REKAP KUALITAS CPO'!A26</f>
        <v>22 Mar</v>
      </c>
      <c r="B28" s="104" t="str">
        <f>IF('REKAP KUALITAS CPO'!B26=0,"-",'REKAP KUALITAS CPO'!B26)</f>
        <v>-</v>
      </c>
      <c r="C28" s="103" t="str">
        <f>IF('REKAP KUALITAS CPO'!C26=0,"-",'REKAP KUALITAS CPO'!C26)</f>
        <v>-</v>
      </c>
      <c r="D28" s="104" t="str" cm="1">
        <f t="array" ref="D28">IF(OR('REKAP KUALITAS CPO'!C26=0,COUNTIF('REKAP KUALITAS CPO'!C$5:C26,"&gt;0")&lt;2),"-",TEXT('REKAP KUALITAS CPO'!C26-LOOKUP(2,1/('REKAP KUALITAS CPO'!C$5:C25&gt;0),'REKAP KUALITAS CPO'!C$5:C25),"+0.00;-0.00;\u2192"))</f>
        <v>-</v>
      </c>
      <c r="E28" s="103" t="str">
        <f>IF('REKAP KUALITAS CPO'!D26=0,"-",'REKAP KUALITAS CPO'!D26)</f>
        <v>-</v>
      </c>
      <c r="F28" s="103" t="str">
        <f>IF('REKAP KUALITAS CPO'!E26=0,"-",'REKAP KUALITAS CPO'!E26)</f>
        <v>-</v>
      </c>
      <c r="G28" s="104" t="str">
        <f>IF('REKAP KUALITAS CPO'!F26=0,"-",'REKAP KUALITAS CPO'!F26)</f>
        <v>-</v>
      </c>
      <c r="H28" s="104" t="str">
        <f>IF('REKAP KUALITAS CPO'!G26=0,"-",'REKAP KUALITAS CPO'!G26)</f>
        <v>-</v>
      </c>
      <c r="I28" s="104" t="str">
        <f>IF('REKAP KUALITAS CPO'!H26=0,"-",'REKAP KUALITAS CPO'!H26)</f>
        <v>-</v>
      </c>
      <c r="J28" s="104" t="str">
        <f>IF('REKAP KUALITAS CPO'!I26=0,"-",'REKAP KUALITAS CPO'!I26)</f>
        <v>-</v>
      </c>
      <c r="K28" s="105" t="str">
        <f>IF('REKAP KUALITAS CPO'!C26=0,"NO DATA",IF('REKAP KUALITAS CPO'!C26&gt;5,"OVER SPEC",IF(OR('REKAP KUALITAS CPO'!C26&gt;4.5,'REKAP KUALITAS CPO'!D26&gt;0.45,'REKAP KUALITAS CPO'!E26&lt;2.2),"MENDEKATI","AMAN")))</f>
        <v>NO DATA</v>
      </c>
      <c r="L28" s="104" t="str">
        <f>IF('REKAP KUALITAS CPO'!J26=0,"-",'REKAP KUALITAS CPO'!J26)</f>
        <v>-</v>
      </c>
      <c r="M28" s="103" t="str">
        <f>IF('REKAP KUALITAS CPO'!K26=0,"-",'REKAP KUALITAS CPO'!K26)</f>
        <v>-</v>
      </c>
      <c r="N28" s="104" t="str" cm="1">
        <f t="array" ref="N28">IF(OR('REKAP KUALITAS CPO'!K26=0,COUNTIF('REKAP KUALITAS CPO'!K$5:K26,"&gt;0")&lt;2),"-",TEXT('REKAP KUALITAS CPO'!K26-LOOKUP(2,1/('REKAP KUALITAS CPO'!K$5:K25&gt;0),'REKAP KUALITAS CPO'!K$5:K25),"+0.00;-0.00;\u2192"))</f>
        <v>-</v>
      </c>
      <c r="O28" s="103" t="str">
        <f>IF('REKAP KUALITAS CPO'!L26=0,"-",'REKAP KUALITAS CPO'!L26)</f>
        <v>-</v>
      </c>
      <c r="P28" s="103" t="str">
        <f>IF('REKAP KUALITAS CPO'!M26=0,"-",'REKAP KUALITAS CPO'!M26)</f>
        <v>-</v>
      </c>
      <c r="Q28" s="104" t="str">
        <f>IF('REKAP KUALITAS CPO'!N26=0,"-",'REKAP KUALITAS CPO'!N26)</f>
        <v>-</v>
      </c>
      <c r="R28" s="104" t="str">
        <f>IF('REKAP KUALITAS CPO'!O26=0,"-",'REKAP KUALITAS CPO'!O26)</f>
        <v>-</v>
      </c>
      <c r="S28" s="104" t="str">
        <f>IF('REKAP KUALITAS CPO'!P26=0,"-",'REKAP KUALITAS CPO'!P26)</f>
        <v>-</v>
      </c>
      <c r="T28" s="104" t="str">
        <f>IF('REKAP KUALITAS CPO'!Q26=0,"-",'REKAP KUALITAS CPO'!Q26)</f>
        <v>-</v>
      </c>
      <c r="U28" s="105" t="str">
        <f>IF('REKAP KUALITAS CPO'!K26=0,"NO DATA",IF('REKAP KUALITAS CPO'!K26&gt;5,"OVER SPEC",IF(OR('REKAP KUALITAS CPO'!K26&gt;4.5,'REKAP KUALITAS CPO'!L26&gt;0.45,'REKAP KUALITAS CPO'!M26&lt;2.2),"MENDEKATI","AMAN")))</f>
        <v>NO DATA</v>
      </c>
      <c r="V28" s="104" t="str">
        <f>IF('REKAP KUALITAS CPO'!R26=0,"-",'REKAP KUALITAS CPO'!R26)</f>
        <v>-</v>
      </c>
      <c r="W28" s="103" t="str">
        <f>IF('REKAP KUALITAS CPO'!S26=0,"-",'REKAP KUALITAS CPO'!S26)</f>
        <v>-</v>
      </c>
      <c r="X28" s="104" t="str" cm="1">
        <f t="array" ref="X28">IF(OR('REKAP KUALITAS CPO'!S26=0,COUNTIF('REKAP KUALITAS CPO'!S$5:S26,"&gt;0")&lt;2),"-",TEXT('REKAP KUALITAS CPO'!S26-LOOKUP(2,1/('REKAP KUALITAS CPO'!S$5:S25&gt;0),'REKAP KUALITAS CPO'!S$5:S25),"+0.00;-0.00;\u2192"))</f>
        <v>-</v>
      </c>
      <c r="Y28" s="103" t="str">
        <f>IF('REKAP KUALITAS CPO'!T26=0,"-",'REKAP KUALITAS CPO'!T26)</f>
        <v>-</v>
      </c>
      <c r="Z28" s="103" t="str">
        <f>IF('REKAP KUALITAS CPO'!U26=0,"-",'REKAP KUALITAS CPO'!U26)</f>
        <v>-</v>
      </c>
      <c r="AA28" s="104" t="str">
        <f>IF('REKAP KUALITAS CPO'!V26=0,"-",'REKAP KUALITAS CPO'!V26)</f>
        <v>-</v>
      </c>
      <c r="AB28" s="104" t="str">
        <f>IF('REKAP KUALITAS CPO'!W26=0,"-",'REKAP KUALITAS CPO'!W26)</f>
        <v>-</v>
      </c>
      <c r="AC28" s="104" t="str">
        <f>IF('REKAP KUALITAS CPO'!X26=0,"-",'REKAP KUALITAS CPO'!X26)</f>
        <v>-</v>
      </c>
      <c r="AD28" s="104" t="str">
        <f>IF('REKAP KUALITAS CPO'!Y26=0,"-",'REKAP KUALITAS CPO'!Y26)</f>
        <v>-</v>
      </c>
      <c r="AE28" s="105" t="str">
        <f>IF('REKAP KUALITAS CPO'!S26=0,"NO DATA",IF('REKAP KUALITAS CPO'!S26&gt;5,"OVER SPEC",IF(OR('REKAP KUALITAS CPO'!S26&gt;4.5,'REKAP KUALITAS CPO'!T26&gt;0.45,'REKAP KUALITAS CPO'!U26&lt;2.2),"MENDEKATI","AMAN")))</f>
        <v>NO DATA</v>
      </c>
      <c r="AF28" s="106" t="str">
        <f t="shared" si="0"/>
        <v>Tidak ada data</v>
      </c>
    </row>
    <row r="29" spans="1:32" x14ac:dyDescent="0.2">
      <c r="A29" s="103" t="str">
        <f>'REKAP KUALITAS CPO'!A27</f>
        <v>23 Mar</v>
      </c>
      <c r="B29" s="104" t="str">
        <f>IF('REKAP KUALITAS CPO'!B27=0,"-",'REKAP KUALITAS CPO'!B27)</f>
        <v>-</v>
      </c>
      <c r="C29" s="103" t="str">
        <f>IF('REKAP KUALITAS CPO'!C27=0,"-",'REKAP KUALITAS CPO'!C27)</f>
        <v>-</v>
      </c>
      <c r="D29" s="104" t="str" cm="1">
        <f t="array" ref="D29">IF(OR('REKAP KUALITAS CPO'!C27=0,COUNTIF('REKAP KUALITAS CPO'!C$5:C27,"&gt;0")&lt;2),"-",TEXT('REKAP KUALITAS CPO'!C27-LOOKUP(2,1/('REKAP KUALITAS CPO'!C$5:C26&gt;0),'REKAP KUALITAS CPO'!C$5:C26),"+0.00;-0.00;\u2192"))</f>
        <v>-</v>
      </c>
      <c r="E29" s="103" t="str">
        <f>IF('REKAP KUALITAS CPO'!D27=0,"-",'REKAP KUALITAS CPO'!D27)</f>
        <v>-</v>
      </c>
      <c r="F29" s="103" t="str">
        <f>IF('REKAP KUALITAS CPO'!E27=0,"-",'REKAP KUALITAS CPO'!E27)</f>
        <v>-</v>
      </c>
      <c r="G29" s="104" t="str">
        <f>IF('REKAP KUALITAS CPO'!F27=0,"-",'REKAP KUALITAS CPO'!F27)</f>
        <v>-</v>
      </c>
      <c r="H29" s="104" t="str">
        <f>IF('REKAP KUALITAS CPO'!G27=0,"-",'REKAP KUALITAS CPO'!G27)</f>
        <v>-</v>
      </c>
      <c r="I29" s="104" t="str">
        <f>IF('REKAP KUALITAS CPO'!H27=0,"-",'REKAP KUALITAS CPO'!H27)</f>
        <v>-</v>
      </c>
      <c r="J29" s="104" t="str">
        <f>IF('REKAP KUALITAS CPO'!I27=0,"-",'REKAP KUALITAS CPO'!I27)</f>
        <v>-</v>
      </c>
      <c r="K29" s="105" t="str">
        <f>IF('REKAP KUALITAS CPO'!C27=0,"NO DATA",IF('REKAP KUALITAS CPO'!C27&gt;5,"OVER SPEC",IF(OR('REKAP KUALITAS CPO'!C27&gt;4.5,'REKAP KUALITAS CPO'!D27&gt;0.45,'REKAP KUALITAS CPO'!E27&lt;2.2),"MENDEKATI","AMAN")))</f>
        <v>NO DATA</v>
      </c>
      <c r="L29" s="104" t="str">
        <f>IF('REKAP KUALITAS CPO'!J27=0,"-",'REKAP KUALITAS CPO'!J27)</f>
        <v>-</v>
      </c>
      <c r="M29" s="103" t="str">
        <f>IF('REKAP KUALITAS CPO'!K27=0,"-",'REKAP KUALITAS CPO'!K27)</f>
        <v>-</v>
      </c>
      <c r="N29" s="104" t="str" cm="1">
        <f t="array" ref="N29">IF(OR('REKAP KUALITAS CPO'!K27=0,COUNTIF('REKAP KUALITAS CPO'!K$5:K27,"&gt;0")&lt;2),"-",TEXT('REKAP KUALITAS CPO'!K27-LOOKUP(2,1/('REKAP KUALITAS CPO'!K$5:K26&gt;0),'REKAP KUALITAS CPO'!K$5:K26),"+0.00;-0.00;\u2192"))</f>
        <v>-</v>
      </c>
      <c r="O29" s="103" t="str">
        <f>IF('REKAP KUALITAS CPO'!L27=0,"-",'REKAP KUALITAS CPO'!L27)</f>
        <v>-</v>
      </c>
      <c r="P29" s="103" t="str">
        <f>IF('REKAP KUALITAS CPO'!M27=0,"-",'REKAP KUALITAS CPO'!M27)</f>
        <v>-</v>
      </c>
      <c r="Q29" s="104" t="str">
        <f>IF('REKAP KUALITAS CPO'!N27=0,"-",'REKAP KUALITAS CPO'!N27)</f>
        <v>-</v>
      </c>
      <c r="R29" s="104" t="str">
        <f>IF('REKAP KUALITAS CPO'!O27=0,"-",'REKAP KUALITAS CPO'!O27)</f>
        <v>-</v>
      </c>
      <c r="S29" s="104" t="str">
        <f>IF('REKAP KUALITAS CPO'!P27=0,"-",'REKAP KUALITAS CPO'!P27)</f>
        <v>-</v>
      </c>
      <c r="T29" s="104" t="str">
        <f>IF('REKAP KUALITAS CPO'!Q27=0,"-",'REKAP KUALITAS CPO'!Q27)</f>
        <v>-</v>
      </c>
      <c r="U29" s="105" t="str">
        <f>IF('REKAP KUALITAS CPO'!K27=0,"NO DATA",IF('REKAP KUALITAS CPO'!K27&gt;5,"OVER SPEC",IF(OR('REKAP KUALITAS CPO'!K27&gt;4.5,'REKAP KUALITAS CPO'!L27&gt;0.45,'REKAP KUALITAS CPO'!M27&lt;2.2),"MENDEKATI","AMAN")))</f>
        <v>NO DATA</v>
      </c>
      <c r="V29" s="104" t="str">
        <f>IF('REKAP KUALITAS CPO'!R27=0,"-",'REKAP KUALITAS CPO'!R27)</f>
        <v>-</v>
      </c>
      <c r="W29" s="103" t="str">
        <f>IF('REKAP KUALITAS CPO'!S27=0,"-",'REKAP KUALITAS CPO'!S27)</f>
        <v>-</v>
      </c>
      <c r="X29" s="104" t="str" cm="1">
        <f t="array" ref="X29">IF(OR('REKAP KUALITAS CPO'!S27=0,COUNTIF('REKAP KUALITAS CPO'!S$5:S27,"&gt;0")&lt;2),"-",TEXT('REKAP KUALITAS CPO'!S27-LOOKUP(2,1/('REKAP KUALITAS CPO'!S$5:S26&gt;0),'REKAP KUALITAS CPO'!S$5:S26),"+0.00;-0.00;\u2192"))</f>
        <v>-</v>
      </c>
      <c r="Y29" s="103" t="str">
        <f>IF('REKAP KUALITAS CPO'!T27=0,"-",'REKAP KUALITAS CPO'!T27)</f>
        <v>-</v>
      </c>
      <c r="Z29" s="103" t="str">
        <f>IF('REKAP KUALITAS CPO'!U27=0,"-",'REKAP KUALITAS CPO'!U27)</f>
        <v>-</v>
      </c>
      <c r="AA29" s="104" t="str">
        <f>IF('REKAP KUALITAS CPO'!V27=0,"-",'REKAP KUALITAS CPO'!V27)</f>
        <v>-</v>
      </c>
      <c r="AB29" s="104" t="str">
        <f>IF('REKAP KUALITAS CPO'!W27=0,"-",'REKAP KUALITAS CPO'!W27)</f>
        <v>-</v>
      </c>
      <c r="AC29" s="104" t="str">
        <f>IF('REKAP KUALITAS CPO'!X27=0,"-",'REKAP KUALITAS CPO'!X27)</f>
        <v>-</v>
      </c>
      <c r="AD29" s="104" t="str">
        <f>IF('REKAP KUALITAS CPO'!Y27=0,"-",'REKAP KUALITAS CPO'!Y27)</f>
        <v>-</v>
      </c>
      <c r="AE29" s="105" t="str">
        <f>IF('REKAP KUALITAS CPO'!S27=0,"NO DATA",IF('REKAP KUALITAS CPO'!S27&gt;5,"OVER SPEC",IF(OR('REKAP KUALITAS CPO'!S27&gt;4.5,'REKAP KUALITAS CPO'!T27&gt;0.45,'REKAP KUALITAS CPO'!U27&lt;2.2),"MENDEKATI","AMAN")))</f>
        <v>NO DATA</v>
      </c>
      <c r="AF29" s="106" t="str">
        <f t="shared" si="0"/>
        <v>Tidak ada data</v>
      </c>
    </row>
    <row r="30" spans="1:32" x14ac:dyDescent="0.2">
      <c r="A30" s="103" t="str">
        <f>'REKAP KUALITAS CPO'!A28</f>
        <v>24 Mar</v>
      </c>
      <c r="B30" s="104" t="str">
        <f>IF('REKAP KUALITAS CPO'!B28=0,"-",'REKAP KUALITAS CPO'!B28)</f>
        <v>-</v>
      </c>
      <c r="C30" s="103" t="str">
        <f>IF('REKAP KUALITAS CPO'!C28=0,"-",'REKAP KUALITAS CPO'!C28)</f>
        <v>-</v>
      </c>
      <c r="D30" s="104" t="str" cm="1">
        <f t="array" ref="D30">IF(OR('REKAP KUALITAS CPO'!C28=0,COUNTIF('REKAP KUALITAS CPO'!C$5:C28,"&gt;0")&lt;2),"-",TEXT('REKAP KUALITAS CPO'!C28-LOOKUP(2,1/('REKAP KUALITAS CPO'!C$5:C27&gt;0),'REKAP KUALITAS CPO'!C$5:C27),"+0.00;-0.00;\u2192"))</f>
        <v>-</v>
      </c>
      <c r="E30" s="103" t="str">
        <f>IF('REKAP KUALITAS CPO'!D28=0,"-",'REKAP KUALITAS CPO'!D28)</f>
        <v>-</v>
      </c>
      <c r="F30" s="103" t="str">
        <f>IF('REKAP KUALITAS CPO'!E28=0,"-",'REKAP KUALITAS CPO'!E28)</f>
        <v>-</v>
      </c>
      <c r="G30" s="104" t="str">
        <f>IF('REKAP KUALITAS CPO'!F28=0,"-",'REKAP KUALITAS CPO'!F28)</f>
        <v>-</v>
      </c>
      <c r="H30" s="104" t="str">
        <f>IF('REKAP KUALITAS CPO'!G28=0,"-",'REKAP KUALITAS CPO'!G28)</f>
        <v>-</v>
      </c>
      <c r="I30" s="104" t="str">
        <f>IF('REKAP KUALITAS CPO'!H28=0,"-",'REKAP KUALITAS CPO'!H28)</f>
        <v>-</v>
      </c>
      <c r="J30" s="104" t="str">
        <f>IF('REKAP KUALITAS CPO'!I28=0,"-",'REKAP KUALITAS CPO'!I28)</f>
        <v>-</v>
      </c>
      <c r="K30" s="105" t="str">
        <f>IF('REKAP KUALITAS CPO'!C28=0,"NO DATA",IF('REKAP KUALITAS CPO'!C28&gt;5,"OVER SPEC",IF(OR('REKAP KUALITAS CPO'!C28&gt;4.5,'REKAP KUALITAS CPO'!D28&gt;0.45,'REKAP KUALITAS CPO'!E28&lt;2.2),"MENDEKATI","AMAN")))</f>
        <v>NO DATA</v>
      </c>
      <c r="L30" s="104" t="str">
        <f>IF('REKAP KUALITAS CPO'!J28=0,"-",'REKAP KUALITAS CPO'!J28)</f>
        <v>-</v>
      </c>
      <c r="M30" s="103" t="str">
        <f>IF('REKAP KUALITAS CPO'!K28=0,"-",'REKAP KUALITAS CPO'!K28)</f>
        <v>-</v>
      </c>
      <c r="N30" s="104" t="str" cm="1">
        <f t="array" ref="N30">IF(OR('REKAP KUALITAS CPO'!K28=0,COUNTIF('REKAP KUALITAS CPO'!K$5:K28,"&gt;0")&lt;2),"-",TEXT('REKAP KUALITAS CPO'!K28-LOOKUP(2,1/('REKAP KUALITAS CPO'!K$5:K27&gt;0),'REKAP KUALITAS CPO'!K$5:K27),"+0.00;-0.00;\u2192"))</f>
        <v>-</v>
      </c>
      <c r="O30" s="103" t="str">
        <f>IF('REKAP KUALITAS CPO'!L28=0,"-",'REKAP KUALITAS CPO'!L28)</f>
        <v>-</v>
      </c>
      <c r="P30" s="103" t="str">
        <f>IF('REKAP KUALITAS CPO'!M28=0,"-",'REKAP KUALITAS CPO'!M28)</f>
        <v>-</v>
      </c>
      <c r="Q30" s="104" t="str">
        <f>IF('REKAP KUALITAS CPO'!N28=0,"-",'REKAP KUALITAS CPO'!N28)</f>
        <v>-</v>
      </c>
      <c r="R30" s="104" t="str">
        <f>IF('REKAP KUALITAS CPO'!O28=0,"-",'REKAP KUALITAS CPO'!O28)</f>
        <v>-</v>
      </c>
      <c r="S30" s="104" t="str">
        <f>IF('REKAP KUALITAS CPO'!P28=0,"-",'REKAP KUALITAS CPO'!P28)</f>
        <v>-</v>
      </c>
      <c r="T30" s="104" t="str">
        <f>IF('REKAP KUALITAS CPO'!Q28=0,"-",'REKAP KUALITAS CPO'!Q28)</f>
        <v>-</v>
      </c>
      <c r="U30" s="105" t="str">
        <f>IF('REKAP KUALITAS CPO'!K28=0,"NO DATA",IF('REKAP KUALITAS CPO'!K28&gt;5,"OVER SPEC",IF(OR('REKAP KUALITAS CPO'!K28&gt;4.5,'REKAP KUALITAS CPO'!L28&gt;0.45,'REKAP KUALITAS CPO'!M28&lt;2.2),"MENDEKATI","AMAN")))</f>
        <v>NO DATA</v>
      </c>
      <c r="V30" s="104" t="str">
        <f>IF('REKAP KUALITAS CPO'!R28=0,"-",'REKAP KUALITAS CPO'!R28)</f>
        <v>-</v>
      </c>
      <c r="W30" s="103" t="str">
        <f>IF('REKAP KUALITAS CPO'!S28=0,"-",'REKAP KUALITAS CPO'!S28)</f>
        <v>-</v>
      </c>
      <c r="X30" s="104" t="str" cm="1">
        <f t="array" ref="X30">IF(OR('REKAP KUALITAS CPO'!S28=0,COUNTIF('REKAP KUALITAS CPO'!S$5:S28,"&gt;0")&lt;2),"-",TEXT('REKAP KUALITAS CPO'!S28-LOOKUP(2,1/('REKAP KUALITAS CPO'!S$5:S27&gt;0),'REKAP KUALITAS CPO'!S$5:S27),"+0.00;-0.00;\u2192"))</f>
        <v>-</v>
      </c>
      <c r="Y30" s="103" t="str">
        <f>IF('REKAP KUALITAS CPO'!T28=0,"-",'REKAP KUALITAS CPO'!T28)</f>
        <v>-</v>
      </c>
      <c r="Z30" s="103" t="str">
        <f>IF('REKAP KUALITAS CPO'!U28=0,"-",'REKAP KUALITAS CPO'!U28)</f>
        <v>-</v>
      </c>
      <c r="AA30" s="104" t="str">
        <f>IF('REKAP KUALITAS CPO'!V28=0,"-",'REKAP KUALITAS CPO'!V28)</f>
        <v>-</v>
      </c>
      <c r="AB30" s="104" t="str">
        <f>IF('REKAP KUALITAS CPO'!W28=0,"-",'REKAP KUALITAS CPO'!W28)</f>
        <v>-</v>
      </c>
      <c r="AC30" s="104" t="str">
        <f>IF('REKAP KUALITAS CPO'!X28=0,"-",'REKAP KUALITAS CPO'!X28)</f>
        <v>-</v>
      </c>
      <c r="AD30" s="104" t="str">
        <f>IF('REKAP KUALITAS CPO'!Y28=0,"-",'REKAP KUALITAS CPO'!Y28)</f>
        <v>-</v>
      </c>
      <c r="AE30" s="105" t="str">
        <f>IF('REKAP KUALITAS CPO'!S28=0,"NO DATA",IF('REKAP KUALITAS CPO'!S28&gt;5,"OVER SPEC",IF(OR('REKAP KUALITAS CPO'!S28&gt;4.5,'REKAP KUALITAS CPO'!T28&gt;0.45,'REKAP KUALITAS CPO'!U28&lt;2.2),"MENDEKATI","AMAN")))</f>
        <v>NO DATA</v>
      </c>
      <c r="AF30" s="106" t="str">
        <f t="shared" si="0"/>
        <v>Tidak ada data</v>
      </c>
    </row>
    <row r="31" spans="1:32" x14ac:dyDescent="0.2">
      <c r="A31" s="103" t="str">
        <f>'REKAP KUALITAS CPO'!A29</f>
        <v>25 Mar</v>
      </c>
      <c r="B31" s="104" t="str">
        <f>IF('REKAP KUALITAS CPO'!B29=0,"-",'REKAP KUALITAS CPO'!B29)</f>
        <v>-</v>
      </c>
      <c r="C31" s="103" t="str">
        <f>IF('REKAP KUALITAS CPO'!C29=0,"-",'REKAP KUALITAS CPO'!C29)</f>
        <v>-</v>
      </c>
      <c r="D31" s="104" t="str" cm="1">
        <f t="array" ref="D31">IF(OR('REKAP KUALITAS CPO'!C29=0,COUNTIF('REKAP KUALITAS CPO'!C$5:C29,"&gt;0")&lt;2),"-",TEXT('REKAP KUALITAS CPO'!C29-LOOKUP(2,1/('REKAP KUALITAS CPO'!C$5:C28&gt;0),'REKAP KUALITAS CPO'!C$5:C28),"+0.00;-0.00;\u2192"))</f>
        <v>-</v>
      </c>
      <c r="E31" s="103" t="str">
        <f>IF('REKAP KUALITAS CPO'!D29=0,"-",'REKAP KUALITAS CPO'!D29)</f>
        <v>-</v>
      </c>
      <c r="F31" s="103" t="str">
        <f>IF('REKAP KUALITAS CPO'!E29=0,"-",'REKAP KUALITAS CPO'!E29)</f>
        <v>-</v>
      </c>
      <c r="G31" s="104" t="str">
        <f>IF('REKAP KUALITAS CPO'!F29=0,"-",'REKAP KUALITAS CPO'!F29)</f>
        <v>-</v>
      </c>
      <c r="H31" s="104" t="str">
        <f>IF('REKAP KUALITAS CPO'!G29=0,"-",'REKAP KUALITAS CPO'!G29)</f>
        <v>-</v>
      </c>
      <c r="I31" s="104" t="str">
        <f>IF('REKAP KUALITAS CPO'!H29=0,"-",'REKAP KUALITAS CPO'!H29)</f>
        <v>-</v>
      </c>
      <c r="J31" s="104" t="str">
        <f>IF('REKAP KUALITAS CPO'!I29=0,"-",'REKAP KUALITAS CPO'!I29)</f>
        <v>-</v>
      </c>
      <c r="K31" s="105" t="str">
        <f>IF('REKAP KUALITAS CPO'!C29=0,"NO DATA",IF('REKAP KUALITAS CPO'!C29&gt;5,"OVER SPEC",IF(OR('REKAP KUALITAS CPO'!C29&gt;4.5,'REKAP KUALITAS CPO'!D29&gt;0.45,'REKAP KUALITAS CPO'!E29&lt;2.2),"MENDEKATI","AMAN")))</f>
        <v>NO DATA</v>
      </c>
      <c r="L31" s="104" t="str">
        <f>IF('REKAP KUALITAS CPO'!J29=0,"-",'REKAP KUALITAS CPO'!J29)</f>
        <v>-</v>
      </c>
      <c r="M31" s="103" t="str">
        <f>IF('REKAP KUALITAS CPO'!K29=0,"-",'REKAP KUALITAS CPO'!K29)</f>
        <v>-</v>
      </c>
      <c r="N31" s="104" t="str" cm="1">
        <f t="array" ref="N31">IF(OR('REKAP KUALITAS CPO'!K29=0,COUNTIF('REKAP KUALITAS CPO'!K$5:K29,"&gt;0")&lt;2),"-",TEXT('REKAP KUALITAS CPO'!K29-LOOKUP(2,1/('REKAP KUALITAS CPO'!K$5:K28&gt;0),'REKAP KUALITAS CPO'!K$5:K28),"+0.00;-0.00;\u2192"))</f>
        <v>-</v>
      </c>
      <c r="O31" s="103" t="str">
        <f>IF('REKAP KUALITAS CPO'!L29=0,"-",'REKAP KUALITAS CPO'!L29)</f>
        <v>-</v>
      </c>
      <c r="P31" s="103" t="str">
        <f>IF('REKAP KUALITAS CPO'!M29=0,"-",'REKAP KUALITAS CPO'!M29)</f>
        <v>-</v>
      </c>
      <c r="Q31" s="104" t="str">
        <f>IF('REKAP KUALITAS CPO'!N29=0,"-",'REKAP KUALITAS CPO'!N29)</f>
        <v>-</v>
      </c>
      <c r="R31" s="104" t="str">
        <f>IF('REKAP KUALITAS CPO'!O29=0,"-",'REKAP KUALITAS CPO'!O29)</f>
        <v>-</v>
      </c>
      <c r="S31" s="104" t="str">
        <f>IF('REKAP KUALITAS CPO'!P29=0,"-",'REKAP KUALITAS CPO'!P29)</f>
        <v>-</v>
      </c>
      <c r="T31" s="104" t="str">
        <f>IF('REKAP KUALITAS CPO'!Q29=0,"-",'REKAP KUALITAS CPO'!Q29)</f>
        <v>-</v>
      </c>
      <c r="U31" s="105" t="str">
        <f>IF('REKAP KUALITAS CPO'!K29=0,"NO DATA",IF('REKAP KUALITAS CPO'!K29&gt;5,"OVER SPEC",IF(OR('REKAP KUALITAS CPO'!K29&gt;4.5,'REKAP KUALITAS CPO'!L29&gt;0.45,'REKAP KUALITAS CPO'!M29&lt;2.2),"MENDEKATI","AMAN")))</f>
        <v>NO DATA</v>
      </c>
      <c r="V31" s="104" t="str">
        <f>IF('REKAP KUALITAS CPO'!R29=0,"-",'REKAP KUALITAS CPO'!R29)</f>
        <v>-</v>
      </c>
      <c r="W31" s="103" t="str">
        <f>IF('REKAP KUALITAS CPO'!S29=0,"-",'REKAP KUALITAS CPO'!S29)</f>
        <v>-</v>
      </c>
      <c r="X31" s="104" t="str" cm="1">
        <f t="array" ref="X31">IF(OR('REKAP KUALITAS CPO'!S29=0,COUNTIF('REKAP KUALITAS CPO'!S$5:S29,"&gt;0")&lt;2),"-",TEXT('REKAP KUALITAS CPO'!S29-LOOKUP(2,1/('REKAP KUALITAS CPO'!S$5:S28&gt;0),'REKAP KUALITAS CPO'!S$5:S28),"+0.00;-0.00;\u2192"))</f>
        <v>-</v>
      </c>
      <c r="Y31" s="103" t="str">
        <f>IF('REKAP KUALITAS CPO'!T29=0,"-",'REKAP KUALITAS CPO'!T29)</f>
        <v>-</v>
      </c>
      <c r="Z31" s="103" t="str">
        <f>IF('REKAP KUALITAS CPO'!U29=0,"-",'REKAP KUALITAS CPO'!U29)</f>
        <v>-</v>
      </c>
      <c r="AA31" s="104" t="str">
        <f>IF('REKAP KUALITAS CPO'!V29=0,"-",'REKAP KUALITAS CPO'!V29)</f>
        <v>-</v>
      </c>
      <c r="AB31" s="104" t="str">
        <f>IF('REKAP KUALITAS CPO'!W29=0,"-",'REKAP KUALITAS CPO'!W29)</f>
        <v>-</v>
      </c>
      <c r="AC31" s="104" t="str">
        <f>IF('REKAP KUALITAS CPO'!X29=0,"-",'REKAP KUALITAS CPO'!X29)</f>
        <v>-</v>
      </c>
      <c r="AD31" s="104" t="str">
        <f>IF('REKAP KUALITAS CPO'!Y29=0,"-",'REKAP KUALITAS CPO'!Y29)</f>
        <v>-</v>
      </c>
      <c r="AE31" s="105" t="str">
        <f>IF('REKAP KUALITAS CPO'!S29=0,"NO DATA",IF('REKAP KUALITAS CPO'!S29&gt;5,"OVER SPEC",IF(OR('REKAP KUALITAS CPO'!S29&gt;4.5,'REKAP KUALITAS CPO'!T29&gt;0.45,'REKAP KUALITAS CPO'!U29&lt;2.2),"MENDEKATI","AMAN")))</f>
        <v>NO DATA</v>
      </c>
      <c r="AF31" s="106" t="str">
        <f t="shared" si="0"/>
        <v>Tidak ada data</v>
      </c>
    </row>
    <row r="32" spans="1:32" x14ac:dyDescent="0.2">
      <c r="A32" s="103" t="str">
        <f>'REKAP KUALITAS CPO'!A30</f>
        <v>26 Mar</v>
      </c>
      <c r="B32" s="104" t="str">
        <f>IF('REKAP KUALITAS CPO'!B30=0,"-",'REKAP KUALITAS CPO'!B30)</f>
        <v>-</v>
      </c>
      <c r="C32" s="103" t="str">
        <f>IF('REKAP KUALITAS CPO'!C30=0,"-",'REKAP KUALITAS CPO'!C30)</f>
        <v>-</v>
      </c>
      <c r="D32" s="104" t="str" cm="1">
        <f t="array" ref="D32">IF(OR('REKAP KUALITAS CPO'!C30=0,COUNTIF('REKAP KUALITAS CPO'!C$5:C30,"&gt;0")&lt;2),"-",TEXT('REKAP KUALITAS CPO'!C30-LOOKUP(2,1/('REKAP KUALITAS CPO'!C$5:C29&gt;0),'REKAP KUALITAS CPO'!C$5:C29),"+0.00;-0.00;\u2192"))</f>
        <v>-</v>
      </c>
      <c r="E32" s="103" t="str">
        <f>IF('REKAP KUALITAS CPO'!D30=0,"-",'REKAP KUALITAS CPO'!D30)</f>
        <v>-</v>
      </c>
      <c r="F32" s="103" t="str">
        <f>IF('REKAP KUALITAS CPO'!E30=0,"-",'REKAP KUALITAS CPO'!E30)</f>
        <v>-</v>
      </c>
      <c r="G32" s="104" t="str">
        <f>IF('REKAP KUALITAS CPO'!F30=0,"-",'REKAP KUALITAS CPO'!F30)</f>
        <v>-</v>
      </c>
      <c r="H32" s="104" t="str">
        <f>IF('REKAP KUALITAS CPO'!G30=0,"-",'REKAP KUALITAS CPO'!G30)</f>
        <v>-</v>
      </c>
      <c r="I32" s="104" t="str">
        <f>IF('REKAP KUALITAS CPO'!H30=0,"-",'REKAP KUALITAS CPO'!H30)</f>
        <v>-</v>
      </c>
      <c r="J32" s="104" t="str">
        <f>IF('REKAP KUALITAS CPO'!I30=0,"-",'REKAP KUALITAS CPO'!I30)</f>
        <v>-</v>
      </c>
      <c r="K32" s="105" t="str">
        <f>IF('REKAP KUALITAS CPO'!C30=0,"NO DATA",IF('REKAP KUALITAS CPO'!C30&gt;5,"OVER SPEC",IF(OR('REKAP KUALITAS CPO'!C30&gt;4.5,'REKAP KUALITAS CPO'!D30&gt;0.45,'REKAP KUALITAS CPO'!E30&lt;2.2),"MENDEKATI","AMAN")))</f>
        <v>NO DATA</v>
      </c>
      <c r="L32" s="104" t="str">
        <f>IF('REKAP KUALITAS CPO'!J30=0,"-",'REKAP KUALITAS CPO'!J30)</f>
        <v>-</v>
      </c>
      <c r="M32" s="103" t="str">
        <f>IF('REKAP KUALITAS CPO'!K30=0,"-",'REKAP KUALITAS CPO'!K30)</f>
        <v>-</v>
      </c>
      <c r="N32" s="104" t="str" cm="1">
        <f t="array" ref="N32">IF(OR('REKAP KUALITAS CPO'!K30=0,COUNTIF('REKAP KUALITAS CPO'!K$5:K30,"&gt;0")&lt;2),"-",TEXT('REKAP KUALITAS CPO'!K30-LOOKUP(2,1/('REKAP KUALITAS CPO'!K$5:K29&gt;0),'REKAP KUALITAS CPO'!K$5:K29),"+0.00;-0.00;\u2192"))</f>
        <v>-</v>
      </c>
      <c r="O32" s="103" t="str">
        <f>IF('REKAP KUALITAS CPO'!L30=0,"-",'REKAP KUALITAS CPO'!L30)</f>
        <v>-</v>
      </c>
      <c r="P32" s="103" t="str">
        <f>IF('REKAP KUALITAS CPO'!M30=0,"-",'REKAP KUALITAS CPO'!M30)</f>
        <v>-</v>
      </c>
      <c r="Q32" s="104" t="str">
        <f>IF('REKAP KUALITAS CPO'!N30=0,"-",'REKAP KUALITAS CPO'!N30)</f>
        <v>-</v>
      </c>
      <c r="R32" s="104" t="str">
        <f>IF('REKAP KUALITAS CPO'!O30=0,"-",'REKAP KUALITAS CPO'!O30)</f>
        <v>-</v>
      </c>
      <c r="S32" s="104" t="str">
        <f>IF('REKAP KUALITAS CPO'!P30=0,"-",'REKAP KUALITAS CPO'!P30)</f>
        <v>-</v>
      </c>
      <c r="T32" s="104" t="str">
        <f>IF('REKAP KUALITAS CPO'!Q30=0,"-",'REKAP KUALITAS CPO'!Q30)</f>
        <v>-</v>
      </c>
      <c r="U32" s="105" t="str">
        <f>IF('REKAP KUALITAS CPO'!K30=0,"NO DATA",IF('REKAP KUALITAS CPO'!K30&gt;5,"OVER SPEC",IF(OR('REKAP KUALITAS CPO'!K30&gt;4.5,'REKAP KUALITAS CPO'!L30&gt;0.45,'REKAP KUALITAS CPO'!M30&lt;2.2),"MENDEKATI","AMAN")))</f>
        <v>NO DATA</v>
      </c>
      <c r="V32" s="104" t="str">
        <f>IF('REKAP KUALITAS CPO'!R30=0,"-",'REKAP KUALITAS CPO'!R30)</f>
        <v>-</v>
      </c>
      <c r="W32" s="103" t="str">
        <f>IF('REKAP KUALITAS CPO'!S30=0,"-",'REKAP KUALITAS CPO'!S30)</f>
        <v>-</v>
      </c>
      <c r="X32" s="104" t="str" cm="1">
        <f t="array" ref="X32">IF(OR('REKAP KUALITAS CPO'!S30=0,COUNTIF('REKAP KUALITAS CPO'!S$5:S30,"&gt;0")&lt;2),"-",TEXT('REKAP KUALITAS CPO'!S30-LOOKUP(2,1/('REKAP KUALITAS CPO'!S$5:S29&gt;0),'REKAP KUALITAS CPO'!S$5:S29),"+0.00;-0.00;\u2192"))</f>
        <v>-</v>
      </c>
      <c r="Y32" s="103" t="str">
        <f>IF('REKAP KUALITAS CPO'!T30=0,"-",'REKAP KUALITAS CPO'!T30)</f>
        <v>-</v>
      </c>
      <c r="Z32" s="103" t="str">
        <f>IF('REKAP KUALITAS CPO'!U30=0,"-",'REKAP KUALITAS CPO'!U30)</f>
        <v>-</v>
      </c>
      <c r="AA32" s="104" t="str">
        <f>IF('REKAP KUALITAS CPO'!V30=0,"-",'REKAP KUALITAS CPO'!V30)</f>
        <v>-</v>
      </c>
      <c r="AB32" s="104" t="str">
        <f>IF('REKAP KUALITAS CPO'!W30=0,"-",'REKAP KUALITAS CPO'!W30)</f>
        <v>-</v>
      </c>
      <c r="AC32" s="104" t="str">
        <f>IF('REKAP KUALITAS CPO'!X30=0,"-",'REKAP KUALITAS CPO'!X30)</f>
        <v>-</v>
      </c>
      <c r="AD32" s="104" t="str">
        <f>IF('REKAP KUALITAS CPO'!Y30=0,"-",'REKAP KUALITAS CPO'!Y30)</f>
        <v>-</v>
      </c>
      <c r="AE32" s="105" t="str">
        <f>IF('REKAP KUALITAS CPO'!S30=0,"NO DATA",IF('REKAP KUALITAS CPO'!S30&gt;5,"OVER SPEC",IF(OR('REKAP KUALITAS CPO'!S30&gt;4.5,'REKAP KUALITAS CPO'!T30&gt;0.45,'REKAP KUALITAS CPO'!U30&lt;2.2),"MENDEKATI","AMAN")))</f>
        <v>NO DATA</v>
      </c>
      <c r="AF32" s="106" t="str">
        <f t="shared" si="0"/>
        <v>Tidak ada data</v>
      </c>
    </row>
    <row r="33" spans="1:32" x14ac:dyDescent="0.2">
      <c r="A33" s="103" t="str">
        <f>'REKAP KUALITAS CPO'!A31</f>
        <v>27 Mar</v>
      </c>
      <c r="B33" s="104" t="str">
        <f>IF('REKAP KUALITAS CPO'!B31=0,"-",'REKAP KUALITAS CPO'!B31)</f>
        <v>-</v>
      </c>
      <c r="C33" s="103" t="str">
        <f>IF('REKAP KUALITAS CPO'!C31=0,"-",'REKAP KUALITAS CPO'!C31)</f>
        <v>-</v>
      </c>
      <c r="D33" s="104" t="str" cm="1">
        <f t="array" ref="D33">IF(OR('REKAP KUALITAS CPO'!C31=0,COUNTIF('REKAP KUALITAS CPO'!C$5:C31,"&gt;0")&lt;2),"-",TEXT('REKAP KUALITAS CPO'!C31-LOOKUP(2,1/('REKAP KUALITAS CPO'!C$5:C30&gt;0),'REKAP KUALITAS CPO'!C$5:C30),"+0.00;-0.00;\u2192"))</f>
        <v>-</v>
      </c>
      <c r="E33" s="103" t="str">
        <f>IF('REKAP KUALITAS CPO'!D31=0,"-",'REKAP KUALITAS CPO'!D31)</f>
        <v>-</v>
      </c>
      <c r="F33" s="103" t="str">
        <f>IF('REKAP KUALITAS CPO'!E31=0,"-",'REKAP KUALITAS CPO'!E31)</f>
        <v>-</v>
      </c>
      <c r="G33" s="104" t="str">
        <f>IF('REKAP KUALITAS CPO'!F31=0,"-",'REKAP KUALITAS CPO'!F31)</f>
        <v>-</v>
      </c>
      <c r="H33" s="104" t="str">
        <f>IF('REKAP KUALITAS CPO'!G31=0,"-",'REKAP KUALITAS CPO'!G31)</f>
        <v>-</v>
      </c>
      <c r="I33" s="104" t="str">
        <f>IF('REKAP KUALITAS CPO'!H31=0,"-",'REKAP KUALITAS CPO'!H31)</f>
        <v>-</v>
      </c>
      <c r="J33" s="104" t="str">
        <f>IF('REKAP KUALITAS CPO'!I31=0,"-",'REKAP KUALITAS CPO'!I31)</f>
        <v>-</v>
      </c>
      <c r="K33" s="105" t="str">
        <f>IF('REKAP KUALITAS CPO'!C31=0,"NO DATA",IF('REKAP KUALITAS CPO'!C31&gt;5,"OVER SPEC",IF(OR('REKAP KUALITAS CPO'!C31&gt;4.5,'REKAP KUALITAS CPO'!D31&gt;0.45,'REKAP KUALITAS CPO'!E31&lt;2.2),"MENDEKATI","AMAN")))</f>
        <v>NO DATA</v>
      </c>
      <c r="L33" s="104" t="str">
        <f>IF('REKAP KUALITAS CPO'!J31=0,"-",'REKAP KUALITAS CPO'!J31)</f>
        <v>-</v>
      </c>
      <c r="M33" s="103" t="str">
        <f>IF('REKAP KUALITAS CPO'!K31=0,"-",'REKAP KUALITAS CPO'!K31)</f>
        <v>-</v>
      </c>
      <c r="N33" s="104" t="str" cm="1">
        <f t="array" ref="N33">IF(OR('REKAP KUALITAS CPO'!K31=0,COUNTIF('REKAP KUALITAS CPO'!K$5:K31,"&gt;0")&lt;2),"-",TEXT('REKAP KUALITAS CPO'!K31-LOOKUP(2,1/('REKAP KUALITAS CPO'!K$5:K30&gt;0),'REKAP KUALITAS CPO'!K$5:K30),"+0.00;-0.00;\u2192"))</f>
        <v>-</v>
      </c>
      <c r="O33" s="103" t="str">
        <f>IF('REKAP KUALITAS CPO'!L31=0,"-",'REKAP KUALITAS CPO'!L31)</f>
        <v>-</v>
      </c>
      <c r="P33" s="103" t="str">
        <f>IF('REKAP KUALITAS CPO'!M31=0,"-",'REKAP KUALITAS CPO'!M31)</f>
        <v>-</v>
      </c>
      <c r="Q33" s="104" t="str">
        <f>IF('REKAP KUALITAS CPO'!N31=0,"-",'REKAP KUALITAS CPO'!N31)</f>
        <v>-</v>
      </c>
      <c r="R33" s="104" t="str">
        <f>IF('REKAP KUALITAS CPO'!O31=0,"-",'REKAP KUALITAS CPO'!O31)</f>
        <v>-</v>
      </c>
      <c r="S33" s="104" t="str">
        <f>IF('REKAP KUALITAS CPO'!P31=0,"-",'REKAP KUALITAS CPO'!P31)</f>
        <v>-</v>
      </c>
      <c r="T33" s="104" t="str">
        <f>IF('REKAP KUALITAS CPO'!Q31=0,"-",'REKAP KUALITAS CPO'!Q31)</f>
        <v>-</v>
      </c>
      <c r="U33" s="105" t="str">
        <f>IF('REKAP KUALITAS CPO'!K31=0,"NO DATA",IF('REKAP KUALITAS CPO'!K31&gt;5,"OVER SPEC",IF(OR('REKAP KUALITAS CPO'!K31&gt;4.5,'REKAP KUALITAS CPO'!L31&gt;0.45,'REKAP KUALITAS CPO'!M31&lt;2.2),"MENDEKATI","AMAN")))</f>
        <v>NO DATA</v>
      </c>
      <c r="V33" s="104" t="str">
        <f>IF('REKAP KUALITAS CPO'!R31=0,"-",'REKAP KUALITAS CPO'!R31)</f>
        <v>-</v>
      </c>
      <c r="W33" s="103" t="str">
        <f>IF('REKAP KUALITAS CPO'!S31=0,"-",'REKAP KUALITAS CPO'!S31)</f>
        <v>-</v>
      </c>
      <c r="X33" s="104" t="str" cm="1">
        <f t="array" ref="X33">IF(OR('REKAP KUALITAS CPO'!S31=0,COUNTIF('REKAP KUALITAS CPO'!S$5:S31,"&gt;0")&lt;2),"-",TEXT('REKAP KUALITAS CPO'!S31-LOOKUP(2,1/('REKAP KUALITAS CPO'!S$5:S30&gt;0),'REKAP KUALITAS CPO'!S$5:S30),"+0.00;-0.00;\u2192"))</f>
        <v>-</v>
      </c>
      <c r="Y33" s="103" t="str">
        <f>IF('REKAP KUALITAS CPO'!T31=0,"-",'REKAP KUALITAS CPO'!T31)</f>
        <v>-</v>
      </c>
      <c r="Z33" s="103" t="str">
        <f>IF('REKAP KUALITAS CPO'!U31=0,"-",'REKAP KUALITAS CPO'!U31)</f>
        <v>-</v>
      </c>
      <c r="AA33" s="104" t="str">
        <f>IF('REKAP KUALITAS CPO'!V31=0,"-",'REKAP KUALITAS CPO'!V31)</f>
        <v>-</v>
      </c>
      <c r="AB33" s="104" t="str">
        <f>IF('REKAP KUALITAS CPO'!W31=0,"-",'REKAP KUALITAS CPO'!W31)</f>
        <v>-</v>
      </c>
      <c r="AC33" s="104" t="str">
        <f>IF('REKAP KUALITAS CPO'!X31=0,"-",'REKAP KUALITAS CPO'!X31)</f>
        <v>-</v>
      </c>
      <c r="AD33" s="104" t="str">
        <f>IF('REKAP KUALITAS CPO'!Y31=0,"-",'REKAP KUALITAS CPO'!Y31)</f>
        <v>-</v>
      </c>
      <c r="AE33" s="105" t="str">
        <f>IF('REKAP KUALITAS CPO'!S31=0,"NO DATA",IF('REKAP KUALITAS CPO'!S31&gt;5,"OVER SPEC",IF(OR('REKAP KUALITAS CPO'!S31&gt;4.5,'REKAP KUALITAS CPO'!T31&gt;0.45,'REKAP KUALITAS CPO'!U31&lt;2.2),"MENDEKATI","AMAN")))</f>
        <v>NO DATA</v>
      </c>
      <c r="AF33" s="106" t="str">
        <f t="shared" si="0"/>
        <v>Tidak ada data</v>
      </c>
    </row>
    <row r="34" spans="1:32" x14ac:dyDescent="0.2">
      <c r="A34" s="103" t="str">
        <f>'REKAP KUALITAS CPO'!A32</f>
        <v>28 Mar</v>
      </c>
      <c r="B34" s="104" t="str">
        <f>IF('REKAP KUALITAS CPO'!B32=0,"-",'REKAP KUALITAS CPO'!B32)</f>
        <v>-</v>
      </c>
      <c r="C34" s="103" t="str">
        <f>IF('REKAP KUALITAS CPO'!C32=0,"-",'REKAP KUALITAS CPO'!C32)</f>
        <v>-</v>
      </c>
      <c r="D34" s="104" t="str" cm="1">
        <f t="array" ref="D34">IF(OR('REKAP KUALITAS CPO'!C32=0,COUNTIF('REKAP KUALITAS CPO'!C$5:C32,"&gt;0")&lt;2),"-",TEXT('REKAP KUALITAS CPO'!C32-LOOKUP(2,1/('REKAP KUALITAS CPO'!C$5:C31&gt;0),'REKAP KUALITAS CPO'!C$5:C31),"+0.00;-0.00;\u2192"))</f>
        <v>-</v>
      </c>
      <c r="E34" s="103" t="str">
        <f>IF('REKAP KUALITAS CPO'!D32=0,"-",'REKAP KUALITAS CPO'!D32)</f>
        <v>-</v>
      </c>
      <c r="F34" s="103" t="str">
        <f>IF('REKAP KUALITAS CPO'!E32=0,"-",'REKAP KUALITAS CPO'!E32)</f>
        <v>-</v>
      </c>
      <c r="G34" s="104" t="str">
        <f>IF('REKAP KUALITAS CPO'!F32=0,"-",'REKAP KUALITAS CPO'!F32)</f>
        <v>-</v>
      </c>
      <c r="H34" s="104" t="str">
        <f>IF('REKAP KUALITAS CPO'!G32=0,"-",'REKAP KUALITAS CPO'!G32)</f>
        <v>-</v>
      </c>
      <c r="I34" s="104" t="str">
        <f>IF('REKAP KUALITAS CPO'!H32=0,"-",'REKAP KUALITAS CPO'!H32)</f>
        <v>-</v>
      </c>
      <c r="J34" s="104" t="str">
        <f>IF('REKAP KUALITAS CPO'!I32=0,"-",'REKAP KUALITAS CPO'!I32)</f>
        <v>-</v>
      </c>
      <c r="K34" s="105" t="str">
        <f>IF('REKAP KUALITAS CPO'!C32=0,"NO DATA",IF('REKAP KUALITAS CPO'!C32&gt;5,"OVER SPEC",IF(OR('REKAP KUALITAS CPO'!C32&gt;4.5,'REKAP KUALITAS CPO'!D32&gt;0.45,'REKAP KUALITAS CPO'!E32&lt;2.2),"MENDEKATI","AMAN")))</f>
        <v>NO DATA</v>
      </c>
      <c r="L34" s="104" t="str">
        <f>IF('REKAP KUALITAS CPO'!J32=0,"-",'REKAP KUALITAS CPO'!J32)</f>
        <v>-</v>
      </c>
      <c r="M34" s="103" t="str">
        <f>IF('REKAP KUALITAS CPO'!K32=0,"-",'REKAP KUALITAS CPO'!K32)</f>
        <v>-</v>
      </c>
      <c r="N34" s="104" t="str" cm="1">
        <f t="array" ref="N34">IF(OR('REKAP KUALITAS CPO'!K32=0,COUNTIF('REKAP KUALITAS CPO'!K$5:K32,"&gt;0")&lt;2),"-",TEXT('REKAP KUALITAS CPO'!K32-LOOKUP(2,1/('REKAP KUALITAS CPO'!K$5:K31&gt;0),'REKAP KUALITAS CPO'!K$5:K31),"+0.00;-0.00;\u2192"))</f>
        <v>-</v>
      </c>
      <c r="O34" s="103" t="str">
        <f>IF('REKAP KUALITAS CPO'!L32=0,"-",'REKAP KUALITAS CPO'!L32)</f>
        <v>-</v>
      </c>
      <c r="P34" s="103" t="str">
        <f>IF('REKAP KUALITAS CPO'!M32=0,"-",'REKAP KUALITAS CPO'!M32)</f>
        <v>-</v>
      </c>
      <c r="Q34" s="104" t="str">
        <f>IF('REKAP KUALITAS CPO'!N32=0,"-",'REKAP KUALITAS CPO'!N32)</f>
        <v>-</v>
      </c>
      <c r="R34" s="104" t="str">
        <f>IF('REKAP KUALITAS CPO'!O32=0,"-",'REKAP KUALITAS CPO'!O32)</f>
        <v>-</v>
      </c>
      <c r="S34" s="104" t="str">
        <f>IF('REKAP KUALITAS CPO'!P32=0,"-",'REKAP KUALITAS CPO'!P32)</f>
        <v>-</v>
      </c>
      <c r="T34" s="104" t="str">
        <f>IF('REKAP KUALITAS CPO'!Q32=0,"-",'REKAP KUALITAS CPO'!Q32)</f>
        <v>-</v>
      </c>
      <c r="U34" s="105" t="str">
        <f>IF('REKAP KUALITAS CPO'!K32=0,"NO DATA",IF('REKAP KUALITAS CPO'!K32&gt;5,"OVER SPEC",IF(OR('REKAP KUALITAS CPO'!K32&gt;4.5,'REKAP KUALITAS CPO'!L32&gt;0.45,'REKAP KUALITAS CPO'!M32&lt;2.2),"MENDEKATI","AMAN")))</f>
        <v>NO DATA</v>
      </c>
      <c r="V34" s="104" t="str">
        <f>IF('REKAP KUALITAS CPO'!R32=0,"-",'REKAP KUALITAS CPO'!R32)</f>
        <v>-</v>
      </c>
      <c r="W34" s="103" t="str">
        <f>IF('REKAP KUALITAS CPO'!S32=0,"-",'REKAP KUALITAS CPO'!S32)</f>
        <v>-</v>
      </c>
      <c r="X34" s="104" t="str" cm="1">
        <f t="array" ref="X34">IF(OR('REKAP KUALITAS CPO'!S32=0,COUNTIF('REKAP KUALITAS CPO'!S$5:S32,"&gt;0")&lt;2),"-",TEXT('REKAP KUALITAS CPO'!S32-LOOKUP(2,1/('REKAP KUALITAS CPO'!S$5:S31&gt;0),'REKAP KUALITAS CPO'!S$5:S31),"+0.00;-0.00;\u2192"))</f>
        <v>-</v>
      </c>
      <c r="Y34" s="103" t="str">
        <f>IF('REKAP KUALITAS CPO'!T32=0,"-",'REKAP KUALITAS CPO'!T32)</f>
        <v>-</v>
      </c>
      <c r="Z34" s="103" t="str">
        <f>IF('REKAP KUALITAS CPO'!U32=0,"-",'REKAP KUALITAS CPO'!U32)</f>
        <v>-</v>
      </c>
      <c r="AA34" s="104" t="str">
        <f>IF('REKAP KUALITAS CPO'!V32=0,"-",'REKAP KUALITAS CPO'!V32)</f>
        <v>-</v>
      </c>
      <c r="AB34" s="104" t="str">
        <f>IF('REKAP KUALITAS CPO'!W32=0,"-",'REKAP KUALITAS CPO'!W32)</f>
        <v>-</v>
      </c>
      <c r="AC34" s="104" t="str">
        <f>IF('REKAP KUALITAS CPO'!X32=0,"-",'REKAP KUALITAS CPO'!X32)</f>
        <v>-</v>
      </c>
      <c r="AD34" s="104" t="str">
        <f>IF('REKAP KUALITAS CPO'!Y32=0,"-",'REKAP KUALITAS CPO'!Y32)</f>
        <v>-</v>
      </c>
      <c r="AE34" s="105" t="str">
        <f>IF('REKAP KUALITAS CPO'!S32=0,"NO DATA",IF('REKAP KUALITAS CPO'!S32&gt;5,"OVER SPEC",IF(OR('REKAP KUALITAS CPO'!S32&gt;4.5,'REKAP KUALITAS CPO'!T32&gt;0.45,'REKAP KUALITAS CPO'!U32&lt;2.2),"MENDEKATI","AMAN")))</f>
        <v>NO DATA</v>
      </c>
      <c r="AF34" s="106" t="str">
        <f t="shared" si="0"/>
        <v>Tidak ada data</v>
      </c>
    </row>
    <row r="35" spans="1:32" x14ac:dyDescent="0.2">
      <c r="A35" s="103" t="str">
        <f>'REKAP KUALITAS CPO'!A33</f>
        <v>29 Mar</v>
      </c>
      <c r="B35" s="104" t="str">
        <f>IF('REKAP KUALITAS CPO'!B33=0,"-",'REKAP KUALITAS CPO'!B33)</f>
        <v>-</v>
      </c>
      <c r="C35" s="103" t="str">
        <f>IF('REKAP KUALITAS CPO'!C33=0,"-",'REKAP KUALITAS CPO'!C33)</f>
        <v>-</v>
      </c>
      <c r="D35" s="104" t="str" cm="1">
        <f t="array" ref="D35">IF(OR('REKAP KUALITAS CPO'!C33=0,COUNTIF('REKAP KUALITAS CPO'!C$5:C33,"&gt;0")&lt;2),"-",TEXT('REKAP KUALITAS CPO'!C33-LOOKUP(2,1/('REKAP KUALITAS CPO'!C$5:C32&gt;0),'REKAP KUALITAS CPO'!C$5:C32),"+0.00;-0.00;\u2192"))</f>
        <v>-</v>
      </c>
      <c r="E35" s="103" t="str">
        <f>IF('REKAP KUALITAS CPO'!D33=0,"-",'REKAP KUALITAS CPO'!D33)</f>
        <v>-</v>
      </c>
      <c r="F35" s="103" t="str">
        <f>IF('REKAP KUALITAS CPO'!E33=0,"-",'REKAP KUALITAS CPO'!E33)</f>
        <v>-</v>
      </c>
      <c r="G35" s="104" t="str">
        <f>IF('REKAP KUALITAS CPO'!F33=0,"-",'REKAP KUALITAS CPO'!F33)</f>
        <v>-</v>
      </c>
      <c r="H35" s="104" t="str">
        <f>IF('REKAP KUALITAS CPO'!G33=0,"-",'REKAP KUALITAS CPO'!G33)</f>
        <v>-</v>
      </c>
      <c r="I35" s="104" t="str">
        <f>IF('REKAP KUALITAS CPO'!H33=0,"-",'REKAP KUALITAS CPO'!H33)</f>
        <v>-</v>
      </c>
      <c r="J35" s="104" t="str">
        <f>IF('REKAP KUALITAS CPO'!I33=0,"-",'REKAP KUALITAS CPO'!I33)</f>
        <v>-</v>
      </c>
      <c r="K35" s="105" t="str">
        <f>IF('REKAP KUALITAS CPO'!C33=0,"NO DATA",IF('REKAP KUALITAS CPO'!C33&gt;5,"OVER SPEC",IF(OR('REKAP KUALITAS CPO'!C33&gt;4.5,'REKAP KUALITAS CPO'!D33&gt;0.45,'REKAP KUALITAS CPO'!E33&lt;2.2),"MENDEKATI","AMAN")))</f>
        <v>NO DATA</v>
      </c>
      <c r="L35" s="104" t="str">
        <f>IF('REKAP KUALITAS CPO'!J33=0,"-",'REKAP KUALITAS CPO'!J33)</f>
        <v>-</v>
      </c>
      <c r="M35" s="103" t="str">
        <f>IF('REKAP KUALITAS CPO'!K33=0,"-",'REKAP KUALITAS CPO'!K33)</f>
        <v>-</v>
      </c>
      <c r="N35" s="104" t="str" cm="1">
        <f t="array" ref="N35">IF(OR('REKAP KUALITAS CPO'!K33=0,COUNTIF('REKAP KUALITAS CPO'!K$5:K33,"&gt;0")&lt;2),"-",TEXT('REKAP KUALITAS CPO'!K33-LOOKUP(2,1/('REKAP KUALITAS CPO'!K$5:K32&gt;0),'REKAP KUALITAS CPO'!K$5:K32),"+0.00;-0.00;\u2192"))</f>
        <v>-</v>
      </c>
      <c r="O35" s="103" t="str">
        <f>IF('REKAP KUALITAS CPO'!L33=0,"-",'REKAP KUALITAS CPO'!L33)</f>
        <v>-</v>
      </c>
      <c r="P35" s="103" t="str">
        <f>IF('REKAP KUALITAS CPO'!M33=0,"-",'REKAP KUALITAS CPO'!M33)</f>
        <v>-</v>
      </c>
      <c r="Q35" s="104" t="str">
        <f>IF('REKAP KUALITAS CPO'!N33=0,"-",'REKAP KUALITAS CPO'!N33)</f>
        <v>-</v>
      </c>
      <c r="R35" s="104" t="str">
        <f>IF('REKAP KUALITAS CPO'!O33=0,"-",'REKAP KUALITAS CPO'!O33)</f>
        <v>-</v>
      </c>
      <c r="S35" s="104" t="str">
        <f>IF('REKAP KUALITAS CPO'!P33=0,"-",'REKAP KUALITAS CPO'!P33)</f>
        <v>-</v>
      </c>
      <c r="T35" s="104" t="str">
        <f>IF('REKAP KUALITAS CPO'!Q33=0,"-",'REKAP KUALITAS CPO'!Q33)</f>
        <v>-</v>
      </c>
      <c r="U35" s="105" t="str">
        <f>IF('REKAP KUALITAS CPO'!K33=0,"NO DATA",IF('REKAP KUALITAS CPO'!K33&gt;5,"OVER SPEC",IF(OR('REKAP KUALITAS CPO'!K33&gt;4.5,'REKAP KUALITAS CPO'!L33&gt;0.45,'REKAP KUALITAS CPO'!M33&lt;2.2),"MENDEKATI","AMAN")))</f>
        <v>NO DATA</v>
      </c>
      <c r="V35" s="104" t="str">
        <f>IF('REKAP KUALITAS CPO'!R33=0,"-",'REKAP KUALITAS CPO'!R33)</f>
        <v>-</v>
      </c>
      <c r="W35" s="103" t="str">
        <f>IF('REKAP KUALITAS CPO'!S33=0,"-",'REKAP KUALITAS CPO'!S33)</f>
        <v>-</v>
      </c>
      <c r="X35" s="104" t="str" cm="1">
        <f t="array" ref="X35">IF(OR('REKAP KUALITAS CPO'!S33=0,COUNTIF('REKAP KUALITAS CPO'!S$5:S33,"&gt;0")&lt;2),"-",TEXT('REKAP KUALITAS CPO'!S33-LOOKUP(2,1/('REKAP KUALITAS CPO'!S$5:S32&gt;0),'REKAP KUALITAS CPO'!S$5:S32),"+0.00;-0.00;\u2192"))</f>
        <v>-</v>
      </c>
      <c r="Y35" s="103" t="str">
        <f>IF('REKAP KUALITAS CPO'!T33=0,"-",'REKAP KUALITAS CPO'!T33)</f>
        <v>-</v>
      </c>
      <c r="Z35" s="103" t="str">
        <f>IF('REKAP KUALITAS CPO'!U33=0,"-",'REKAP KUALITAS CPO'!U33)</f>
        <v>-</v>
      </c>
      <c r="AA35" s="104" t="str">
        <f>IF('REKAP KUALITAS CPO'!V33=0,"-",'REKAP KUALITAS CPO'!V33)</f>
        <v>-</v>
      </c>
      <c r="AB35" s="104" t="str">
        <f>IF('REKAP KUALITAS CPO'!W33=0,"-",'REKAP KUALITAS CPO'!W33)</f>
        <v>-</v>
      </c>
      <c r="AC35" s="104" t="str">
        <f>IF('REKAP KUALITAS CPO'!X33=0,"-",'REKAP KUALITAS CPO'!X33)</f>
        <v>-</v>
      </c>
      <c r="AD35" s="104" t="str">
        <f>IF('REKAP KUALITAS CPO'!Y33=0,"-",'REKAP KUALITAS CPO'!Y33)</f>
        <v>-</v>
      </c>
      <c r="AE35" s="105" t="str">
        <f>IF('REKAP KUALITAS CPO'!S33=0,"NO DATA",IF('REKAP KUALITAS CPO'!S33&gt;5,"OVER SPEC",IF(OR('REKAP KUALITAS CPO'!S33&gt;4.5,'REKAP KUALITAS CPO'!T33&gt;0.45,'REKAP KUALITAS CPO'!U33&lt;2.2),"MENDEKATI","AMAN")))</f>
        <v>NO DATA</v>
      </c>
      <c r="AF35" s="106" t="str">
        <f t="shared" si="0"/>
        <v>Tidak ada data</v>
      </c>
    </row>
    <row r="36" spans="1:32" x14ac:dyDescent="0.2">
      <c r="A36" s="103" t="str">
        <f>'REKAP KUALITAS CPO'!A34</f>
        <v>30 Mar</v>
      </c>
      <c r="B36" s="104" t="str">
        <f>IF('REKAP KUALITAS CPO'!B34=0,"-",'REKAP KUALITAS CPO'!B34)</f>
        <v>-</v>
      </c>
      <c r="C36" s="103" t="str">
        <f>IF('REKAP KUALITAS CPO'!C34=0,"-",'REKAP KUALITAS CPO'!C34)</f>
        <v>-</v>
      </c>
      <c r="D36" s="104" t="str" cm="1">
        <f t="array" ref="D36">IF(OR('REKAP KUALITAS CPO'!C34=0,COUNTIF('REKAP KUALITAS CPO'!C$5:C34,"&gt;0")&lt;2),"-",TEXT('REKAP KUALITAS CPO'!C34-LOOKUP(2,1/('REKAP KUALITAS CPO'!C$5:C33&gt;0),'REKAP KUALITAS CPO'!C$5:C33),"+0.00;-0.00;\u2192"))</f>
        <v>-</v>
      </c>
      <c r="E36" s="103" t="str">
        <f>IF('REKAP KUALITAS CPO'!D34=0,"-",'REKAP KUALITAS CPO'!D34)</f>
        <v>-</v>
      </c>
      <c r="F36" s="103" t="str">
        <f>IF('REKAP KUALITAS CPO'!E34=0,"-",'REKAP KUALITAS CPO'!E34)</f>
        <v>-</v>
      </c>
      <c r="G36" s="104" t="str">
        <f>IF('REKAP KUALITAS CPO'!F34=0,"-",'REKAP KUALITAS CPO'!F34)</f>
        <v>-</v>
      </c>
      <c r="H36" s="104" t="str">
        <f>IF('REKAP KUALITAS CPO'!G34=0,"-",'REKAP KUALITAS CPO'!G34)</f>
        <v>-</v>
      </c>
      <c r="I36" s="104" t="str">
        <f>IF('REKAP KUALITAS CPO'!H34=0,"-",'REKAP KUALITAS CPO'!H34)</f>
        <v>-</v>
      </c>
      <c r="J36" s="104" t="str">
        <f>IF('REKAP KUALITAS CPO'!I34=0,"-",'REKAP KUALITAS CPO'!I34)</f>
        <v>-</v>
      </c>
      <c r="K36" s="105" t="str">
        <f>IF('REKAP KUALITAS CPO'!C34=0,"NO DATA",IF('REKAP KUALITAS CPO'!C34&gt;5,"OVER SPEC",IF(OR('REKAP KUALITAS CPO'!C34&gt;4.5,'REKAP KUALITAS CPO'!D34&gt;0.45,'REKAP KUALITAS CPO'!E34&lt;2.2),"MENDEKATI","AMAN")))</f>
        <v>NO DATA</v>
      </c>
      <c r="L36" s="104" t="str">
        <f>IF('REKAP KUALITAS CPO'!J34=0,"-",'REKAP KUALITAS CPO'!J34)</f>
        <v>-</v>
      </c>
      <c r="M36" s="103" t="str">
        <f>IF('REKAP KUALITAS CPO'!K34=0,"-",'REKAP KUALITAS CPO'!K34)</f>
        <v>-</v>
      </c>
      <c r="N36" s="104" t="str" cm="1">
        <f t="array" ref="N36">IF(OR('REKAP KUALITAS CPO'!K34=0,COUNTIF('REKAP KUALITAS CPO'!K$5:K34,"&gt;0")&lt;2),"-",TEXT('REKAP KUALITAS CPO'!K34-LOOKUP(2,1/('REKAP KUALITAS CPO'!K$5:K33&gt;0),'REKAP KUALITAS CPO'!K$5:K33),"+0.00;-0.00;\u2192"))</f>
        <v>-</v>
      </c>
      <c r="O36" s="103" t="str">
        <f>IF('REKAP KUALITAS CPO'!L34=0,"-",'REKAP KUALITAS CPO'!L34)</f>
        <v>-</v>
      </c>
      <c r="P36" s="103" t="str">
        <f>IF('REKAP KUALITAS CPO'!M34=0,"-",'REKAP KUALITAS CPO'!M34)</f>
        <v>-</v>
      </c>
      <c r="Q36" s="104" t="str">
        <f>IF('REKAP KUALITAS CPO'!N34=0,"-",'REKAP KUALITAS CPO'!N34)</f>
        <v>-</v>
      </c>
      <c r="R36" s="104" t="str">
        <f>IF('REKAP KUALITAS CPO'!O34=0,"-",'REKAP KUALITAS CPO'!O34)</f>
        <v>-</v>
      </c>
      <c r="S36" s="104" t="str">
        <f>IF('REKAP KUALITAS CPO'!P34=0,"-",'REKAP KUALITAS CPO'!P34)</f>
        <v>-</v>
      </c>
      <c r="T36" s="104" t="str">
        <f>IF('REKAP KUALITAS CPO'!Q34=0,"-",'REKAP KUALITAS CPO'!Q34)</f>
        <v>-</v>
      </c>
      <c r="U36" s="105" t="str">
        <f>IF('REKAP KUALITAS CPO'!K34=0,"NO DATA",IF('REKAP KUALITAS CPO'!K34&gt;5,"OVER SPEC",IF(OR('REKAP KUALITAS CPO'!K34&gt;4.5,'REKAP KUALITAS CPO'!L34&gt;0.45,'REKAP KUALITAS CPO'!M34&lt;2.2),"MENDEKATI","AMAN")))</f>
        <v>NO DATA</v>
      </c>
      <c r="V36" s="104" t="str">
        <f>IF('REKAP KUALITAS CPO'!R34=0,"-",'REKAP KUALITAS CPO'!R34)</f>
        <v>-</v>
      </c>
      <c r="W36" s="103" t="str">
        <f>IF('REKAP KUALITAS CPO'!S34=0,"-",'REKAP KUALITAS CPO'!S34)</f>
        <v>-</v>
      </c>
      <c r="X36" s="104" t="str" cm="1">
        <f t="array" ref="X36">IF(OR('REKAP KUALITAS CPO'!S34=0,COUNTIF('REKAP KUALITAS CPO'!S$5:S34,"&gt;0")&lt;2),"-",TEXT('REKAP KUALITAS CPO'!S34-LOOKUP(2,1/('REKAP KUALITAS CPO'!S$5:S33&gt;0),'REKAP KUALITAS CPO'!S$5:S33),"+0.00;-0.00;\u2192"))</f>
        <v>-</v>
      </c>
      <c r="Y36" s="103" t="str">
        <f>IF('REKAP KUALITAS CPO'!T34=0,"-",'REKAP KUALITAS CPO'!T34)</f>
        <v>-</v>
      </c>
      <c r="Z36" s="103" t="str">
        <f>IF('REKAP KUALITAS CPO'!U34=0,"-",'REKAP KUALITAS CPO'!U34)</f>
        <v>-</v>
      </c>
      <c r="AA36" s="104" t="str">
        <f>IF('REKAP KUALITAS CPO'!V34=0,"-",'REKAP KUALITAS CPO'!V34)</f>
        <v>-</v>
      </c>
      <c r="AB36" s="104" t="str">
        <f>IF('REKAP KUALITAS CPO'!W34=0,"-",'REKAP KUALITAS CPO'!W34)</f>
        <v>-</v>
      </c>
      <c r="AC36" s="104" t="str">
        <f>IF('REKAP KUALITAS CPO'!X34=0,"-",'REKAP KUALITAS CPO'!X34)</f>
        <v>-</v>
      </c>
      <c r="AD36" s="104" t="str">
        <f>IF('REKAP KUALITAS CPO'!Y34=0,"-",'REKAP KUALITAS CPO'!Y34)</f>
        <v>-</v>
      </c>
      <c r="AE36" s="105" t="str">
        <f>IF('REKAP KUALITAS CPO'!S34=0,"NO DATA",IF('REKAP KUALITAS CPO'!S34&gt;5,"OVER SPEC",IF(OR('REKAP KUALITAS CPO'!S34&gt;4.5,'REKAP KUALITAS CPO'!T34&gt;0.45,'REKAP KUALITAS CPO'!U34&lt;2.2),"MENDEKATI","AMAN")))</f>
        <v>NO DATA</v>
      </c>
      <c r="AF36" s="106" t="str">
        <f t="shared" si="0"/>
        <v>Tidak ada data</v>
      </c>
    </row>
    <row r="37" spans="1:32" x14ac:dyDescent="0.2">
      <c r="A37" s="103">
        <f>'REKAP KUALITAS CPO'!A35</f>
        <v>0</v>
      </c>
      <c r="B37" s="104" t="str">
        <f>IF('REKAP KUALITAS CPO'!B35=0,"-",'REKAP KUALITAS CPO'!B35)</f>
        <v>-</v>
      </c>
      <c r="C37" s="103" t="str">
        <f>IF('REKAP KUALITAS CPO'!C35=0,"-",'REKAP KUALITAS CPO'!C35)</f>
        <v>-</v>
      </c>
      <c r="D37" s="104" t="str" cm="1">
        <f t="array" ref="D37">IF(OR('REKAP KUALITAS CPO'!C35=0,COUNTIF('REKAP KUALITAS CPO'!C$5:C35,"&gt;0")&lt;2),"-",TEXT('REKAP KUALITAS CPO'!C35-LOOKUP(2,1/('REKAP KUALITAS CPO'!C$5:C34&gt;0),'REKAP KUALITAS CPO'!C$5:C34),"+0.00;-0.00;\u2192"))</f>
        <v>-</v>
      </c>
      <c r="E37" s="103" t="str">
        <f>IF('REKAP KUALITAS CPO'!D35=0,"-",'REKAP KUALITAS CPO'!D35)</f>
        <v>-</v>
      </c>
      <c r="F37" s="103" t="str">
        <f>IF('REKAP KUALITAS CPO'!E35=0,"-",'REKAP KUALITAS CPO'!E35)</f>
        <v>-</v>
      </c>
      <c r="G37" s="104" t="str">
        <f>IF('REKAP KUALITAS CPO'!F35=0,"-",'REKAP KUALITAS CPO'!F35)</f>
        <v>-</v>
      </c>
      <c r="H37" s="104" t="str">
        <f>IF('REKAP KUALITAS CPO'!G35=0,"-",'REKAP KUALITAS CPO'!G35)</f>
        <v>-</v>
      </c>
      <c r="I37" s="104" t="str">
        <f>IF('REKAP KUALITAS CPO'!H35=0,"-",'REKAP KUALITAS CPO'!H35)</f>
        <v>-</v>
      </c>
      <c r="J37" s="104" t="str">
        <f>IF('REKAP KUALITAS CPO'!I35=0,"-",'REKAP KUALITAS CPO'!I35)</f>
        <v>-</v>
      </c>
      <c r="K37" s="105" t="str">
        <f>IF('REKAP KUALITAS CPO'!C35=0,"NO DATA",IF('REKAP KUALITAS CPO'!C35&gt;5,"OVER SPEC",IF(OR('REKAP KUALITAS CPO'!C35&gt;4.5,'REKAP KUALITAS CPO'!D35&gt;0.45,'REKAP KUALITAS CPO'!E35&lt;2.2),"MENDEKATI","AMAN")))</f>
        <v>NO DATA</v>
      </c>
      <c r="L37" s="104" t="str">
        <f>IF('REKAP KUALITAS CPO'!J35=0,"-",'REKAP KUALITAS CPO'!J35)</f>
        <v>-</v>
      </c>
      <c r="M37" s="103" t="str">
        <f>IF('REKAP KUALITAS CPO'!K35=0,"-",'REKAP KUALITAS CPO'!K35)</f>
        <v>-</v>
      </c>
      <c r="N37" s="104" t="str" cm="1">
        <f t="array" ref="N37">IF(OR('REKAP KUALITAS CPO'!K35=0,COUNTIF('REKAP KUALITAS CPO'!K$5:K35,"&gt;0")&lt;2),"-",TEXT('REKAP KUALITAS CPO'!K35-LOOKUP(2,1/('REKAP KUALITAS CPO'!K$5:K34&gt;0),'REKAP KUALITAS CPO'!K$5:K34),"+0.00;-0.00;\u2192"))</f>
        <v>-</v>
      </c>
      <c r="O37" s="103" t="str">
        <f>IF('REKAP KUALITAS CPO'!L35=0,"-",'REKAP KUALITAS CPO'!L35)</f>
        <v>-</v>
      </c>
      <c r="P37" s="103" t="str">
        <f>IF('REKAP KUALITAS CPO'!M35=0,"-",'REKAP KUALITAS CPO'!M35)</f>
        <v>-</v>
      </c>
      <c r="Q37" s="104" t="str">
        <f>IF('REKAP KUALITAS CPO'!N35=0,"-",'REKAP KUALITAS CPO'!N35)</f>
        <v>-</v>
      </c>
      <c r="R37" s="104" t="str">
        <f>IF('REKAP KUALITAS CPO'!O35=0,"-",'REKAP KUALITAS CPO'!O35)</f>
        <v>-</v>
      </c>
      <c r="S37" s="104" t="str">
        <f>IF('REKAP KUALITAS CPO'!P35=0,"-",'REKAP KUALITAS CPO'!P35)</f>
        <v>-</v>
      </c>
      <c r="T37" s="104" t="str">
        <f>IF('REKAP KUALITAS CPO'!Q35=0,"-",'REKAP KUALITAS CPO'!Q35)</f>
        <v>-</v>
      </c>
      <c r="U37" s="105" t="str">
        <f>IF('REKAP KUALITAS CPO'!K35=0,"NO DATA",IF('REKAP KUALITAS CPO'!K35&gt;5,"OVER SPEC",IF(OR('REKAP KUALITAS CPO'!K35&gt;4.5,'REKAP KUALITAS CPO'!L35&gt;0.45,'REKAP KUALITAS CPO'!M35&lt;2.2),"MENDEKATI","AMAN")))</f>
        <v>NO DATA</v>
      </c>
      <c r="V37" s="104" t="str">
        <f>IF('REKAP KUALITAS CPO'!R35=0,"-",'REKAP KUALITAS CPO'!R35)</f>
        <v>-</v>
      </c>
      <c r="W37" s="103" t="str">
        <f>IF('REKAP KUALITAS CPO'!S35=0,"-",'REKAP KUALITAS CPO'!S35)</f>
        <v>-</v>
      </c>
      <c r="X37" s="104" t="str" cm="1">
        <f t="array" ref="X37">IF(OR('REKAP KUALITAS CPO'!S35=0,COUNTIF('REKAP KUALITAS CPO'!S$5:S35,"&gt;0")&lt;2),"-",TEXT('REKAP KUALITAS CPO'!S35-LOOKUP(2,1/('REKAP KUALITAS CPO'!S$5:S34&gt;0),'REKAP KUALITAS CPO'!S$5:S34),"+0.00;-0.00;\u2192"))</f>
        <v>-</v>
      </c>
      <c r="Y37" s="103" t="str">
        <f>IF('REKAP KUALITAS CPO'!T35=0,"-",'REKAP KUALITAS CPO'!T35)</f>
        <v>-</v>
      </c>
      <c r="Z37" s="103" t="str">
        <f>IF('REKAP KUALITAS CPO'!U35=0,"-",'REKAP KUALITAS CPO'!U35)</f>
        <v>-</v>
      </c>
      <c r="AA37" s="104" t="str">
        <f>IF('REKAP KUALITAS CPO'!V35=0,"-",'REKAP KUALITAS CPO'!V35)</f>
        <v>-</v>
      </c>
      <c r="AB37" s="104" t="str">
        <f>IF('REKAP KUALITAS CPO'!W35=0,"-",'REKAP KUALITAS CPO'!W35)</f>
        <v>-</v>
      </c>
      <c r="AC37" s="104" t="str">
        <f>IF('REKAP KUALITAS CPO'!X35=0,"-",'REKAP KUALITAS CPO'!X35)</f>
        <v>-</v>
      </c>
      <c r="AD37" s="104" t="str">
        <f>IF('REKAP KUALITAS CPO'!Y35=0,"-",'REKAP KUALITAS CPO'!Y35)</f>
        <v>-</v>
      </c>
      <c r="AE37" s="105" t="str">
        <f>IF('REKAP KUALITAS CPO'!S35=0,"NO DATA",IF('REKAP KUALITAS CPO'!S35&gt;5,"OVER SPEC",IF(OR('REKAP KUALITAS CPO'!S35&gt;4.5,'REKAP KUALITAS CPO'!T35&gt;0.45,'REKAP KUALITAS CPO'!U35&lt;2.2),"MENDEKATI","AMAN")))</f>
        <v>NO DATA</v>
      </c>
      <c r="AF37" s="106" t="str">
        <f t="shared" si="0"/>
        <v>Tidak ada data</v>
      </c>
    </row>
  </sheetData>
  <mergeCells count="8">
    <mergeCell ref="V3:AE3"/>
    <mergeCell ref="A1:AF1"/>
    <mergeCell ref="A2:AF2"/>
    <mergeCell ref="B4:K4"/>
    <mergeCell ref="L4:U4"/>
    <mergeCell ref="V4:AE4"/>
    <mergeCell ref="B3:K3"/>
    <mergeCell ref="L3:U3"/>
  </mergeCells>
  <conditionalFormatting sqref="C7:C37">
    <cfRule type="cellIs" dxfId="84" priority="17" operator="greaterThan">
      <formula>5</formula>
    </cfRule>
    <cfRule type="cellIs" dxfId="83" priority="19" operator="lessThanOrEqual">
      <formula>4.5</formula>
    </cfRule>
    <cfRule type="cellIs" dxfId="82" priority="18" operator="between">
      <formula>4.5</formula>
      <formula>5</formula>
    </cfRule>
  </conditionalFormatting>
  <conditionalFormatting sqref="E7:E37">
    <cfRule type="cellIs" dxfId="81" priority="37" operator="lessThanOrEqual">
      <formula>0.3</formula>
    </cfRule>
    <cfRule type="cellIs" dxfId="80" priority="36" operator="between">
      <formula>0.3</formula>
      <formula>0.35</formula>
    </cfRule>
    <cfRule type="cellIs" dxfId="79" priority="35" operator="greaterThan">
      <formula>0.35</formula>
    </cfRule>
  </conditionalFormatting>
  <conditionalFormatting sqref="F7:F37">
    <cfRule type="cellIs" dxfId="78" priority="28" operator="greaterThan">
      <formula>2.55</formula>
    </cfRule>
    <cfRule type="cellIs" dxfId="77" priority="27" operator="between">
      <formula>2.31</formula>
      <formula>2.55</formula>
    </cfRule>
    <cfRule type="cellIs" dxfId="76" priority="26" operator="lessThan">
      <formula>2.31</formula>
    </cfRule>
  </conditionalFormatting>
  <conditionalFormatting sqref="K7:K37">
    <cfRule type="containsText" dxfId="75" priority="2" operator="containsText" text="MENDEKATI">
      <formula>NOT(ISERROR(SEARCH("MENDEKATI",K7)))</formula>
    </cfRule>
    <cfRule type="containsText" dxfId="74" priority="3" operator="containsText" text="AMAN">
      <formula>NOT(ISERROR(SEARCH("AMAN",K7)))</formula>
    </cfRule>
    <cfRule type="containsText" dxfId="73" priority="4" operator="containsText" text="NO DATA">
      <formula>NOT(ISERROR(SEARCH("NO DATA",K7)))</formula>
    </cfRule>
    <cfRule type="containsText" dxfId="72" priority="1" operator="containsText" text="OVER SPEC">
      <formula>NOT(ISERROR(SEARCH("OVER SPEC",K7)))</formula>
    </cfRule>
  </conditionalFormatting>
  <conditionalFormatting sqref="M7:M37">
    <cfRule type="cellIs" dxfId="71" priority="22" operator="lessThanOrEqual">
      <formula>4.5</formula>
    </cfRule>
    <cfRule type="cellIs" dxfId="70" priority="20" operator="greaterThan">
      <formula>5</formula>
    </cfRule>
    <cfRule type="cellIs" dxfId="69" priority="21" operator="between">
      <formula>4.5</formula>
      <formula>5</formula>
    </cfRule>
  </conditionalFormatting>
  <conditionalFormatting sqref="O7:O37">
    <cfRule type="cellIs" dxfId="68" priority="40" operator="lessThanOrEqual">
      <formula>0.3</formula>
    </cfRule>
    <cfRule type="cellIs" dxfId="67" priority="39" operator="between">
      <formula>0.3</formula>
      <formula>0.35</formula>
    </cfRule>
    <cfRule type="cellIs" dxfId="66" priority="38" operator="greaterThan">
      <formula>0.35</formula>
    </cfRule>
  </conditionalFormatting>
  <conditionalFormatting sqref="P7:P37">
    <cfRule type="cellIs" dxfId="65" priority="30" operator="between">
      <formula>2.31</formula>
      <formula>2.55</formula>
    </cfRule>
    <cfRule type="cellIs" dxfId="64" priority="31" operator="greaterThan">
      <formula>2.55</formula>
    </cfRule>
    <cfRule type="cellIs" dxfId="63" priority="29" operator="lessThan">
      <formula>2.31</formula>
    </cfRule>
  </conditionalFormatting>
  <conditionalFormatting sqref="U7:U37">
    <cfRule type="containsText" dxfId="62" priority="5" operator="containsText" text="OVER SPEC">
      <formula>NOT(ISERROR(SEARCH("OVER SPEC",U7)))</formula>
    </cfRule>
    <cfRule type="containsText" dxfId="61" priority="6" operator="containsText" text="MENDEKATI">
      <formula>NOT(ISERROR(SEARCH("MENDEKATI",U7)))</formula>
    </cfRule>
    <cfRule type="containsText" dxfId="60" priority="7" operator="containsText" text="AMAN">
      <formula>NOT(ISERROR(SEARCH("AMAN",U7)))</formula>
    </cfRule>
    <cfRule type="containsText" dxfId="59" priority="8" operator="containsText" text="NO DATA">
      <formula>NOT(ISERROR(SEARCH("NO DATA",U7)))</formula>
    </cfRule>
  </conditionalFormatting>
  <conditionalFormatting sqref="W7:W37">
    <cfRule type="cellIs" dxfId="58" priority="23" operator="greaterThan">
      <formula>5</formula>
    </cfRule>
    <cfRule type="cellIs" dxfId="57" priority="24" operator="between">
      <formula>4.5</formula>
      <formula>5</formula>
    </cfRule>
    <cfRule type="cellIs" dxfId="56" priority="25" operator="lessThanOrEqual">
      <formula>4.5</formula>
    </cfRule>
  </conditionalFormatting>
  <conditionalFormatting sqref="Y7:Y37">
    <cfRule type="cellIs" dxfId="55" priority="43" operator="lessThanOrEqual">
      <formula>0.3</formula>
    </cfRule>
    <cfRule type="cellIs" dxfId="54" priority="41" operator="greaterThan">
      <formula>0.35</formula>
    </cfRule>
    <cfRule type="cellIs" dxfId="53" priority="42" operator="between">
      <formula>0.3</formula>
      <formula>0.35</formula>
    </cfRule>
  </conditionalFormatting>
  <conditionalFormatting sqref="Z7:Z37">
    <cfRule type="cellIs" dxfId="52" priority="32" operator="lessThan">
      <formula>2.31</formula>
    </cfRule>
    <cfRule type="cellIs" dxfId="51" priority="33" operator="between">
      <formula>2.31</formula>
      <formula>2.55</formula>
    </cfRule>
    <cfRule type="cellIs" dxfId="50" priority="34" operator="greaterThan">
      <formula>2.55</formula>
    </cfRule>
  </conditionalFormatting>
  <conditionalFormatting sqref="AE7:AE37">
    <cfRule type="containsText" dxfId="49" priority="9" operator="containsText" text="OVER SPEC">
      <formula>NOT(ISERROR(SEARCH("OVER SPEC",AE7)))</formula>
    </cfRule>
    <cfRule type="containsText" dxfId="48" priority="10" operator="containsText" text="MENDEKATI">
      <formula>NOT(ISERROR(SEARCH("MENDEKATI",AE7)))</formula>
    </cfRule>
    <cfRule type="containsText" dxfId="47" priority="11" operator="containsText" text="AMAN">
      <formula>NOT(ISERROR(SEARCH("AMAN",AE7)))</formula>
    </cfRule>
    <cfRule type="containsText" dxfId="46" priority="12" operator="containsText" text="NO DATA">
      <formula>NOT(ISERROR(SEARCH("NO DATA",AE7)))</formula>
    </cfRule>
  </conditionalFormatting>
  <conditionalFormatting sqref="AF7:AF37">
    <cfRule type="containsText" dxfId="45" priority="13" operator="containsText" text="OVER">
      <formula>NOT(ISERROR(SEARCH("OVER",AF7)))</formula>
    </cfRule>
    <cfRule type="containsText" dxfId="44" priority="14" operator="containsText" text="MENDEKATI">
      <formula>NOT(ISERROR(SEARCH("MENDEKATI",AF7)))</formula>
    </cfRule>
    <cfRule type="containsText" dxfId="43" priority="16" operator="containsText" text="Tidak ada">
      <formula>NOT(ISERROR(SEARCH("Tidak ada",AF7)))</formula>
    </cfRule>
    <cfRule type="containsText" dxfId="42" priority="15" operator="containsText" text="Aman">
      <formula>NOT(ISERROR(SEARCH("Aman",AF7)))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33C00"/>
  </sheetPr>
  <dimension ref="A1:L29"/>
  <sheetViews>
    <sheetView showGridLines="0" topLeftCell="A2" zoomScale="110" zoomScaleNormal="125" workbookViewId="0">
      <selection activeCell="F6" sqref="F6:L6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5" width="16" customWidth="1"/>
    <col min="6" max="6" width="15" customWidth="1"/>
    <col min="7" max="7" width="10" customWidth="1"/>
    <col min="8" max="8" width="23.6640625" customWidth="1"/>
    <col min="9" max="12" width="10" customWidth="1"/>
  </cols>
  <sheetData>
    <row r="1" spans="1:12" ht="30" customHeight="1" x14ac:dyDescent="0.2">
      <c r="A1" s="159" t="s">
        <v>220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3" spans="1:12" ht="22" customHeight="1" x14ac:dyDescent="0.2">
      <c r="A3" s="184" t="str" cm="1">
        <f t="array" ref="A3">"ALERT KUALITAS - PARAMETER MELEWATI BATAS (Data "&amp;TEXT(INDEX('REKAP KUALITAS CPO'!A5:A34,MATCH(2,1/('REKAP KUALITAS CPO'!C5:C34&gt;0),1)),"DD MMMM YYYY")&amp;")"</f>
        <v>ALERT KUALITAS - PARAMETER MELEWATI BATAS (Data 07 March 2026)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2" ht="20" customHeight="1" x14ac:dyDescent="0.2">
      <c r="A4" s="15" t="s">
        <v>3</v>
      </c>
      <c r="B4" s="15" t="s">
        <v>41</v>
      </c>
      <c r="C4" s="15" t="s">
        <v>221</v>
      </c>
      <c r="D4" s="15" t="s">
        <v>222</v>
      </c>
      <c r="E4" s="15" t="s">
        <v>223</v>
      </c>
      <c r="F4" s="181" t="s">
        <v>224</v>
      </c>
      <c r="G4" s="135"/>
      <c r="H4" s="135"/>
      <c r="I4" s="135"/>
      <c r="J4" s="135"/>
      <c r="K4" s="135"/>
      <c r="L4" s="161"/>
    </row>
    <row r="5" spans="1:12" ht="18" customHeight="1" x14ac:dyDescent="0.2">
      <c r="A5" s="77" t="s">
        <v>11</v>
      </c>
      <c r="B5" s="75" t="s">
        <v>121</v>
      </c>
      <c r="C5" s="109" cm="1">
        <f t="array" ref="C5">INDEX('REKAP KUALITAS CPO'!E5:E34,MATCH(2,1/('REKAP KUALITAS CPO'!E5:E34&gt;0),1))</f>
        <v>1.87</v>
      </c>
      <c r="D5" s="37" t="s">
        <v>305</v>
      </c>
      <c r="E5" s="111" t="str">
        <f>IF(C5&lt;2,"OVER",IF(C5&lt;2.2,"BATAS","OK"))</f>
        <v>OVER</v>
      </c>
      <c r="F5" s="180" t="str">
        <f>IF(E5="OVER","Evaluasi kualitas TBS masuk — bleachability rendah",IF(E5="BATAS","Monitor ketat, DOBI mendekati batas minimum","✅ Kualitas DOBI aman"))</f>
        <v>Evaluasi kualitas TBS masuk — bleachability rendah</v>
      </c>
      <c r="G5" s="135"/>
      <c r="H5" s="135"/>
      <c r="I5" s="135"/>
      <c r="J5" s="135"/>
      <c r="K5" s="135"/>
      <c r="L5" s="161"/>
    </row>
    <row r="6" spans="1:12" ht="18" customHeight="1" x14ac:dyDescent="0.2">
      <c r="A6" s="46" t="s">
        <v>11</v>
      </c>
      <c r="B6" s="76" t="s">
        <v>126</v>
      </c>
      <c r="C6" s="110" cm="1">
        <f t="array" ref="C6">INDEX('REKAP KUALITAS CPO'!C5:C34,MATCH(2,1/('REKAP KUALITAS CPO'!C5:C34&gt;0),1))</f>
        <v>4.9800000000000004</v>
      </c>
      <c r="D6" s="38" t="s">
        <v>184</v>
      </c>
      <c r="E6" s="112" t="str">
        <f>IF(C6&gt;5,"OVER",IF(C6&gt;4.5,"BATAS","OK"))</f>
        <v>BATAS</v>
      </c>
      <c r="F6" s="183" t="str">
        <f>IF(E6="OVER","Monitor ketat, segera proses ke refinery",IF(E6="BATAS","Pantau FFA, mendekati batas 5%","✅ Kualitas FFA aman"))</f>
        <v>Pantau FFA, mendekati batas 5%</v>
      </c>
      <c r="G6" s="135"/>
      <c r="H6" s="135"/>
      <c r="I6" s="135"/>
      <c r="J6" s="135"/>
      <c r="K6" s="135"/>
      <c r="L6" s="161"/>
    </row>
    <row r="7" spans="1:12" ht="18" customHeight="1" x14ac:dyDescent="0.2">
      <c r="A7" s="77" t="s">
        <v>13</v>
      </c>
      <c r="B7" s="75" t="s">
        <v>126</v>
      </c>
      <c r="C7" s="109" cm="1">
        <f t="array" ref="C7">INDEX('REKAP KUALITAS CPO'!K5:K34,MATCH(2,1/('REKAP KUALITAS CPO'!K5:K34&gt;0),1))</f>
        <v>5.13</v>
      </c>
      <c r="D7" s="37" t="s">
        <v>184</v>
      </c>
      <c r="E7" s="111" t="str">
        <f>IF(C7&gt;5,"OVER",IF(C7&gt;4.5,"BATAS","OK"))</f>
        <v>OVER</v>
      </c>
      <c r="F7" s="180" t="str">
        <f>IF(E7="OVER","Lakukan blending atau percepat proses refinery",IF(E7="BATAS","Pantau FFA ST02, mendekati batas 5%","✅ Kualitas FFA ST02 aman"))</f>
        <v>Lakukan blending atau percepat proses refinery</v>
      </c>
      <c r="G7" s="135"/>
      <c r="H7" s="135"/>
      <c r="I7" s="135"/>
      <c r="J7" s="135"/>
      <c r="K7" s="135"/>
      <c r="L7" s="161"/>
    </row>
    <row r="8" spans="1:12" ht="18" customHeight="1" x14ac:dyDescent="0.2">
      <c r="A8" s="77" t="s">
        <v>13</v>
      </c>
      <c r="B8" s="75" t="s">
        <v>121</v>
      </c>
      <c r="C8" s="109" cm="1">
        <f t="array" ref="C8">INDEX('REKAP KUALITAS CPO'!M5:M34,MATCH(2,1/('REKAP KUALITAS CPO'!M5:M34&gt;0),1))</f>
        <v>1.85</v>
      </c>
      <c r="D8" s="37" t="s">
        <v>305</v>
      </c>
      <c r="E8" s="111" t="str">
        <f>IF(C8&lt;2,"OVER",IF(C8&lt;2.2,"BATAS","OK"))</f>
        <v>OVER</v>
      </c>
      <c r="F8" s="180" t="str">
        <f>IF(E8="OVER","Evaluasi kualitas TBS masuk",IF(E8="BATAS","DOBI ST02 mendekati batas — monitor ketat","✅ DOBI ST02 aman"))</f>
        <v>Evaluasi kualitas TBS masuk</v>
      </c>
      <c r="G8" s="135"/>
      <c r="H8" s="135"/>
      <c r="I8" s="135"/>
      <c r="J8" s="135"/>
      <c r="K8" s="135"/>
      <c r="L8" s="161"/>
    </row>
    <row r="9" spans="1:12" ht="18" customHeight="1" x14ac:dyDescent="0.2">
      <c r="A9" s="77" t="s">
        <v>14</v>
      </c>
      <c r="B9" s="75" t="s">
        <v>126</v>
      </c>
      <c r="C9" s="109" cm="1">
        <f t="array" ref="C9">INDEX('REKAP KUALITAS CPO'!S5:S34,MATCH(2,1/('REKAP KUALITAS CPO'!S5:S34&gt;0),1))</f>
        <v>5.28</v>
      </c>
      <c r="D9" s="37" t="s">
        <v>184</v>
      </c>
      <c r="E9" s="111" t="str">
        <f>IF(C9&gt;5,"OVER",IF(C9&gt;4.5,"BATAS","OK"))</f>
        <v>OVER</v>
      </c>
      <c r="F9" s="180" t="str">
        <f>IF(E9="OVER","Prioritas utama — segera proses atau blending",IF(E9="BATAS","Pantau FFA ST03, mendekati batas 5%","✅ Kualitas FFA ST03 aman"))</f>
        <v>Prioritas utama — segera proses atau blending</v>
      </c>
      <c r="G9" s="135"/>
      <c r="H9" s="135"/>
      <c r="I9" s="135"/>
      <c r="J9" s="135"/>
      <c r="K9" s="135"/>
      <c r="L9" s="161"/>
    </row>
    <row r="10" spans="1:12" ht="18" customHeight="1" x14ac:dyDescent="0.2">
      <c r="A10" s="77" t="s">
        <v>14</v>
      </c>
      <c r="B10" s="75" t="s">
        <v>121</v>
      </c>
      <c r="C10" s="109" cm="1">
        <f t="array" ref="C10">INDEX('REKAP KUALITAS CPO'!U5:U34,MATCH(2,1/('REKAP KUALITAS CPO'!U5:U34&gt;0),1))</f>
        <v>1.81</v>
      </c>
      <c r="D10" s="37" t="s">
        <v>305</v>
      </c>
      <c r="E10" s="111" t="str">
        <f>IF(C10&lt;2,"OVER",IF(C10&lt;2.2,"BATAS","OK"))</f>
        <v>OVER</v>
      </c>
      <c r="F10" s="180" t="str">
        <f>IF(E10="OVER","Evaluasi kualitas TBS masuk",IF(E10="BATAS","DOBI ST03 mendekati batas — monitor ketat","✅ DOBI ST03 aman"))</f>
        <v>Evaluasi kualitas TBS masuk</v>
      </c>
      <c r="G10" s="135"/>
      <c r="H10" s="135"/>
      <c r="I10" s="135"/>
      <c r="J10" s="135"/>
      <c r="K10" s="135"/>
      <c r="L10" s="161"/>
    </row>
    <row r="11" spans="1:12" ht="18" customHeight="1" x14ac:dyDescent="0.2">
      <c r="A11" s="46" t="s">
        <v>20</v>
      </c>
      <c r="B11" s="76" t="s">
        <v>53</v>
      </c>
      <c r="C11" s="110" cm="1">
        <f t="array" ref="C11">INDEX('INPUT KUALITAS'!AS6:AS35,MATCH(2,1/('INPUT KUALITAS'!AS6:AS35&gt;0),1))</f>
        <v>56.01</v>
      </c>
      <c r="D11" s="38" t="s">
        <v>225</v>
      </c>
      <c r="E11" s="112" t="str">
        <f>IF(C11&lt;56,"OVER",IF(C11&lt;57,"BATAS","OK"))</f>
        <v>BATAS</v>
      </c>
      <c r="F11" s="183" t="str">
        <f>IF(E11="OVER","Segera cek batch Olein ST07 — IV di bawah standar",IF(E11="BATAS","Monitor ketat sebelum pengiriman","✅ IV Olein ST07 aman"))</f>
        <v>Monitor ketat sebelum pengiriman</v>
      </c>
      <c r="G11" s="135"/>
      <c r="H11" s="135"/>
      <c r="I11" s="135"/>
      <c r="J11" s="135"/>
      <c r="K11" s="135"/>
      <c r="L11" s="161"/>
    </row>
    <row r="12" spans="1:12" ht="18" customHeight="1" x14ac:dyDescent="0.2">
      <c r="A12" s="46" t="s">
        <v>20</v>
      </c>
      <c r="B12" s="76" t="s">
        <v>130</v>
      </c>
      <c r="C12" s="110" cm="1">
        <f t="array" ref="C12">INDEX('INPUT KUALITAS'!AT6:AT35,MATCH(2,1/('INPUT KUALITAS'!AT6:AT35&gt;0),1))</f>
        <v>10</v>
      </c>
      <c r="D12" s="38" t="s">
        <v>226</v>
      </c>
      <c r="E12" s="112" t="str">
        <f>IF(C12&gt;10,"OVER",IF(C12&gt;9,"BATAS","OK"))</f>
        <v>BATAS</v>
      </c>
      <c r="F12" s="183" t="str">
        <f>IF(E12="OVER","Cek suhu tangki, CP melebihi batas 10°C",IF(E12="BATAS","Cek suhu tangki dan kondisi penyimpanan","✅ CP Olein ST07 aman"))</f>
        <v>Cek suhu tangki dan kondisi penyimpanan</v>
      </c>
      <c r="G12" s="135"/>
      <c r="H12" s="135"/>
      <c r="I12" s="135"/>
      <c r="J12" s="135"/>
      <c r="K12" s="135"/>
      <c r="L12" s="161"/>
    </row>
    <row r="14" spans="1:12" ht="22" customHeight="1" x14ac:dyDescent="0.2">
      <c r="A14" s="182" t="s">
        <v>227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</row>
    <row r="15" spans="1:12" ht="22" customHeight="1" x14ac:dyDescent="0.2">
      <c r="A15" s="39" t="s">
        <v>3</v>
      </c>
      <c r="B15" s="39" t="s">
        <v>4</v>
      </c>
      <c r="C15" s="39" t="s">
        <v>228</v>
      </c>
      <c r="D15" s="39" t="s">
        <v>229</v>
      </c>
      <c r="E15" s="39" t="s">
        <v>230</v>
      </c>
      <c r="F15" s="39" t="s">
        <v>231</v>
      </c>
    </row>
    <row r="16" spans="1:12" ht="18" customHeight="1" x14ac:dyDescent="0.2">
      <c r="A16" s="27" t="s">
        <v>11</v>
      </c>
      <c r="B16" s="4" t="s">
        <v>12</v>
      </c>
      <c r="C16" s="28" t="str">
        <f>'REKAP STOK BULANAN'!C5</f>
        <v>CPO</v>
      </c>
      <c r="D16" s="72">
        <f>'REKAP STOK BULANAN'!D5</f>
        <v>2506149</v>
      </c>
      <c r="E16" s="72">
        <f>'REKAP STOK BULANAN'!E5</f>
        <v>0</v>
      </c>
      <c r="F16" s="73">
        <f>'REKAP STOK BULANAN'!F5</f>
        <v>0</v>
      </c>
    </row>
    <row r="17" spans="1:6" ht="18" customHeight="1" x14ac:dyDescent="0.2">
      <c r="A17" s="32" t="s">
        <v>13</v>
      </c>
      <c r="B17" s="4" t="s">
        <v>12</v>
      </c>
      <c r="C17" s="33" t="str">
        <f>'REKAP STOK BULANAN'!C6</f>
        <v>CPO</v>
      </c>
      <c r="D17" s="74">
        <f>'REKAP STOK BULANAN'!D6</f>
        <v>2577692</v>
      </c>
      <c r="E17" s="74">
        <f>'REKAP STOK BULANAN'!E6</f>
        <v>0</v>
      </c>
      <c r="F17" s="73">
        <f>'REKAP STOK BULANAN'!F6</f>
        <v>0</v>
      </c>
    </row>
    <row r="18" spans="1:6" ht="18" customHeight="1" x14ac:dyDescent="0.2">
      <c r="A18" s="27" t="s">
        <v>14</v>
      </c>
      <c r="B18" s="4" t="s">
        <v>12</v>
      </c>
      <c r="C18" s="28" t="str">
        <f>'REKAP STOK BULANAN'!C7</f>
        <v>CPO</v>
      </c>
      <c r="D18" s="72">
        <f>'REKAP STOK BULANAN'!D7</f>
        <v>2443036</v>
      </c>
      <c r="E18" s="72">
        <f>'REKAP STOK BULANAN'!E7</f>
        <v>0</v>
      </c>
      <c r="F18" s="73">
        <f>'REKAP STOK BULANAN'!F7</f>
        <v>0</v>
      </c>
    </row>
    <row r="19" spans="1:6" ht="18" customHeight="1" x14ac:dyDescent="0.2">
      <c r="A19" s="32" t="s">
        <v>15</v>
      </c>
      <c r="B19" s="5" t="s">
        <v>16</v>
      </c>
      <c r="C19" s="33" t="str">
        <f>'REKAP STOK BULANAN'!C8</f>
        <v>PFAD</v>
      </c>
      <c r="D19" s="74">
        <f>'REKAP STOK BULANAN'!D8</f>
        <v>328064</v>
      </c>
      <c r="E19" s="74">
        <f>'REKAP STOK BULANAN'!E8</f>
        <v>0</v>
      </c>
      <c r="F19" s="73">
        <f>'REKAP STOK BULANAN'!F8</f>
        <v>0</v>
      </c>
    </row>
    <row r="20" spans="1:6" ht="18" customHeight="1" x14ac:dyDescent="0.2">
      <c r="A20" s="27" t="s">
        <v>17</v>
      </c>
      <c r="B20" s="6" t="s">
        <v>18</v>
      </c>
      <c r="C20" s="28" t="str">
        <f>'REKAP STOK BULANAN'!C9</f>
        <v>Stearin</v>
      </c>
      <c r="D20" s="72">
        <f>'REKAP STOK BULANAN'!D9</f>
        <v>529521</v>
      </c>
      <c r="E20" s="72">
        <f>'REKAP STOK BULANAN'!E9</f>
        <v>0</v>
      </c>
      <c r="F20" s="73">
        <f>'REKAP STOK BULANAN'!F9</f>
        <v>0</v>
      </c>
    </row>
    <row r="21" spans="1:6" ht="18" customHeight="1" x14ac:dyDescent="0.2">
      <c r="A21" s="32" t="s">
        <v>19</v>
      </c>
      <c r="B21" s="6" t="s">
        <v>18</v>
      </c>
      <c r="C21" s="33" t="str">
        <f>'REKAP STOK BULANAN'!C10</f>
        <v>Stearin</v>
      </c>
      <c r="D21" s="74">
        <f>'REKAP STOK BULANAN'!D10</f>
        <v>44014</v>
      </c>
      <c r="E21" s="74">
        <f>'REKAP STOK BULANAN'!E10</f>
        <v>0</v>
      </c>
      <c r="F21" s="73">
        <f>'REKAP STOK BULANAN'!F10</f>
        <v>0</v>
      </c>
    </row>
    <row r="22" spans="1:6" ht="18" customHeight="1" x14ac:dyDescent="0.2">
      <c r="A22" s="27" t="s">
        <v>20</v>
      </c>
      <c r="B22" s="7" t="s">
        <v>21</v>
      </c>
      <c r="C22" s="28" t="str">
        <f>'REKAP STOK BULANAN'!C11</f>
        <v>Olein</v>
      </c>
      <c r="D22" s="72">
        <f>'REKAP STOK BULANAN'!D11</f>
        <v>536860</v>
      </c>
      <c r="E22" s="72">
        <f>'REKAP STOK BULANAN'!E11</f>
        <v>0</v>
      </c>
      <c r="F22" s="73">
        <f>'REKAP STOK BULANAN'!F11</f>
        <v>0</v>
      </c>
    </row>
    <row r="23" spans="1:6" ht="18" customHeight="1" x14ac:dyDescent="0.2">
      <c r="A23" s="32" t="s">
        <v>25</v>
      </c>
      <c r="B23" s="7" t="s">
        <v>21</v>
      </c>
      <c r="C23" s="33" t="str">
        <f>'REKAP STOK BULANAN'!C12</f>
        <v>Olein</v>
      </c>
      <c r="D23" s="74">
        <f>'REKAP STOK BULANAN'!D12</f>
        <v>390600</v>
      </c>
      <c r="E23" s="74">
        <f>'REKAP STOK BULANAN'!E12</f>
        <v>0</v>
      </c>
      <c r="F23" s="73">
        <f>'REKAP STOK BULANAN'!F12</f>
        <v>112200</v>
      </c>
    </row>
    <row r="24" spans="1:6" ht="18" customHeight="1" x14ac:dyDescent="0.2">
      <c r="A24" s="27" t="s">
        <v>27</v>
      </c>
      <c r="B24" s="7" t="s">
        <v>21</v>
      </c>
      <c r="C24" s="28" t="str">
        <f>'REKAP STOK BULANAN'!C13</f>
        <v>Olein</v>
      </c>
      <c r="D24" s="72">
        <f>'REKAP STOK BULANAN'!D13</f>
        <v>508583</v>
      </c>
      <c r="E24" s="72">
        <f>'REKAP STOK BULANAN'!E13</f>
        <v>0</v>
      </c>
      <c r="F24" s="73">
        <f>'REKAP STOK BULANAN'!F13</f>
        <v>0</v>
      </c>
    </row>
    <row r="25" spans="1:6" ht="18" customHeight="1" x14ac:dyDescent="0.2">
      <c r="A25" s="32" t="s">
        <v>29</v>
      </c>
      <c r="B25" s="7" t="s">
        <v>21</v>
      </c>
      <c r="C25" s="33" t="str">
        <f>'REKAP STOK BULANAN'!C14</f>
        <v>Olein</v>
      </c>
      <c r="D25" s="74">
        <f>'REKAP STOK BULANAN'!D14</f>
        <v>510730</v>
      </c>
      <c r="E25" s="74">
        <f>'REKAP STOK BULANAN'!E14</f>
        <v>0</v>
      </c>
      <c r="F25" s="73">
        <f>'REKAP STOK BULANAN'!F14</f>
        <v>0</v>
      </c>
    </row>
    <row r="26" spans="1:6" ht="18" customHeight="1" x14ac:dyDescent="0.2">
      <c r="A26" s="27" t="s">
        <v>32</v>
      </c>
      <c r="B26" s="7" t="s">
        <v>21</v>
      </c>
      <c r="C26" s="28" t="str">
        <f>'REKAP STOK BULANAN'!C15</f>
        <v>Olein</v>
      </c>
      <c r="D26" s="72">
        <f>'REKAP STOK BULANAN'!D15</f>
        <v>26023</v>
      </c>
      <c r="E26" s="72">
        <f>'REKAP STOK BULANAN'!E15</f>
        <v>0</v>
      </c>
      <c r="F26" s="73">
        <f>'REKAP STOK BULANAN'!F15</f>
        <v>0</v>
      </c>
    </row>
    <row r="27" spans="1:6" ht="18" customHeight="1" x14ac:dyDescent="0.2">
      <c r="A27" s="32" t="s">
        <v>33</v>
      </c>
      <c r="B27" s="8" t="s">
        <v>34</v>
      </c>
      <c r="C27" s="33" t="str">
        <f>'REKAP STOK BULANAN'!C16</f>
        <v>RBDPO</v>
      </c>
      <c r="D27" s="74">
        <f>'REKAP STOK BULANAN'!D16</f>
        <v>1164563</v>
      </c>
      <c r="E27" s="74">
        <f>'REKAP STOK BULANAN'!E16</f>
        <v>0</v>
      </c>
      <c r="F27" s="73">
        <f>'REKAP STOK BULANAN'!F16</f>
        <v>0</v>
      </c>
    </row>
    <row r="28" spans="1:6" ht="18" customHeight="1" x14ac:dyDescent="0.2">
      <c r="A28" s="27" t="s">
        <v>35</v>
      </c>
      <c r="B28" s="8" t="s">
        <v>34</v>
      </c>
      <c r="C28" s="28" t="str">
        <f>'REKAP STOK BULANAN'!C17</f>
        <v>RBDPO</v>
      </c>
      <c r="D28" s="72">
        <f>'REKAP STOK BULANAN'!D17</f>
        <v>961820</v>
      </c>
      <c r="E28" s="72">
        <f>'REKAP STOK BULANAN'!E17</f>
        <v>0</v>
      </c>
      <c r="F28" s="73">
        <f>'REKAP STOK BULANAN'!F17</f>
        <v>0</v>
      </c>
    </row>
    <row r="29" spans="1:6" ht="18" customHeight="1" x14ac:dyDescent="0.2">
      <c r="A29" s="32" t="s">
        <v>36</v>
      </c>
      <c r="B29" s="9" t="s">
        <v>182</v>
      </c>
      <c r="C29" s="33" t="str">
        <f>'REKAP STOK BULANAN'!C18</f>
        <v>Buffer/Olein</v>
      </c>
      <c r="D29" s="74">
        <f>'REKAP STOK BULANAN'!D18</f>
        <v>32951</v>
      </c>
      <c r="E29" s="74">
        <f>'REKAP STOK BULANAN'!E18</f>
        <v>0</v>
      </c>
      <c r="F29" s="73">
        <f>'REKAP STOK BULANAN'!F18</f>
        <v>0</v>
      </c>
    </row>
  </sheetData>
  <mergeCells count="12">
    <mergeCell ref="A1:L1"/>
    <mergeCell ref="F7:L7"/>
    <mergeCell ref="F4:L4"/>
    <mergeCell ref="A14:L14"/>
    <mergeCell ref="F11:L11"/>
    <mergeCell ref="F12:L12"/>
    <mergeCell ref="F10:L10"/>
    <mergeCell ref="A3:L3"/>
    <mergeCell ref="F5:L5"/>
    <mergeCell ref="F6:L6"/>
    <mergeCell ref="F8:L8"/>
    <mergeCell ref="F9:L9"/>
  </mergeCells>
  <conditionalFormatting sqref="C5">
    <cfRule type="expression" dxfId="41" priority="2">
      <formula>AND(C5&gt;=2.31,C5&lt;2.55)</formula>
    </cfRule>
    <cfRule type="expression" dxfId="40" priority="3">
      <formula>C5&gt;=2.55</formula>
    </cfRule>
    <cfRule type="expression" dxfId="39" priority="1">
      <formula>C5&lt;2.31</formula>
    </cfRule>
  </conditionalFormatting>
  <conditionalFormatting sqref="C6:C7">
    <cfRule type="expression" dxfId="38" priority="7">
      <formula>C6&gt;5</formula>
    </cfRule>
    <cfRule type="expression" dxfId="37" priority="8">
      <formula>AND(C6&gt;4.5,C6&lt;=5)</formula>
    </cfRule>
    <cfRule type="expression" dxfId="36" priority="9">
      <formula>C6&lt;=4.5</formula>
    </cfRule>
  </conditionalFormatting>
  <conditionalFormatting sqref="C8">
    <cfRule type="expression" dxfId="35" priority="19">
      <formula>C8&lt;2.31</formula>
    </cfRule>
    <cfRule type="expression" dxfId="34" priority="20">
      <formula>AND(C8&gt;=2.31,C8&lt;2.55)</formula>
    </cfRule>
    <cfRule type="expression" dxfId="33" priority="21">
      <formula>C8&gt;=2.55</formula>
    </cfRule>
  </conditionalFormatting>
  <conditionalFormatting sqref="C9">
    <cfRule type="expression" dxfId="32" priority="25">
      <formula>C9&gt;5</formula>
    </cfRule>
    <cfRule type="expression" dxfId="31" priority="27">
      <formula>C9&lt;=4.5</formula>
    </cfRule>
    <cfRule type="expression" dxfId="30" priority="26">
      <formula>AND(C9&gt;4.5,C9&lt;=5)</formula>
    </cfRule>
  </conditionalFormatting>
  <conditionalFormatting sqref="C10">
    <cfRule type="expression" dxfId="29" priority="33">
      <formula>C10&gt;=2.55</formula>
    </cfRule>
    <cfRule type="expression" dxfId="28" priority="32">
      <formula>AND(C10&gt;=2.31,C10&lt;2.55)</formula>
    </cfRule>
    <cfRule type="expression" dxfId="27" priority="31">
      <formula>C10&lt;2.31</formula>
    </cfRule>
  </conditionalFormatting>
  <conditionalFormatting sqref="C11">
    <cfRule type="expression" dxfId="26" priority="38">
      <formula>AND(C11&gt;=56,C11&lt;57)</formula>
    </cfRule>
    <cfRule type="expression" dxfId="25" priority="37">
      <formula>C11&lt;56</formula>
    </cfRule>
    <cfRule type="expression" dxfId="24" priority="39">
      <formula>C11&gt;=57</formula>
    </cfRule>
  </conditionalFormatting>
  <conditionalFormatting sqref="C12">
    <cfRule type="expression" dxfId="23" priority="45">
      <formula>C12&lt;=9</formula>
    </cfRule>
    <cfRule type="expression" dxfId="22" priority="44">
      <formula>AND(C12&gt;9,C12&lt;=10)</formula>
    </cfRule>
    <cfRule type="expression" dxfId="21" priority="43">
      <formula>C12&gt;10</formula>
    </cfRule>
  </conditionalFormatting>
  <conditionalFormatting sqref="E5">
    <cfRule type="expression" dxfId="20" priority="6">
      <formula>E5&gt;=2.55</formula>
    </cfRule>
    <cfRule type="expression" dxfId="19" priority="5">
      <formula>AND(E5&gt;=2.31,E5&lt;2.55)</formula>
    </cfRule>
    <cfRule type="expression" dxfId="18" priority="4">
      <formula>E5&lt;2.31</formula>
    </cfRule>
  </conditionalFormatting>
  <conditionalFormatting sqref="E6:E7">
    <cfRule type="expression" dxfId="17" priority="12">
      <formula>E6&lt;=4.5</formula>
    </cfRule>
    <cfRule type="expression" dxfId="16" priority="11">
      <formula>AND(E6&gt;4.5,E6&lt;=5)</formula>
    </cfRule>
    <cfRule type="expression" dxfId="15" priority="10">
      <formula>E6&gt;5</formula>
    </cfRule>
  </conditionalFormatting>
  <conditionalFormatting sqref="E8">
    <cfRule type="expression" dxfId="14" priority="23">
      <formula>AND(E8&gt;=2.31,E8&lt;2.55)</formula>
    </cfRule>
    <cfRule type="expression" dxfId="13" priority="24">
      <formula>E8&gt;=2.55</formula>
    </cfRule>
    <cfRule type="expression" dxfId="12" priority="22">
      <formula>E8&lt;2.31</formula>
    </cfRule>
  </conditionalFormatting>
  <conditionalFormatting sqref="E9">
    <cfRule type="expression" dxfId="11" priority="28">
      <formula>E9&gt;5</formula>
    </cfRule>
    <cfRule type="expression" dxfId="10" priority="30">
      <formula>E9&lt;=4.5</formula>
    </cfRule>
    <cfRule type="expression" dxfId="9" priority="29">
      <formula>AND(E9&gt;4.5,E9&lt;=5)</formula>
    </cfRule>
  </conditionalFormatting>
  <conditionalFormatting sqref="E10">
    <cfRule type="expression" dxfId="8" priority="36">
      <formula>E10&gt;=2.55</formula>
    </cfRule>
    <cfRule type="expression" dxfId="7" priority="35">
      <formula>AND(E10&gt;=2.31,E10&lt;2.55)</formula>
    </cfRule>
    <cfRule type="expression" dxfId="6" priority="34">
      <formula>E10&lt;2.31</formula>
    </cfRule>
  </conditionalFormatting>
  <conditionalFormatting sqref="E11">
    <cfRule type="expression" dxfId="5" priority="40">
      <formula>E11&lt;56</formula>
    </cfRule>
    <cfRule type="expression" dxfId="4" priority="41">
      <formula>AND(E11&gt;=56,E11&lt;57)</formula>
    </cfRule>
    <cfRule type="expression" dxfId="3" priority="42">
      <formula>E11&gt;=57</formula>
    </cfRule>
  </conditionalFormatting>
  <conditionalFormatting sqref="E12">
    <cfRule type="expression" dxfId="2" priority="46">
      <formula>E12&gt;10</formula>
    </cfRule>
    <cfRule type="expression" dxfId="1" priority="47">
      <formula>AND(E12&gt;9,E12&lt;=10)</formula>
    </cfRule>
    <cfRule type="expression" dxfId="0" priority="48">
      <formula>E12&lt;=9</formula>
    </cfRule>
  </conditionalFormatting>
  <pageMargins left="0.75" right="0.75" top="1" bottom="1" header="0.5" footer="0.5"/>
  <ignoredErrors>
    <ignoredError sqref="E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D1278"/>
  </sheetPr>
  <dimension ref="A1:J33"/>
  <sheetViews>
    <sheetView showGridLines="0" zoomScale="125" zoomScaleNormal="125" workbookViewId="0">
      <selection activeCell="H10" sqref="H10"/>
    </sheetView>
  </sheetViews>
  <sheetFormatPr baseColWidth="10" defaultColWidth="8.83203125" defaultRowHeight="15" x14ac:dyDescent="0.2"/>
  <cols>
    <col min="1" max="5" width="11" customWidth="1"/>
    <col min="6" max="6" width="15" customWidth="1"/>
    <col min="7" max="7" width="11" customWidth="1"/>
    <col min="8" max="8" width="23.6640625" customWidth="1"/>
    <col min="9" max="10" width="11" customWidth="1"/>
  </cols>
  <sheetData>
    <row r="1" spans="1:10" ht="26" customHeight="1" x14ac:dyDescent="0.2">
      <c r="A1" s="159" t="s">
        <v>232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x14ac:dyDescent="0.2">
      <c r="A2" s="185" t="s">
        <v>233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0" x14ac:dyDescent="0.2">
      <c r="A3" s="14" t="s">
        <v>234</v>
      </c>
      <c r="B3" s="14" t="s">
        <v>235</v>
      </c>
      <c r="C3" s="14" t="s">
        <v>236</v>
      </c>
      <c r="D3" s="14" t="s">
        <v>237</v>
      </c>
      <c r="E3" s="14" t="s">
        <v>238</v>
      </c>
      <c r="F3" s="14" t="s">
        <v>239</v>
      </c>
      <c r="G3" s="14" t="s">
        <v>240</v>
      </c>
    </row>
    <row r="4" spans="1:10" x14ac:dyDescent="0.2">
      <c r="A4" s="40" t="s">
        <v>241</v>
      </c>
      <c r="B4" s="78">
        <f>'INPUT KUALITAS'!C6</f>
        <v>4.87</v>
      </c>
      <c r="C4" s="78">
        <f>'INPUT KUALITAS'!K6</f>
        <v>4.99</v>
      </c>
      <c r="D4" s="78">
        <f>'INPUT KUALITAS'!S6</f>
        <v>5.42</v>
      </c>
      <c r="E4" s="78">
        <f>'INPUT KUALITAS'!E6</f>
        <v>1.87</v>
      </c>
      <c r="F4" s="78">
        <f>'INPUT KUALITAS'!M6</f>
        <v>1.85</v>
      </c>
      <c r="G4" s="78">
        <f>'INPUT KUALITAS'!U6</f>
        <v>1.81</v>
      </c>
    </row>
    <row r="5" spans="1:10" x14ac:dyDescent="0.2">
      <c r="A5" s="40" t="s">
        <v>242</v>
      </c>
      <c r="B5" s="78">
        <f>'INPUT KUALITAS'!C7</f>
        <v>4.93</v>
      </c>
      <c r="C5" s="78">
        <f>'INPUT KUALITAS'!K7</f>
        <v>5.03</v>
      </c>
      <c r="D5" s="78">
        <f>'INPUT KUALITAS'!S7</f>
        <v>5.4</v>
      </c>
      <c r="E5" s="78">
        <f>'INPUT KUALITAS'!E7</f>
        <v>1.87</v>
      </c>
      <c r="F5" s="78">
        <f>'INPUT KUALITAS'!M7</f>
        <v>1.85</v>
      </c>
      <c r="G5" s="78">
        <f>'INPUT KUALITAS'!U7</f>
        <v>1.81</v>
      </c>
    </row>
    <row r="6" spans="1:10" x14ac:dyDescent="0.2">
      <c r="A6" s="40" t="s">
        <v>243</v>
      </c>
      <c r="B6" s="78">
        <f>'INPUT KUALITAS'!C8</f>
        <v>4.9400000000000004</v>
      </c>
      <c r="C6" s="78">
        <f>'INPUT KUALITAS'!K8</f>
        <v>5.05</v>
      </c>
      <c r="D6" s="78">
        <f>'INPUT KUALITAS'!S8</f>
        <v>5.38</v>
      </c>
      <c r="E6" s="78">
        <f>'INPUT KUALITAS'!E8</f>
        <v>1.87</v>
      </c>
      <c r="F6" s="78">
        <f>'INPUT KUALITAS'!M8</f>
        <v>1.85</v>
      </c>
      <c r="G6" s="78">
        <f>'INPUT KUALITAS'!U8</f>
        <v>1.81</v>
      </c>
    </row>
    <row r="7" spans="1:10" x14ac:dyDescent="0.2">
      <c r="A7" s="40" t="s">
        <v>244</v>
      </c>
      <c r="B7" s="78">
        <f>'INPUT KUALITAS'!C9</f>
        <v>0</v>
      </c>
      <c r="C7" s="78">
        <f>'INPUT KUALITAS'!K9</f>
        <v>0</v>
      </c>
      <c r="D7" s="78">
        <f>'INPUT KUALITAS'!S9</f>
        <v>0</v>
      </c>
      <c r="E7" s="78">
        <f>'INPUT KUALITAS'!E9</f>
        <v>0</v>
      </c>
      <c r="F7" s="78">
        <f>'INPUT KUALITAS'!M9</f>
        <v>0</v>
      </c>
      <c r="G7" s="78">
        <f>'INPUT KUALITAS'!U9</f>
        <v>0</v>
      </c>
    </row>
    <row r="8" spans="1:10" x14ac:dyDescent="0.2">
      <c r="A8" s="40" t="s">
        <v>245</v>
      </c>
      <c r="B8" s="78">
        <f>'INPUT KUALITAS'!C10</f>
        <v>4.9800000000000004</v>
      </c>
      <c r="C8" s="78">
        <f>'INPUT KUALITAS'!K10</f>
        <v>5.09</v>
      </c>
      <c r="D8" s="78">
        <f>'INPUT KUALITAS'!S10</f>
        <v>5.34</v>
      </c>
      <c r="E8" s="78">
        <f>'INPUT KUALITAS'!E10</f>
        <v>1.87</v>
      </c>
      <c r="F8" s="78">
        <f>'INPUT KUALITAS'!M10</f>
        <v>1.85</v>
      </c>
      <c r="G8" s="78">
        <f>'INPUT KUALITAS'!U10</f>
        <v>1.81</v>
      </c>
    </row>
    <row r="9" spans="1:10" x14ac:dyDescent="0.2">
      <c r="A9" s="40" t="s">
        <v>246</v>
      </c>
      <c r="B9" s="78">
        <f>'INPUT KUALITAS'!C11</f>
        <v>4.9800000000000004</v>
      </c>
      <c r="C9" s="78">
        <f>'INPUT KUALITAS'!K11</f>
        <v>5.09</v>
      </c>
      <c r="D9" s="78">
        <f>'INPUT KUALITAS'!S11</f>
        <v>5.3</v>
      </c>
      <c r="E9" s="78">
        <f>'INPUT KUALITAS'!E11</f>
        <v>1.87</v>
      </c>
      <c r="F9" s="78">
        <f>'INPUT KUALITAS'!M11</f>
        <v>1.85</v>
      </c>
      <c r="G9" s="78">
        <f>'INPUT KUALITAS'!U11</f>
        <v>1.81</v>
      </c>
    </row>
    <row r="10" spans="1:10" x14ac:dyDescent="0.2">
      <c r="A10" s="40" t="s">
        <v>247</v>
      </c>
      <c r="B10" s="78">
        <f>'INPUT KUALITAS'!C12</f>
        <v>4.9800000000000004</v>
      </c>
      <c r="C10" s="78">
        <f>'INPUT KUALITAS'!K12</f>
        <v>5.13</v>
      </c>
      <c r="D10" s="78">
        <f>'INPUT KUALITAS'!S12</f>
        <v>5.28</v>
      </c>
      <c r="E10" s="78">
        <f>'INPUT KUALITAS'!E12</f>
        <v>1.87</v>
      </c>
      <c r="F10" s="78">
        <f>'INPUT KUALITAS'!M12</f>
        <v>1.85</v>
      </c>
      <c r="G10" s="78">
        <f>'INPUT KUALITAS'!U12</f>
        <v>1.81</v>
      </c>
    </row>
    <row r="11" spans="1:10" x14ac:dyDescent="0.2">
      <c r="A11" s="40" t="s">
        <v>248</v>
      </c>
      <c r="B11" s="78">
        <f>'INPUT KUALITAS'!C13</f>
        <v>0</v>
      </c>
      <c r="C11" s="78">
        <f>'INPUT KUALITAS'!K13</f>
        <v>0</v>
      </c>
      <c r="D11" s="78">
        <f>'INPUT KUALITAS'!S13</f>
        <v>0</v>
      </c>
      <c r="E11" s="78">
        <f>'INPUT KUALITAS'!E13</f>
        <v>0</v>
      </c>
      <c r="F11" s="78">
        <f>'INPUT KUALITAS'!M13</f>
        <v>0</v>
      </c>
      <c r="G11" s="78">
        <f>'INPUT KUALITAS'!U13</f>
        <v>0</v>
      </c>
    </row>
    <row r="12" spans="1:10" x14ac:dyDescent="0.2">
      <c r="A12" s="40" t="s">
        <v>249</v>
      </c>
      <c r="B12" s="78">
        <f>'INPUT KUALITAS'!C14</f>
        <v>0</v>
      </c>
      <c r="C12" s="78">
        <f>'INPUT KUALITAS'!K14</f>
        <v>0</v>
      </c>
      <c r="D12" s="78">
        <f>'INPUT KUALITAS'!S14</f>
        <v>0</v>
      </c>
      <c r="E12" s="78">
        <f>'INPUT KUALITAS'!E14</f>
        <v>0</v>
      </c>
      <c r="F12" s="78">
        <f>'INPUT KUALITAS'!M14</f>
        <v>0</v>
      </c>
      <c r="G12" s="78">
        <f>'INPUT KUALITAS'!U14</f>
        <v>0</v>
      </c>
    </row>
    <row r="13" spans="1:10" x14ac:dyDescent="0.2">
      <c r="A13" s="40" t="s">
        <v>250</v>
      </c>
      <c r="B13" s="78">
        <f>'INPUT KUALITAS'!C15</f>
        <v>0</v>
      </c>
      <c r="C13" s="78">
        <f>'INPUT KUALITAS'!K15</f>
        <v>0</v>
      </c>
      <c r="D13" s="78">
        <f>'INPUT KUALITAS'!S15</f>
        <v>0</v>
      </c>
      <c r="E13" s="78">
        <f>'INPUT KUALITAS'!E15</f>
        <v>0</v>
      </c>
      <c r="F13" s="78">
        <f>'INPUT KUALITAS'!M15</f>
        <v>0</v>
      </c>
      <c r="G13" s="78">
        <f>'INPUT KUALITAS'!U15</f>
        <v>0</v>
      </c>
    </row>
    <row r="14" spans="1:10" x14ac:dyDescent="0.2">
      <c r="A14" s="40" t="s">
        <v>251</v>
      </c>
      <c r="B14" s="78">
        <f>'INPUT KUALITAS'!C16</f>
        <v>0</v>
      </c>
      <c r="C14" s="78">
        <f>'INPUT KUALITAS'!K16</f>
        <v>0</v>
      </c>
      <c r="D14" s="78">
        <f>'INPUT KUALITAS'!S16</f>
        <v>0</v>
      </c>
      <c r="E14" s="78">
        <f>'INPUT KUALITAS'!E16</f>
        <v>0</v>
      </c>
      <c r="F14" s="78">
        <f>'INPUT KUALITAS'!M16</f>
        <v>0</v>
      </c>
      <c r="G14" s="78">
        <f>'INPUT KUALITAS'!U16</f>
        <v>0</v>
      </c>
    </row>
    <row r="15" spans="1:10" x14ac:dyDescent="0.2">
      <c r="A15" s="40" t="s">
        <v>252</v>
      </c>
      <c r="B15" s="78">
        <f>'INPUT KUALITAS'!C17</f>
        <v>0</v>
      </c>
      <c r="C15" s="78">
        <f>'INPUT KUALITAS'!K17</f>
        <v>0</v>
      </c>
      <c r="D15" s="78">
        <f>'INPUT KUALITAS'!S17</f>
        <v>0</v>
      </c>
      <c r="E15" s="78">
        <f>'INPUT KUALITAS'!E17</f>
        <v>0</v>
      </c>
      <c r="F15" s="78">
        <f>'INPUT KUALITAS'!M17</f>
        <v>0</v>
      </c>
      <c r="G15" s="78">
        <f>'INPUT KUALITAS'!U17</f>
        <v>0</v>
      </c>
    </row>
    <row r="16" spans="1:10" x14ac:dyDescent="0.2">
      <c r="A16" s="40" t="s">
        <v>253</v>
      </c>
      <c r="B16" s="78">
        <f>'INPUT KUALITAS'!C18</f>
        <v>0</v>
      </c>
      <c r="C16" s="78">
        <f>'INPUT KUALITAS'!K18</f>
        <v>0</v>
      </c>
      <c r="D16" s="78">
        <f>'INPUT KUALITAS'!S18</f>
        <v>0</v>
      </c>
      <c r="E16" s="78">
        <f>'INPUT KUALITAS'!E18</f>
        <v>0</v>
      </c>
      <c r="F16" s="78">
        <f>'INPUT KUALITAS'!M18</f>
        <v>0</v>
      </c>
      <c r="G16" s="78">
        <f>'INPUT KUALITAS'!U18</f>
        <v>0</v>
      </c>
    </row>
    <row r="17" spans="1:7" x14ac:dyDescent="0.2">
      <c r="A17" s="40" t="s">
        <v>254</v>
      </c>
      <c r="B17" s="78">
        <f>'INPUT KUALITAS'!C19</f>
        <v>0</v>
      </c>
      <c r="C17" s="78">
        <f>'INPUT KUALITAS'!K19</f>
        <v>0</v>
      </c>
      <c r="D17" s="78">
        <f>'INPUT KUALITAS'!S19</f>
        <v>0</v>
      </c>
      <c r="E17" s="78">
        <f>'INPUT KUALITAS'!E19</f>
        <v>0</v>
      </c>
      <c r="F17" s="78">
        <f>'INPUT KUALITAS'!M19</f>
        <v>0</v>
      </c>
      <c r="G17" s="78">
        <f>'INPUT KUALITAS'!U19</f>
        <v>0</v>
      </c>
    </row>
    <row r="18" spans="1:7" x14ac:dyDescent="0.2">
      <c r="A18" s="40" t="s">
        <v>255</v>
      </c>
      <c r="B18" s="78">
        <f>'INPUT KUALITAS'!C20</f>
        <v>0</v>
      </c>
      <c r="C18" s="78">
        <f>'INPUT KUALITAS'!K20</f>
        <v>0</v>
      </c>
      <c r="D18" s="78">
        <f>'INPUT KUALITAS'!S20</f>
        <v>0</v>
      </c>
      <c r="E18" s="78">
        <f>'INPUT KUALITAS'!E20</f>
        <v>0</v>
      </c>
      <c r="F18" s="78">
        <f>'INPUT KUALITAS'!M20</f>
        <v>0</v>
      </c>
      <c r="G18" s="78">
        <f>'INPUT KUALITAS'!U20</f>
        <v>0</v>
      </c>
    </row>
    <row r="19" spans="1:7" x14ac:dyDescent="0.2">
      <c r="A19" s="40" t="s">
        <v>256</v>
      </c>
      <c r="B19" s="78">
        <f>'INPUT KUALITAS'!C21</f>
        <v>0</v>
      </c>
      <c r="C19" s="78">
        <f>'INPUT KUALITAS'!K21</f>
        <v>0</v>
      </c>
      <c r="D19" s="78">
        <f>'INPUT KUALITAS'!S21</f>
        <v>0</v>
      </c>
      <c r="E19" s="78">
        <f>'INPUT KUALITAS'!E21</f>
        <v>0</v>
      </c>
      <c r="F19" s="78">
        <f>'INPUT KUALITAS'!M21</f>
        <v>0</v>
      </c>
      <c r="G19" s="78">
        <f>'INPUT KUALITAS'!U21</f>
        <v>0</v>
      </c>
    </row>
    <row r="20" spans="1:7" x14ac:dyDescent="0.2">
      <c r="A20" s="40" t="s">
        <v>257</v>
      </c>
      <c r="B20" s="78">
        <f>'INPUT KUALITAS'!C22</f>
        <v>0</v>
      </c>
      <c r="C20" s="78">
        <f>'INPUT KUALITAS'!K22</f>
        <v>0</v>
      </c>
      <c r="D20" s="78">
        <f>'INPUT KUALITAS'!S22</f>
        <v>0</v>
      </c>
      <c r="E20" s="78">
        <f>'INPUT KUALITAS'!E22</f>
        <v>0</v>
      </c>
      <c r="F20" s="78">
        <f>'INPUT KUALITAS'!M22</f>
        <v>0</v>
      </c>
      <c r="G20" s="78">
        <f>'INPUT KUALITAS'!U22</f>
        <v>0</v>
      </c>
    </row>
    <row r="21" spans="1:7" x14ac:dyDescent="0.2">
      <c r="A21" s="40" t="s">
        <v>258</v>
      </c>
      <c r="B21" s="78">
        <f>'INPUT KUALITAS'!C23</f>
        <v>0</v>
      </c>
      <c r="C21" s="78">
        <f>'INPUT KUALITAS'!K23</f>
        <v>0</v>
      </c>
      <c r="D21" s="78">
        <f>'INPUT KUALITAS'!S23</f>
        <v>0</v>
      </c>
      <c r="E21" s="78">
        <f>'INPUT KUALITAS'!E23</f>
        <v>0</v>
      </c>
      <c r="F21" s="78">
        <f>'INPUT KUALITAS'!M23</f>
        <v>0</v>
      </c>
      <c r="G21" s="78">
        <f>'INPUT KUALITAS'!U23</f>
        <v>0</v>
      </c>
    </row>
    <row r="22" spans="1:7" x14ac:dyDescent="0.2">
      <c r="A22" s="40" t="s">
        <v>259</v>
      </c>
      <c r="B22" s="78">
        <f>'INPUT KUALITAS'!C24</f>
        <v>0</v>
      </c>
      <c r="C22" s="78">
        <f>'INPUT KUALITAS'!K24</f>
        <v>0</v>
      </c>
      <c r="D22" s="78">
        <f>'INPUT KUALITAS'!S24</f>
        <v>0</v>
      </c>
      <c r="E22" s="78">
        <f>'INPUT KUALITAS'!E24</f>
        <v>0</v>
      </c>
      <c r="F22" s="78">
        <f>'INPUT KUALITAS'!M24</f>
        <v>0</v>
      </c>
      <c r="G22" s="78">
        <f>'INPUT KUALITAS'!U24</f>
        <v>0</v>
      </c>
    </row>
    <row r="23" spans="1:7" x14ac:dyDescent="0.2">
      <c r="A23" s="40" t="s">
        <v>260</v>
      </c>
      <c r="B23" s="78">
        <f>'INPUT KUALITAS'!C25</f>
        <v>0</v>
      </c>
      <c r="C23" s="78">
        <f>'INPUT KUALITAS'!K25</f>
        <v>0</v>
      </c>
      <c r="D23" s="78">
        <f>'INPUT KUALITAS'!S25</f>
        <v>0</v>
      </c>
      <c r="E23" s="78">
        <f>'INPUT KUALITAS'!E25</f>
        <v>0</v>
      </c>
      <c r="F23" s="78">
        <f>'INPUT KUALITAS'!M25</f>
        <v>0</v>
      </c>
      <c r="G23" s="78">
        <f>'INPUT KUALITAS'!U25</f>
        <v>0</v>
      </c>
    </row>
    <row r="24" spans="1:7" x14ac:dyDescent="0.2">
      <c r="A24" s="40" t="s">
        <v>261</v>
      </c>
      <c r="B24" s="78">
        <f>'INPUT KUALITAS'!C26</f>
        <v>0</v>
      </c>
      <c r="C24" s="78">
        <f>'INPUT KUALITAS'!K26</f>
        <v>0</v>
      </c>
      <c r="D24" s="78">
        <f>'INPUT KUALITAS'!S26</f>
        <v>0</v>
      </c>
      <c r="E24" s="78">
        <f>'INPUT KUALITAS'!E26</f>
        <v>0</v>
      </c>
      <c r="F24" s="78">
        <f>'INPUT KUALITAS'!M26</f>
        <v>0</v>
      </c>
      <c r="G24" s="78">
        <f>'INPUT KUALITAS'!U26</f>
        <v>0</v>
      </c>
    </row>
    <row r="25" spans="1:7" x14ac:dyDescent="0.2">
      <c r="A25" s="40" t="s">
        <v>262</v>
      </c>
      <c r="B25" s="78">
        <f>'INPUT KUALITAS'!C27</f>
        <v>0</v>
      </c>
      <c r="C25" s="78">
        <f>'INPUT KUALITAS'!K27</f>
        <v>0</v>
      </c>
      <c r="D25" s="78">
        <f>'INPUT KUALITAS'!S27</f>
        <v>0</v>
      </c>
      <c r="E25" s="78">
        <f>'INPUT KUALITAS'!E27</f>
        <v>0</v>
      </c>
      <c r="F25" s="78">
        <f>'INPUT KUALITAS'!M27</f>
        <v>0</v>
      </c>
      <c r="G25" s="78">
        <f>'INPUT KUALITAS'!U27</f>
        <v>0</v>
      </c>
    </row>
    <row r="26" spans="1:7" x14ac:dyDescent="0.2">
      <c r="A26" s="40" t="s">
        <v>263</v>
      </c>
      <c r="B26" s="78">
        <f>'INPUT KUALITAS'!C28</f>
        <v>0</v>
      </c>
      <c r="C26" s="78">
        <f>'INPUT KUALITAS'!K28</f>
        <v>0</v>
      </c>
      <c r="D26" s="78">
        <f>'INPUT KUALITAS'!S28</f>
        <v>0</v>
      </c>
      <c r="E26" s="78">
        <f>'INPUT KUALITAS'!E28</f>
        <v>0</v>
      </c>
      <c r="F26" s="78">
        <f>'INPUT KUALITAS'!M28</f>
        <v>0</v>
      </c>
      <c r="G26" s="78">
        <f>'INPUT KUALITAS'!U28</f>
        <v>0</v>
      </c>
    </row>
    <row r="27" spans="1:7" x14ac:dyDescent="0.2">
      <c r="A27" s="40" t="s">
        <v>264</v>
      </c>
      <c r="B27" s="78">
        <f>'INPUT KUALITAS'!C29</f>
        <v>0</v>
      </c>
      <c r="C27" s="78">
        <f>'INPUT KUALITAS'!K29</f>
        <v>0</v>
      </c>
      <c r="D27" s="78">
        <f>'INPUT KUALITAS'!S29</f>
        <v>0</v>
      </c>
      <c r="E27" s="78">
        <f>'INPUT KUALITAS'!E29</f>
        <v>0</v>
      </c>
      <c r="F27" s="78">
        <f>'INPUT KUALITAS'!M29</f>
        <v>0</v>
      </c>
      <c r="G27" s="78">
        <f>'INPUT KUALITAS'!U29</f>
        <v>0</v>
      </c>
    </row>
    <row r="28" spans="1:7" x14ac:dyDescent="0.2">
      <c r="A28" s="40" t="s">
        <v>265</v>
      </c>
      <c r="B28" s="78">
        <f>'INPUT KUALITAS'!C30</f>
        <v>0</v>
      </c>
      <c r="C28" s="78">
        <f>'INPUT KUALITAS'!K30</f>
        <v>0</v>
      </c>
      <c r="D28" s="78">
        <f>'INPUT KUALITAS'!S30</f>
        <v>0</v>
      </c>
      <c r="E28" s="78">
        <f>'INPUT KUALITAS'!E30</f>
        <v>0</v>
      </c>
      <c r="F28" s="78">
        <f>'INPUT KUALITAS'!M30</f>
        <v>0</v>
      </c>
      <c r="G28" s="78">
        <f>'INPUT KUALITAS'!U30</f>
        <v>0</v>
      </c>
    </row>
    <row r="29" spans="1:7" x14ac:dyDescent="0.2">
      <c r="A29" s="40" t="s">
        <v>266</v>
      </c>
      <c r="B29" s="78">
        <f>'INPUT KUALITAS'!C31</f>
        <v>0</v>
      </c>
      <c r="C29" s="78">
        <f>'INPUT KUALITAS'!K31</f>
        <v>0</v>
      </c>
      <c r="D29" s="78">
        <f>'INPUT KUALITAS'!S31</f>
        <v>0</v>
      </c>
      <c r="E29" s="78">
        <f>'INPUT KUALITAS'!E31</f>
        <v>0</v>
      </c>
      <c r="F29" s="78">
        <f>'INPUT KUALITAS'!M31</f>
        <v>0</v>
      </c>
      <c r="G29" s="78">
        <f>'INPUT KUALITAS'!U31</f>
        <v>0</v>
      </c>
    </row>
    <row r="30" spans="1:7" x14ac:dyDescent="0.2">
      <c r="A30" s="40" t="s">
        <v>267</v>
      </c>
      <c r="B30" s="78">
        <f>'INPUT KUALITAS'!C32</f>
        <v>0</v>
      </c>
      <c r="C30" s="78">
        <f>'INPUT KUALITAS'!K32</f>
        <v>0</v>
      </c>
      <c r="D30" s="78">
        <f>'INPUT KUALITAS'!S32</f>
        <v>0</v>
      </c>
      <c r="E30" s="78">
        <f>'INPUT KUALITAS'!E32</f>
        <v>0</v>
      </c>
      <c r="F30" s="78">
        <f>'INPUT KUALITAS'!M32</f>
        <v>0</v>
      </c>
      <c r="G30" s="78">
        <f>'INPUT KUALITAS'!U32</f>
        <v>0</v>
      </c>
    </row>
    <row r="31" spans="1:7" x14ac:dyDescent="0.2">
      <c r="A31" s="40" t="s">
        <v>268</v>
      </c>
      <c r="B31" s="78">
        <f>'INPUT KUALITAS'!C33</f>
        <v>0</v>
      </c>
      <c r="C31" s="78">
        <f>'INPUT KUALITAS'!K33</f>
        <v>0</v>
      </c>
      <c r="D31" s="78">
        <f>'INPUT KUALITAS'!S33</f>
        <v>0</v>
      </c>
      <c r="E31" s="78">
        <f>'INPUT KUALITAS'!E33</f>
        <v>0</v>
      </c>
      <c r="F31" s="78">
        <f>'INPUT KUALITAS'!M33</f>
        <v>0</v>
      </c>
      <c r="G31" s="78">
        <f>'INPUT KUALITAS'!U33</f>
        <v>0</v>
      </c>
    </row>
    <row r="32" spans="1:7" x14ac:dyDescent="0.2">
      <c r="A32" s="40" t="s">
        <v>269</v>
      </c>
      <c r="B32" s="78">
        <f>'INPUT KUALITAS'!C34</f>
        <v>0</v>
      </c>
      <c r="C32" s="78">
        <f>'INPUT KUALITAS'!K34</f>
        <v>0</v>
      </c>
      <c r="D32" s="78">
        <f>'INPUT KUALITAS'!S34</f>
        <v>0</v>
      </c>
      <c r="E32" s="78">
        <f>'INPUT KUALITAS'!E34</f>
        <v>0</v>
      </c>
      <c r="F32" s="78">
        <f>'INPUT KUALITAS'!M34</f>
        <v>0</v>
      </c>
      <c r="G32" s="78">
        <f>'INPUT KUALITAS'!U34</f>
        <v>0</v>
      </c>
    </row>
    <row r="33" spans="1:7" x14ac:dyDescent="0.2">
      <c r="A33" s="40" t="s">
        <v>270</v>
      </c>
      <c r="B33" s="78">
        <f>'INPUT KUALITAS'!C35</f>
        <v>0</v>
      </c>
      <c r="C33" s="78">
        <f>'INPUT KUALITAS'!K35</f>
        <v>0</v>
      </c>
      <c r="D33" s="78">
        <f>'INPUT KUALITAS'!S35</f>
        <v>0</v>
      </c>
      <c r="E33" s="78">
        <f>'INPUT KUALITAS'!E35</f>
        <v>0</v>
      </c>
      <c r="F33" s="78">
        <f>'INPUT KUALITAS'!M35</f>
        <v>0</v>
      </c>
      <c r="G33" s="78">
        <f>'INPUT KUALITAS'!U35</f>
        <v>0</v>
      </c>
    </row>
  </sheetData>
  <mergeCells count="2">
    <mergeCell ref="A1:J1"/>
    <mergeCell ref="A2:J2"/>
  </mergeCells>
  <pageMargins left="0.75" right="0.75" top="1" bottom="1" header="0.5" footer="0.5"/>
  <ignoredErrors>
    <ignoredError sqref="A4:A33" numberStoredAsText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5623"/>
  </sheetPr>
  <dimension ref="A1:H35"/>
  <sheetViews>
    <sheetView showGridLines="0" zoomScale="125" zoomScaleNormal="125" workbookViewId="0">
      <pane xSplit="1" ySplit="3" topLeftCell="B4" activePane="bottomRight" state="frozen"/>
      <selection activeCell="D25" sqref="D25"/>
      <selection pane="topRight" activeCell="D25" sqref="D25"/>
      <selection pane="bottomLeft" activeCell="D25" sqref="D25"/>
      <selection pane="bottomRight" activeCell="H13" sqref="H13"/>
    </sheetView>
  </sheetViews>
  <sheetFormatPr baseColWidth="10" defaultColWidth="8.83203125" defaultRowHeight="15" x14ac:dyDescent="0.2"/>
  <cols>
    <col min="1" max="1" width="14" customWidth="1"/>
    <col min="2" max="5" width="10" customWidth="1"/>
    <col min="6" max="6" width="15" customWidth="1"/>
    <col min="7" max="7" width="8" customWidth="1"/>
    <col min="8" max="8" width="23.6640625" customWidth="1"/>
  </cols>
  <sheetData>
    <row r="1" spans="1:8" ht="28" customHeight="1" x14ac:dyDescent="0.2">
      <c r="A1" s="186" t="s">
        <v>271</v>
      </c>
      <c r="B1" s="125"/>
      <c r="C1" s="125"/>
      <c r="D1" s="125"/>
      <c r="E1" s="125"/>
      <c r="F1" s="125"/>
      <c r="G1" s="125"/>
      <c r="H1" s="125"/>
    </row>
    <row r="2" spans="1:8" ht="14" customHeight="1" x14ac:dyDescent="0.2">
      <c r="A2" s="171" t="s">
        <v>272</v>
      </c>
      <c r="B2" s="125"/>
      <c r="C2" s="125"/>
      <c r="D2" s="125"/>
      <c r="E2" s="125"/>
      <c r="F2" s="125"/>
      <c r="G2" s="125"/>
      <c r="H2" s="125"/>
    </row>
    <row r="3" spans="1:8" ht="22" customHeight="1" x14ac:dyDescent="0.2">
      <c r="A3" s="47" t="s">
        <v>114</v>
      </c>
      <c r="B3" s="47" t="s">
        <v>20</v>
      </c>
      <c r="C3" s="47" t="s">
        <v>25</v>
      </c>
      <c r="D3" s="47" t="s">
        <v>27</v>
      </c>
      <c r="E3" s="47" t="s">
        <v>29</v>
      </c>
      <c r="F3" s="47" t="s">
        <v>32</v>
      </c>
      <c r="G3" s="48" t="s">
        <v>273</v>
      </c>
      <c r="H3" s="48" t="s">
        <v>274</v>
      </c>
    </row>
    <row r="4" spans="1:8" ht="18" customHeight="1" x14ac:dyDescent="0.2">
      <c r="A4" s="18" t="s">
        <v>132</v>
      </c>
      <c r="B4" s="49">
        <f>IF('INPUT KUALITAS'!AP6="","",'INPUT KUALITAS'!AP6)</f>
        <v>8.3000000000000004E-2</v>
      </c>
      <c r="C4" s="49">
        <f>IF('INPUT KUALITAS'!AV6="","",'INPUT KUALITAS'!AV6)</f>
        <v>7.1999999999999995E-2</v>
      </c>
      <c r="D4" s="49">
        <f>IF('INPUT KUALITAS'!BB6="","",'INPUT KUALITAS'!BB6)</f>
        <v>6.6000000000000003E-2</v>
      </c>
      <c r="E4" s="49">
        <f>IF('INPUT KUALITAS'!BH6="","",'INPUT KUALITAS'!BH6)</f>
        <v>7.0999999999999994E-2</v>
      </c>
      <c r="F4" s="49">
        <f>IF('INPUT KUALITAS'!BN6="","",'INPUT KUALITAS'!BN6)</f>
        <v>6.7000000000000004E-2</v>
      </c>
      <c r="G4" s="50">
        <v>0.1</v>
      </c>
      <c r="H4" s="20" t="str">
        <f t="shared" ref="H4:H33" si="0">IF(AND(B4="",C4="",D4="",E4="",F4=""),"-",IF(OR(IF(B4&lt;&gt;"",B4,0)&gt;0.1,IF(C4&lt;&gt;"",C4,0)&gt;0.1,IF(D4&lt;&gt;"",D4,0)&gt;0.1,IF(E4&lt;&gt;"",E4,0)&gt;0.1,IF(F4&lt;&gt;"",F4,0)&gt;0.1),"OVER",IF(OR(IF(B4&lt;&gt;"",B4,0)&gt;=0.095,IF(C4&lt;&gt;"",C4,0)&gt;=0.095,IF(D4&lt;&gt;"",D4,0)&gt;=0.095,IF(E4&lt;&gt;"",E4,0)&gt;=0.095,IF(F4&lt;&gt;"",F4,0)&gt;=0.095),"BATAS","OK")))</f>
        <v>OK</v>
      </c>
    </row>
    <row r="5" spans="1:8" ht="18" customHeight="1" x14ac:dyDescent="0.2">
      <c r="A5" s="19" t="s">
        <v>133</v>
      </c>
      <c r="B5" s="51">
        <f>IF('INPUT KUALITAS'!AP7="","",'INPUT KUALITAS'!AP7)</f>
        <v>8.3000000000000004E-2</v>
      </c>
      <c r="C5" s="51">
        <f>IF('INPUT KUALITAS'!AV7="","",'INPUT KUALITAS'!AV7)</f>
        <v>7.1999999999999995E-2</v>
      </c>
      <c r="D5" s="51">
        <f>IF('INPUT KUALITAS'!BB7="","",'INPUT KUALITAS'!BB7)</f>
        <v>6.6000000000000003E-2</v>
      </c>
      <c r="E5" s="51">
        <f>IF('INPUT KUALITAS'!BH7="","",'INPUT KUALITAS'!BH7)</f>
        <v>7.0999999999999994E-2</v>
      </c>
      <c r="F5" s="51">
        <f>IF('INPUT KUALITAS'!BN7="","",'INPUT KUALITAS'!BN7)</f>
        <v>6.7000000000000004E-2</v>
      </c>
      <c r="G5" s="50">
        <v>0.1</v>
      </c>
      <c r="H5" s="19" t="str">
        <f t="shared" si="0"/>
        <v>OK</v>
      </c>
    </row>
    <row r="6" spans="1:8" ht="18" customHeight="1" x14ac:dyDescent="0.2">
      <c r="A6" s="20" t="s">
        <v>134</v>
      </c>
      <c r="B6" s="49">
        <f>IF('INPUT KUALITAS'!AP8="","",'INPUT KUALITAS'!AP8)</f>
        <v>8.3000000000000004E-2</v>
      </c>
      <c r="C6" s="49">
        <f>IF('INPUT KUALITAS'!AV8="","",'INPUT KUALITAS'!AV8)</f>
        <v>7.1999999999999995E-2</v>
      </c>
      <c r="D6" s="49">
        <f>IF('INPUT KUALITAS'!BB8="","",'INPUT KUALITAS'!BB8)</f>
        <v>6.6000000000000003E-2</v>
      </c>
      <c r="E6" s="49">
        <f>IF('INPUT KUALITAS'!BH8="","",'INPUT KUALITAS'!BH8)</f>
        <v>7.0999999999999994E-2</v>
      </c>
      <c r="F6" s="49">
        <f>IF('INPUT KUALITAS'!BN8="","",'INPUT KUALITAS'!BN8)</f>
        <v>6.7000000000000004E-2</v>
      </c>
      <c r="G6" s="50">
        <v>0.1</v>
      </c>
      <c r="H6" s="20" t="str">
        <f t="shared" si="0"/>
        <v>OK</v>
      </c>
    </row>
    <row r="7" spans="1:8" ht="18" customHeight="1" x14ac:dyDescent="0.2">
      <c r="A7" s="19" t="s">
        <v>135</v>
      </c>
      <c r="B7" s="51" t="str">
        <f>IF('INPUT KUALITAS'!AP9="","",'INPUT KUALITAS'!AP9)</f>
        <v/>
      </c>
      <c r="C7" s="51" t="str">
        <f>IF('INPUT KUALITAS'!AV9="","",'INPUT KUALITAS'!AV9)</f>
        <v/>
      </c>
      <c r="D7" s="51" t="str">
        <f>IF('INPUT KUALITAS'!BB9="","",'INPUT KUALITAS'!BB9)</f>
        <v/>
      </c>
      <c r="E7" s="51" t="str">
        <f>IF('INPUT KUALITAS'!BH9="","",'INPUT KUALITAS'!BH9)</f>
        <v/>
      </c>
      <c r="F7" s="51" t="str">
        <f>IF('INPUT KUALITAS'!BN9="","",'INPUT KUALITAS'!BN9)</f>
        <v/>
      </c>
      <c r="G7" s="50">
        <v>0.1</v>
      </c>
      <c r="H7" s="19" t="str">
        <f t="shared" si="0"/>
        <v>-</v>
      </c>
    </row>
    <row r="8" spans="1:8" ht="18" customHeight="1" x14ac:dyDescent="0.2">
      <c r="A8" s="20" t="s">
        <v>136</v>
      </c>
      <c r="B8" s="49">
        <f>IF('INPUT KUALITAS'!AP10="","",'INPUT KUALITAS'!AP10)</f>
        <v>8.3000000000000004E-2</v>
      </c>
      <c r="C8" s="49">
        <f>IF('INPUT KUALITAS'!AV10="","",'INPUT KUALITAS'!AV10)</f>
        <v>7.5999999999999998E-2</v>
      </c>
      <c r="D8" s="49">
        <f>IF('INPUT KUALITAS'!BB10="","",'INPUT KUALITAS'!BB10)</f>
        <v>7.1999999999999995E-2</v>
      </c>
      <c r="E8" s="49">
        <f>IF('INPUT KUALITAS'!BH10="","",'INPUT KUALITAS'!BH10)</f>
        <v>7.0999999999999994E-2</v>
      </c>
      <c r="F8" s="49">
        <f>IF('INPUT KUALITAS'!BN10="","",'INPUT KUALITAS'!BN10)</f>
        <v>7.4999999999999997E-2</v>
      </c>
      <c r="G8" s="50">
        <v>0.1</v>
      </c>
      <c r="H8" s="20" t="str">
        <f t="shared" si="0"/>
        <v>OK</v>
      </c>
    </row>
    <row r="9" spans="1:8" ht="18" customHeight="1" x14ac:dyDescent="0.2">
      <c r="A9" s="19" t="s">
        <v>137</v>
      </c>
      <c r="B9" s="51">
        <f>IF('INPUT KUALITAS'!AP11="","",'INPUT KUALITAS'!AP11)</f>
        <v>8.4000000000000005E-2</v>
      </c>
      <c r="C9" s="51">
        <f>IF('INPUT KUALITAS'!AV11="","",'INPUT KUALITAS'!AV11)</f>
        <v>7.5999999999999998E-2</v>
      </c>
      <c r="D9" s="51">
        <f>IF('INPUT KUALITAS'!BB11="","",'INPUT KUALITAS'!BB11)</f>
        <v>7.1999999999999995E-2</v>
      </c>
      <c r="E9" s="51">
        <f>IF('INPUT KUALITAS'!BH11="","",'INPUT KUALITAS'!BH11)</f>
        <v>7.0999999999999994E-2</v>
      </c>
      <c r="F9" s="51">
        <f>IF('INPUT KUALITAS'!BN11="","",'INPUT KUALITAS'!BN11)</f>
        <v>7.8E-2</v>
      </c>
      <c r="G9" s="50">
        <v>0.1</v>
      </c>
      <c r="H9" s="19" t="str">
        <f t="shared" si="0"/>
        <v>OK</v>
      </c>
    </row>
    <row r="10" spans="1:8" ht="18" customHeight="1" x14ac:dyDescent="0.2">
      <c r="A10" s="18" t="s">
        <v>142</v>
      </c>
      <c r="B10" s="49">
        <f>IF('INPUT KUALITAS'!AP12="","",'INPUT KUALITAS'!AP12)</f>
        <v>8.4000000000000005E-2</v>
      </c>
      <c r="C10" s="49">
        <f>IF('INPUT KUALITAS'!AV12="","",'INPUT KUALITAS'!AV12)</f>
        <v>7.5999999999999998E-2</v>
      </c>
      <c r="D10" s="49">
        <f>IF('INPUT KUALITAS'!BB12="","",'INPUT KUALITAS'!BB12)</f>
        <v>7.1999999999999995E-2</v>
      </c>
      <c r="E10" s="49">
        <f>IF('INPUT KUALITAS'!BH12="","",'INPUT KUALITAS'!BH12)</f>
        <v>7.0999999999999994E-2</v>
      </c>
      <c r="F10" s="49">
        <f>IF('INPUT KUALITAS'!BN12="","",'INPUT KUALITAS'!BN12)</f>
        <v>0.08</v>
      </c>
      <c r="G10" s="50">
        <v>0.1</v>
      </c>
      <c r="H10" s="20" t="str">
        <f t="shared" si="0"/>
        <v>OK</v>
      </c>
    </row>
    <row r="11" spans="1:8" ht="18" customHeight="1" x14ac:dyDescent="0.2">
      <c r="A11" s="18" t="s">
        <v>143</v>
      </c>
      <c r="B11" s="51" t="str">
        <f>IF('INPUT KUALITAS'!AP13="","",'INPUT KUALITAS'!AP13)</f>
        <v/>
      </c>
      <c r="C11" s="51" t="str">
        <f>IF('INPUT KUALITAS'!AV13="","",'INPUT KUALITAS'!AV13)</f>
        <v/>
      </c>
      <c r="D11" s="51" t="str">
        <f>IF('INPUT KUALITAS'!BB13="","",'INPUT KUALITAS'!BB13)</f>
        <v/>
      </c>
      <c r="E11" s="51" t="str">
        <f>IF('INPUT KUALITAS'!BH13="","",'INPUT KUALITAS'!BH13)</f>
        <v/>
      </c>
      <c r="F11" s="51" t="str">
        <f>IF('INPUT KUALITAS'!BN13="","",'INPUT KUALITAS'!BN13)</f>
        <v/>
      </c>
      <c r="G11" s="50">
        <v>0.1</v>
      </c>
      <c r="H11" s="19" t="str">
        <f t="shared" si="0"/>
        <v>-</v>
      </c>
    </row>
    <row r="12" spans="1:8" ht="18" customHeight="1" x14ac:dyDescent="0.2">
      <c r="A12" s="20" t="s">
        <v>144</v>
      </c>
      <c r="B12" s="49" t="str">
        <f>IF('INPUT KUALITAS'!AP14="","",'INPUT KUALITAS'!AP14)</f>
        <v/>
      </c>
      <c r="C12" s="49" t="str">
        <f>IF('INPUT KUALITAS'!AV14="","",'INPUT KUALITAS'!AV14)</f>
        <v/>
      </c>
      <c r="D12" s="49" t="str">
        <f>IF('INPUT KUALITAS'!BB14="","",'INPUT KUALITAS'!BB14)</f>
        <v/>
      </c>
      <c r="E12" s="49" t="str">
        <f>IF('INPUT KUALITAS'!BH14="","",'INPUT KUALITAS'!BH14)</f>
        <v/>
      </c>
      <c r="F12" s="49" t="str">
        <f>IF('INPUT KUALITAS'!BN14="","",'INPUT KUALITAS'!BN14)</f>
        <v/>
      </c>
      <c r="G12" s="50">
        <v>0.1</v>
      </c>
      <c r="H12" s="20" t="str">
        <f t="shared" si="0"/>
        <v>-</v>
      </c>
    </row>
    <row r="13" spans="1:8" ht="18" customHeight="1" x14ac:dyDescent="0.2">
      <c r="A13" s="19" t="s">
        <v>145</v>
      </c>
      <c r="B13" s="51" t="str">
        <f>IF('INPUT KUALITAS'!AP15="","",'INPUT KUALITAS'!AP15)</f>
        <v/>
      </c>
      <c r="C13" s="51" t="str">
        <f>IF('INPUT KUALITAS'!AV15="","",'INPUT KUALITAS'!AV15)</f>
        <v/>
      </c>
      <c r="D13" s="51" t="str">
        <f>IF('INPUT KUALITAS'!BB15="","",'INPUT KUALITAS'!BB15)</f>
        <v/>
      </c>
      <c r="E13" s="51" t="str">
        <f>IF('INPUT KUALITAS'!BH15="","",'INPUT KUALITAS'!BH15)</f>
        <v/>
      </c>
      <c r="F13" s="51" t="str">
        <f>IF('INPUT KUALITAS'!BN15="","",'INPUT KUALITAS'!BN15)</f>
        <v/>
      </c>
      <c r="G13" s="50">
        <v>0.1</v>
      </c>
      <c r="H13" s="19" t="str">
        <f t="shared" si="0"/>
        <v>-</v>
      </c>
    </row>
    <row r="14" spans="1:8" ht="18" customHeight="1" x14ac:dyDescent="0.2">
      <c r="A14" s="20" t="s">
        <v>146</v>
      </c>
      <c r="B14" s="49" t="str">
        <f>IF('INPUT KUALITAS'!AP16="","",'INPUT KUALITAS'!AP16)</f>
        <v/>
      </c>
      <c r="C14" s="49" t="str">
        <f>IF('INPUT KUALITAS'!AV16="","",'INPUT KUALITAS'!AV16)</f>
        <v/>
      </c>
      <c r="D14" s="49" t="str">
        <f>IF('INPUT KUALITAS'!BB16="","",'INPUT KUALITAS'!BB16)</f>
        <v/>
      </c>
      <c r="E14" s="49" t="str">
        <f>IF('INPUT KUALITAS'!BH16="","",'INPUT KUALITAS'!BH16)</f>
        <v/>
      </c>
      <c r="F14" s="49" t="str">
        <f>IF('INPUT KUALITAS'!BN16="","",'INPUT KUALITAS'!BN16)</f>
        <v/>
      </c>
      <c r="G14" s="50">
        <v>0.1</v>
      </c>
      <c r="H14" s="20" t="str">
        <f t="shared" si="0"/>
        <v>-</v>
      </c>
    </row>
    <row r="15" spans="1:8" ht="18" customHeight="1" x14ac:dyDescent="0.2">
      <c r="A15" s="19" t="s">
        <v>147</v>
      </c>
      <c r="B15" s="51" t="str">
        <f>IF('INPUT KUALITAS'!AP17="","",'INPUT KUALITAS'!AP17)</f>
        <v/>
      </c>
      <c r="C15" s="51" t="str">
        <f>IF('INPUT KUALITAS'!AV17="","",'INPUT KUALITAS'!AV17)</f>
        <v/>
      </c>
      <c r="D15" s="51" t="str">
        <f>IF('INPUT KUALITAS'!BB17="","",'INPUT KUALITAS'!BB17)</f>
        <v/>
      </c>
      <c r="E15" s="51" t="str">
        <f>IF('INPUT KUALITAS'!BH17="","",'INPUT KUALITAS'!BH17)</f>
        <v/>
      </c>
      <c r="F15" s="51" t="str">
        <f>IF('INPUT KUALITAS'!BN17="","",'INPUT KUALITAS'!BN17)</f>
        <v/>
      </c>
      <c r="G15" s="50">
        <v>0.1</v>
      </c>
      <c r="H15" s="19" t="str">
        <f t="shared" si="0"/>
        <v>-</v>
      </c>
    </row>
    <row r="16" spans="1:8" ht="18" customHeight="1" x14ac:dyDescent="0.2">
      <c r="A16" s="20" t="s">
        <v>148</v>
      </c>
      <c r="B16" s="49" t="str">
        <f>IF('INPUT KUALITAS'!AP18="","",'INPUT KUALITAS'!AP18)</f>
        <v/>
      </c>
      <c r="C16" s="49" t="str">
        <f>IF('INPUT KUALITAS'!AV18="","",'INPUT KUALITAS'!AV18)</f>
        <v/>
      </c>
      <c r="D16" s="49" t="str">
        <f>IF('INPUT KUALITAS'!BB18="","",'INPUT KUALITAS'!BB18)</f>
        <v/>
      </c>
      <c r="E16" s="49" t="str">
        <f>IF('INPUT KUALITAS'!BH18="","",'INPUT KUALITAS'!BH18)</f>
        <v/>
      </c>
      <c r="F16" s="49" t="str">
        <f>IF('INPUT KUALITAS'!BN18="","",'INPUT KUALITAS'!BN18)</f>
        <v/>
      </c>
      <c r="G16" s="50">
        <v>0.1</v>
      </c>
      <c r="H16" s="20" t="str">
        <f t="shared" si="0"/>
        <v>-</v>
      </c>
    </row>
    <row r="17" spans="1:8" ht="18" customHeight="1" x14ac:dyDescent="0.2">
      <c r="A17" s="18" t="s">
        <v>149</v>
      </c>
      <c r="B17" s="51" t="str">
        <f>IF('INPUT KUALITAS'!AP19="","",'INPUT KUALITAS'!AP19)</f>
        <v/>
      </c>
      <c r="C17" s="51" t="str">
        <f>IF('INPUT KUALITAS'!AV19="","",'INPUT KUALITAS'!AV19)</f>
        <v/>
      </c>
      <c r="D17" s="51" t="str">
        <f>IF('INPUT KUALITAS'!BB19="","",'INPUT KUALITAS'!BB19)</f>
        <v/>
      </c>
      <c r="E17" s="51" t="str">
        <f>IF('INPUT KUALITAS'!BH19="","",'INPUT KUALITAS'!BH19)</f>
        <v/>
      </c>
      <c r="F17" s="51" t="str">
        <f>IF('INPUT KUALITAS'!BN19="","",'INPUT KUALITAS'!BN19)</f>
        <v/>
      </c>
      <c r="G17" s="50">
        <v>0.1</v>
      </c>
      <c r="H17" s="19" t="str">
        <f t="shared" si="0"/>
        <v>-</v>
      </c>
    </row>
    <row r="18" spans="1:8" ht="18" customHeight="1" x14ac:dyDescent="0.2">
      <c r="A18" s="18" t="s">
        <v>150</v>
      </c>
      <c r="B18" s="49" t="str">
        <f>IF('INPUT KUALITAS'!AP20="","",'INPUT KUALITAS'!AP20)</f>
        <v/>
      </c>
      <c r="C18" s="49" t="str">
        <f>IF('INPUT KUALITAS'!AV20="","",'INPUT KUALITAS'!AV20)</f>
        <v/>
      </c>
      <c r="D18" s="49" t="str">
        <f>IF('INPUT KUALITAS'!BB20="","",'INPUT KUALITAS'!BB20)</f>
        <v/>
      </c>
      <c r="E18" s="49" t="str">
        <f>IF('INPUT KUALITAS'!BH20="","",'INPUT KUALITAS'!BH20)</f>
        <v/>
      </c>
      <c r="F18" s="49" t="str">
        <f>IF('INPUT KUALITAS'!BN20="","",'INPUT KUALITAS'!BN20)</f>
        <v/>
      </c>
      <c r="G18" s="50">
        <v>0.1</v>
      </c>
      <c r="H18" s="20" t="str">
        <f t="shared" si="0"/>
        <v>-</v>
      </c>
    </row>
    <row r="19" spans="1:8" ht="18" customHeight="1" x14ac:dyDescent="0.2">
      <c r="A19" s="19" t="s">
        <v>151</v>
      </c>
      <c r="B19" s="51" t="str">
        <f>IF('INPUT KUALITAS'!AP21="","",'INPUT KUALITAS'!AP21)</f>
        <v/>
      </c>
      <c r="C19" s="51" t="str">
        <f>IF('INPUT KUALITAS'!AV21="","",'INPUT KUALITAS'!AV21)</f>
        <v/>
      </c>
      <c r="D19" s="51" t="str">
        <f>IF('INPUT KUALITAS'!BB21="","",'INPUT KUALITAS'!BB21)</f>
        <v/>
      </c>
      <c r="E19" s="51" t="str">
        <f>IF('INPUT KUALITAS'!BH21="","",'INPUT KUALITAS'!BH21)</f>
        <v/>
      </c>
      <c r="F19" s="51" t="str">
        <f>IF('INPUT KUALITAS'!BN21="","",'INPUT KUALITAS'!BN21)</f>
        <v/>
      </c>
      <c r="G19" s="50">
        <v>0.1</v>
      </c>
      <c r="H19" s="19" t="str">
        <f t="shared" si="0"/>
        <v>-</v>
      </c>
    </row>
    <row r="20" spans="1:8" ht="18" customHeight="1" x14ac:dyDescent="0.2">
      <c r="A20" s="20" t="s">
        <v>152</v>
      </c>
      <c r="B20" s="49" t="str">
        <f>IF('INPUT KUALITAS'!AP22="","",'INPUT KUALITAS'!AP22)</f>
        <v/>
      </c>
      <c r="C20" s="49" t="str">
        <f>IF('INPUT KUALITAS'!AV22="","",'INPUT KUALITAS'!AV22)</f>
        <v/>
      </c>
      <c r="D20" s="49" t="str">
        <f>IF('INPUT KUALITAS'!BB22="","",'INPUT KUALITAS'!BB22)</f>
        <v/>
      </c>
      <c r="E20" s="49" t="str">
        <f>IF('INPUT KUALITAS'!BH22="","",'INPUT KUALITAS'!BH22)</f>
        <v/>
      </c>
      <c r="F20" s="49" t="str">
        <f>IF('INPUT KUALITAS'!BN22="","",'INPUT KUALITAS'!BN22)</f>
        <v/>
      </c>
      <c r="G20" s="50">
        <v>0.1</v>
      </c>
      <c r="H20" s="20" t="str">
        <f t="shared" si="0"/>
        <v>-</v>
      </c>
    </row>
    <row r="21" spans="1:8" ht="18" customHeight="1" x14ac:dyDescent="0.2">
      <c r="A21" s="19" t="s">
        <v>153</v>
      </c>
      <c r="B21" s="51" t="str">
        <f>IF('INPUT KUALITAS'!AP23="","",'INPUT KUALITAS'!AP23)</f>
        <v/>
      </c>
      <c r="C21" s="51" t="str">
        <f>IF('INPUT KUALITAS'!AV23="","",'INPUT KUALITAS'!AV23)</f>
        <v/>
      </c>
      <c r="D21" s="51" t="str">
        <f>IF('INPUT KUALITAS'!BB23="","",'INPUT KUALITAS'!BB23)</f>
        <v/>
      </c>
      <c r="E21" s="51" t="str">
        <f>IF('INPUT KUALITAS'!BH23="","",'INPUT KUALITAS'!BH23)</f>
        <v/>
      </c>
      <c r="F21" s="51" t="str">
        <f>IF('INPUT KUALITAS'!BN23="","",'INPUT KUALITAS'!BN23)</f>
        <v/>
      </c>
      <c r="G21" s="50">
        <v>0.1</v>
      </c>
      <c r="H21" s="19" t="str">
        <f t="shared" si="0"/>
        <v>-</v>
      </c>
    </row>
    <row r="22" spans="1:8" ht="18" customHeight="1" x14ac:dyDescent="0.2">
      <c r="A22" s="20" t="s">
        <v>154</v>
      </c>
      <c r="B22" s="49" t="str">
        <f>IF('INPUT KUALITAS'!AP24="","",'INPUT KUALITAS'!AP24)</f>
        <v/>
      </c>
      <c r="C22" s="49" t="str">
        <f>IF('INPUT KUALITAS'!AV24="","",'INPUT KUALITAS'!AV24)</f>
        <v/>
      </c>
      <c r="D22" s="49" t="str">
        <f>IF('INPUT KUALITAS'!BB24="","",'INPUT KUALITAS'!BB24)</f>
        <v/>
      </c>
      <c r="E22" s="49" t="str">
        <f>IF('INPUT KUALITAS'!BH24="","",'INPUT KUALITAS'!BH24)</f>
        <v/>
      </c>
      <c r="F22" s="49" t="str">
        <f>IF('INPUT KUALITAS'!BN24="","",'INPUT KUALITAS'!BN24)</f>
        <v/>
      </c>
      <c r="G22" s="50">
        <v>0.1</v>
      </c>
      <c r="H22" s="20" t="str">
        <f t="shared" si="0"/>
        <v>-</v>
      </c>
    </row>
    <row r="23" spans="1:8" ht="18" customHeight="1" x14ac:dyDescent="0.2">
      <c r="A23" s="19" t="s">
        <v>155</v>
      </c>
      <c r="B23" s="51" t="str">
        <f>IF('INPUT KUALITAS'!AP25="","",'INPUT KUALITAS'!AP25)</f>
        <v/>
      </c>
      <c r="C23" s="51" t="str">
        <f>IF('INPUT KUALITAS'!AV25="","",'INPUT KUALITAS'!AV25)</f>
        <v/>
      </c>
      <c r="D23" s="51" t="str">
        <f>IF('INPUT KUALITAS'!BB25="","",'INPUT KUALITAS'!BB25)</f>
        <v/>
      </c>
      <c r="E23" s="51" t="str">
        <f>IF('INPUT KUALITAS'!BH25="","",'INPUT KUALITAS'!BH25)</f>
        <v/>
      </c>
      <c r="F23" s="51" t="str">
        <f>IF('INPUT KUALITAS'!BN25="","",'INPUT KUALITAS'!BN25)</f>
        <v/>
      </c>
      <c r="G23" s="50">
        <v>0.1</v>
      </c>
      <c r="H23" s="19" t="str">
        <f t="shared" si="0"/>
        <v>-</v>
      </c>
    </row>
    <row r="24" spans="1:8" ht="18" customHeight="1" x14ac:dyDescent="0.2">
      <c r="A24" s="18" t="s">
        <v>156</v>
      </c>
      <c r="B24" s="49" t="str">
        <f>IF('INPUT KUALITAS'!AP26="","",'INPUT KUALITAS'!AP26)</f>
        <v/>
      </c>
      <c r="C24" s="49" t="str">
        <f>IF('INPUT KUALITAS'!AV26="","",'INPUT KUALITAS'!AV26)</f>
        <v/>
      </c>
      <c r="D24" s="49" t="str">
        <f>IF('INPUT KUALITAS'!BB26="","",'INPUT KUALITAS'!BB26)</f>
        <v/>
      </c>
      <c r="E24" s="49" t="str">
        <f>IF('INPUT KUALITAS'!BH26="","",'INPUT KUALITAS'!BH26)</f>
        <v/>
      </c>
      <c r="F24" s="49" t="str">
        <f>IF('INPUT KUALITAS'!BN26="","",'INPUT KUALITAS'!BN26)</f>
        <v/>
      </c>
      <c r="G24" s="50">
        <v>0.1</v>
      </c>
      <c r="H24" s="20" t="str">
        <f t="shared" si="0"/>
        <v>-</v>
      </c>
    </row>
    <row r="25" spans="1:8" ht="18" customHeight="1" x14ac:dyDescent="0.2">
      <c r="A25" s="18" t="s">
        <v>157</v>
      </c>
      <c r="B25" s="51" t="str">
        <f>IF('INPUT KUALITAS'!AP27="","",'INPUT KUALITAS'!AP27)</f>
        <v/>
      </c>
      <c r="C25" s="51" t="str">
        <f>IF('INPUT KUALITAS'!AV27="","",'INPUT KUALITAS'!AV27)</f>
        <v/>
      </c>
      <c r="D25" s="51" t="str">
        <f>IF('INPUT KUALITAS'!BB27="","",'INPUT KUALITAS'!BB27)</f>
        <v/>
      </c>
      <c r="E25" s="51" t="str">
        <f>IF('INPUT KUALITAS'!BH27="","",'INPUT KUALITAS'!BH27)</f>
        <v/>
      </c>
      <c r="F25" s="51" t="str">
        <f>IF('INPUT KUALITAS'!BN27="","",'INPUT KUALITAS'!BN27)</f>
        <v/>
      </c>
      <c r="G25" s="50">
        <v>0.1</v>
      </c>
      <c r="H25" s="19" t="str">
        <f t="shared" si="0"/>
        <v>-</v>
      </c>
    </row>
    <row r="26" spans="1:8" ht="18" customHeight="1" x14ac:dyDescent="0.2">
      <c r="A26" s="20" t="s">
        <v>158</v>
      </c>
      <c r="B26" s="49" t="str">
        <f>IF('INPUT KUALITAS'!AP28="","",'INPUT KUALITAS'!AP28)</f>
        <v/>
      </c>
      <c r="C26" s="49" t="str">
        <f>IF('INPUT KUALITAS'!AV28="","",'INPUT KUALITAS'!AV28)</f>
        <v/>
      </c>
      <c r="D26" s="49" t="str">
        <f>IF('INPUT KUALITAS'!BB28="","",'INPUT KUALITAS'!BB28)</f>
        <v/>
      </c>
      <c r="E26" s="49" t="str">
        <f>IF('INPUT KUALITAS'!BH28="","",'INPUT KUALITAS'!BH28)</f>
        <v/>
      </c>
      <c r="F26" s="49" t="str">
        <f>IF('INPUT KUALITAS'!BN28="","",'INPUT KUALITAS'!BN28)</f>
        <v/>
      </c>
      <c r="G26" s="50">
        <v>0.1</v>
      </c>
      <c r="H26" s="20" t="str">
        <f t="shared" si="0"/>
        <v>-</v>
      </c>
    </row>
    <row r="27" spans="1:8" ht="18" customHeight="1" x14ac:dyDescent="0.2">
      <c r="A27" s="19" t="s">
        <v>159</v>
      </c>
      <c r="B27" s="51" t="str">
        <f>IF('INPUT KUALITAS'!AP29="","",'INPUT KUALITAS'!AP29)</f>
        <v/>
      </c>
      <c r="C27" s="51" t="str">
        <f>IF('INPUT KUALITAS'!AV29="","",'INPUT KUALITAS'!AV29)</f>
        <v/>
      </c>
      <c r="D27" s="51" t="str">
        <f>IF('INPUT KUALITAS'!BB29="","",'INPUT KUALITAS'!BB29)</f>
        <v/>
      </c>
      <c r="E27" s="51" t="str">
        <f>IF('INPUT KUALITAS'!BH29="","",'INPUT KUALITAS'!BH29)</f>
        <v/>
      </c>
      <c r="F27" s="51" t="str">
        <f>IF('INPUT KUALITAS'!BN29="","",'INPUT KUALITAS'!BN29)</f>
        <v/>
      </c>
      <c r="G27" s="50">
        <v>0.1</v>
      </c>
      <c r="H27" s="19" t="str">
        <f t="shared" si="0"/>
        <v>-</v>
      </c>
    </row>
    <row r="28" spans="1:8" ht="18" customHeight="1" x14ac:dyDescent="0.2">
      <c r="A28" s="20" t="s">
        <v>160</v>
      </c>
      <c r="B28" s="49" t="str">
        <f>IF('INPUT KUALITAS'!AP30="","",'INPUT KUALITAS'!AP30)</f>
        <v/>
      </c>
      <c r="C28" s="49" t="str">
        <f>IF('INPUT KUALITAS'!AV30="","",'INPUT KUALITAS'!AV30)</f>
        <v/>
      </c>
      <c r="D28" s="49" t="str">
        <f>IF('INPUT KUALITAS'!BB30="","",'INPUT KUALITAS'!BB30)</f>
        <v/>
      </c>
      <c r="E28" s="49" t="str">
        <f>IF('INPUT KUALITAS'!BH30="","",'INPUT KUALITAS'!BH30)</f>
        <v/>
      </c>
      <c r="F28" s="49" t="str">
        <f>IF('INPUT KUALITAS'!BN30="","",'INPUT KUALITAS'!BN30)</f>
        <v/>
      </c>
      <c r="G28" s="50">
        <v>0.1</v>
      </c>
      <c r="H28" s="20" t="str">
        <f t="shared" si="0"/>
        <v>-</v>
      </c>
    </row>
    <row r="29" spans="1:8" ht="18" customHeight="1" x14ac:dyDescent="0.2">
      <c r="A29" s="19" t="s">
        <v>161</v>
      </c>
      <c r="B29" s="51" t="str">
        <f>IF('INPUT KUALITAS'!AP31="","",'INPUT KUALITAS'!AP31)</f>
        <v/>
      </c>
      <c r="C29" s="51" t="str">
        <f>IF('INPUT KUALITAS'!AV31="","",'INPUT KUALITAS'!AV31)</f>
        <v/>
      </c>
      <c r="D29" s="51" t="str">
        <f>IF('INPUT KUALITAS'!BB31="","",'INPUT KUALITAS'!BB31)</f>
        <v/>
      </c>
      <c r="E29" s="51" t="str">
        <f>IF('INPUT KUALITAS'!BH31="","",'INPUT KUALITAS'!BH31)</f>
        <v/>
      </c>
      <c r="F29" s="51" t="str">
        <f>IF('INPUT KUALITAS'!BN31="","",'INPUT KUALITAS'!BN31)</f>
        <v/>
      </c>
      <c r="G29" s="50">
        <v>0.1</v>
      </c>
      <c r="H29" s="19" t="str">
        <f t="shared" si="0"/>
        <v>-</v>
      </c>
    </row>
    <row r="30" spans="1:8" ht="18" customHeight="1" x14ac:dyDescent="0.2">
      <c r="A30" s="20" t="s">
        <v>162</v>
      </c>
      <c r="B30" s="49" t="str">
        <f>IF('INPUT KUALITAS'!AP32="","",'INPUT KUALITAS'!AP32)</f>
        <v/>
      </c>
      <c r="C30" s="49" t="str">
        <f>IF('INPUT KUALITAS'!AV32="","",'INPUT KUALITAS'!AV32)</f>
        <v/>
      </c>
      <c r="D30" s="49" t="str">
        <f>IF('INPUT KUALITAS'!BB32="","",'INPUT KUALITAS'!BB32)</f>
        <v/>
      </c>
      <c r="E30" s="49" t="str">
        <f>IF('INPUT KUALITAS'!BH32="","",'INPUT KUALITAS'!BH32)</f>
        <v/>
      </c>
      <c r="F30" s="49" t="str">
        <f>IF('INPUT KUALITAS'!BN32="","",'INPUT KUALITAS'!BN32)</f>
        <v/>
      </c>
      <c r="G30" s="50">
        <v>0.1</v>
      </c>
      <c r="H30" s="20" t="str">
        <f t="shared" si="0"/>
        <v>-</v>
      </c>
    </row>
    <row r="31" spans="1:8" ht="18" customHeight="1" x14ac:dyDescent="0.2">
      <c r="A31" s="18" t="s">
        <v>163</v>
      </c>
      <c r="B31" s="51" t="str">
        <f>IF('INPUT KUALITAS'!AP33="","",'INPUT KUALITAS'!AP33)</f>
        <v/>
      </c>
      <c r="C31" s="51" t="str">
        <f>IF('INPUT KUALITAS'!AV33="","",'INPUT KUALITAS'!AV33)</f>
        <v/>
      </c>
      <c r="D31" s="51" t="str">
        <f>IF('INPUT KUALITAS'!BB33="","",'INPUT KUALITAS'!BB33)</f>
        <v/>
      </c>
      <c r="E31" s="51" t="str">
        <f>IF('INPUT KUALITAS'!BH33="","",'INPUT KUALITAS'!BH33)</f>
        <v/>
      </c>
      <c r="F31" s="51" t="str">
        <f>IF('INPUT KUALITAS'!BN33="","",'INPUT KUALITAS'!BN33)</f>
        <v/>
      </c>
      <c r="G31" s="50">
        <v>0.1</v>
      </c>
      <c r="H31" s="19" t="str">
        <f t="shared" si="0"/>
        <v>-</v>
      </c>
    </row>
    <row r="32" spans="1:8" ht="18" customHeight="1" x14ac:dyDescent="0.2">
      <c r="A32" s="18" t="s">
        <v>164</v>
      </c>
      <c r="B32" s="49" t="str">
        <f>IF('INPUT KUALITAS'!AP34="","",'INPUT KUALITAS'!AP34)</f>
        <v/>
      </c>
      <c r="C32" s="49" t="str">
        <f>IF('INPUT KUALITAS'!AV34="","",'INPUT KUALITAS'!AV34)</f>
        <v/>
      </c>
      <c r="D32" s="49" t="str">
        <f>IF('INPUT KUALITAS'!BB34="","",'INPUT KUALITAS'!BB34)</f>
        <v/>
      </c>
      <c r="E32" s="49" t="str">
        <f>IF('INPUT KUALITAS'!BH34="","",'INPUT KUALITAS'!BH34)</f>
        <v/>
      </c>
      <c r="F32" s="49" t="str">
        <f>IF('INPUT KUALITAS'!BN34="","",'INPUT KUALITAS'!BN34)</f>
        <v/>
      </c>
      <c r="G32" s="50">
        <v>0.1</v>
      </c>
      <c r="H32" s="20" t="str">
        <f t="shared" si="0"/>
        <v>-</v>
      </c>
    </row>
    <row r="33" spans="1:8" ht="18" customHeight="1" x14ac:dyDescent="0.2">
      <c r="A33" s="19" t="s">
        <v>165</v>
      </c>
      <c r="B33" s="51" t="str">
        <f>IF('INPUT KUALITAS'!AP35="","",'INPUT KUALITAS'!AP35)</f>
        <v/>
      </c>
      <c r="C33" s="51" t="str">
        <f>IF('INPUT KUALITAS'!AV35="","",'INPUT KUALITAS'!AV35)</f>
        <v/>
      </c>
      <c r="D33" s="51" t="str">
        <f>IF('INPUT KUALITAS'!BB35="","",'INPUT KUALITAS'!BB35)</f>
        <v/>
      </c>
      <c r="E33" s="51" t="str">
        <f>IF('INPUT KUALITAS'!BH35="","",'INPUT KUALITAS'!BH35)</f>
        <v/>
      </c>
      <c r="F33" s="51" t="str">
        <f>IF('INPUT KUALITAS'!BN35="","",'INPUT KUALITAS'!BN35)</f>
        <v/>
      </c>
      <c r="G33" s="50">
        <v>0.1</v>
      </c>
      <c r="H33" s="19" t="str">
        <f t="shared" si="0"/>
        <v>-</v>
      </c>
    </row>
    <row r="34" spans="1:8" ht="20" customHeight="1" x14ac:dyDescent="0.2">
      <c r="A34" s="172" t="s">
        <v>275</v>
      </c>
      <c r="B34" s="52">
        <f>IFERROR(AVERAGEIF(B4:B33,"&lt;&gt;"),"-")</f>
        <v>8.3333333333333329E-2</v>
      </c>
      <c r="C34" s="52">
        <f>IFERROR(AVERAGEIF(C4:C33,"&lt;&gt;"),"-")</f>
        <v>7.3999999999999996E-2</v>
      </c>
      <c r="D34" s="52">
        <f>IFERROR(AVERAGEIF(D4:D33,"&lt;&gt;"),"-")</f>
        <v>6.9000000000000006E-2</v>
      </c>
      <c r="E34" s="52">
        <f>IFERROR(AVERAGEIF(E4:E33,"&lt;&gt;"),"-")</f>
        <v>7.0999999999999994E-2</v>
      </c>
      <c r="F34" s="52">
        <f>IFERROR(AVERAGEIF(F4:F33,"&lt;&gt;"),"-")</f>
        <v>7.2333333333333347E-2</v>
      </c>
    </row>
    <row r="35" spans="1:8" ht="22" customHeight="1" x14ac:dyDescent="0.2">
      <c r="A35" s="53" t="s">
        <v>276</v>
      </c>
      <c r="B35" s="54">
        <v>4.0000000000000001E-3</v>
      </c>
      <c r="C35" s="54">
        <v>4.0000000000000001E-3</v>
      </c>
      <c r="D35" s="54">
        <v>4.0000000000000001E-3</v>
      </c>
      <c r="E35" s="54">
        <v>5.0000000000000001E-3</v>
      </c>
      <c r="F35" s="54">
        <v>4.0000000000000001E-3</v>
      </c>
    </row>
  </sheetData>
  <mergeCells count="3">
    <mergeCell ref="A2:H2"/>
    <mergeCell ref="A34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 TANGKI</vt:lpstr>
      <vt:lpstr>EVALUASI STABILITAS</vt:lpstr>
      <vt:lpstr>MUTASI STOK</vt:lpstr>
      <vt:lpstr>REKAP STOK BULANAN</vt:lpstr>
      <vt:lpstr>INPUT KUALITAS</vt:lpstr>
      <vt:lpstr>REKAP KUALITAS CPO</vt:lpstr>
      <vt:lpstr>ANALISIS CPO</vt:lpstr>
      <vt:lpstr>DASHBOARD</vt:lpstr>
      <vt:lpstr>GRAFIK TREN</vt:lpstr>
      <vt:lpstr>REKAP FFA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2026-03-06T14:51:22Z</dcterms:created>
  <dcterms:modified xsi:type="dcterms:W3CDTF">2026-03-26T13:24:54Z</dcterms:modified>
</cp:coreProperties>
</file>